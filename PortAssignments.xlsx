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5"/>
  <workbookPr codeName="ThisWorkbook" autoCompressPictures="0" defaultThemeVersion="124226"/>
  <mc:AlternateContent xmlns:mc="http://schemas.openxmlformats.org/markup-compatibility/2006">
    <mc:Choice Requires="x15">
      <x15ac:absPath xmlns:x15ac="http://schemas.microsoft.com/office/spreadsheetml/2010/11/ac" url="https://providence4.sharepoint.com/sites/InterfaceConversionTeam/Operational Support Documents/Corepoint/Interface Development Support/"/>
    </mc:Choice>
  </mc:AlternateContent>
  <xr:revisionPtr revIDLastSave="0" documentId="8_{EE0D31DC-C2A3-47B1-B70A-F1BCA5376965}" xr6:coauthVersionLast="47" xr6:coauthVersionMax="47" xr10:uidLastSave="{00000000-0000-0000-0000-000000000000}"/>
  <workbookProtection workbookAlgorithmName="SHA-512" workbookHashValue="VJuhdna5iD48vRlrqDzkuHyduitSYgEF9Xd+OKUqN6mr9xyiamthEECUgMg1wmfv3tn4bmG1S9djrU0fhlNlLg==" workbookSaltValue="EVyHVhnUo+qMb+RURYgfig==" workbookSpinCount="100000" lockStructure="1"/>
  <bookViews>
    <workbookView xWindow="-120" yWindow="-120" windowWidth="29040" windowHeight="17520" tabRatio="965" firstSheet="2" activeTab="2" xr2:uid="{00000000-000D-0000-FFFF-FFFF00000000}"/>
  </bookViews>
  <sheets>
    <sheet name="ReadMe" sheetId="13" r:id="rId1"/>
    <sheet name="AK (12xxx &amp; 16xxx)" sheetId="3" r:id="rId2"/>
    <sheet name="WAMT (11xxx&amp;15xxx, 31xxx&amp;35xxx)" sheetId="1" r:id="rId3"/>
    <sheet name="ORCA (10xxx&amp;14xxx,32xxx&amp;36xxx)" sheetId="2" r:id="rId4"/>
    <sheet name="WebServices (45xxx,46xxx)" sheetId="17" r:id="rId5"/>
    <sheet name="Gear-to-Gear Connections" sheetId="7" r:id="rId6"/>
    <sheet name="ORCA (Bridges Conv)" sheetId="9" r:id="rId7"/>
    <sheet name="AK (Bridges Conv)" sheetId="8" r:id="rId8"/>
    <sheet name="WAMT (Bridges Conv)" sheetId="16" r:id="rId9"/>
    <sheet name="KADLEC (Bridges Conv)" sheetId="11" r:id="rId10"/>
    <sheet name="SWE (Bridges Conv)" sheetId="12" r:id="rId11"/>
  </sheets>
  <definedNames>
    <definedName name="_xlnm._FilterDatabase" localSheetId="1" hidden="1">'AK (12xxx &amp; 16xxx)'!$A$1:$G$1037</definedName>
    <definedName name="_xlnm._FilterDatabase" localSheetId="5" hidden="1">'Gear-to-Gear Connections'!$A$1:$D$80</definedName>
    <definedName name="_xlnm._FilterDatabase" localSheetId="3" hidden="1">'ORCA (10xxx&amp;14xxx,32xxx&amp;36xxx)'!$A$1:$G$2132</definedName>
    <definedName name="_xlnm._FilterDatabase" localSheetId="2" hidden="1">'WAMT (11xxx&amp;15xxx, 31xxx&amp;35xxx)'!$A$1:$G$2108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29" i="3" l="1"/>
  <c r="C16" i="1"/>
  <c r="C2" i="2"/>
  <c r="C3" i="1"/>
  <c r="C4" i="1"/>
  <c r="C5" i="1"/>
  <c r="C6" i="1"/>
  <c r="C7" i="1"/>
  <c r="C8" i="1"/>
  <c r="C9" i="1"/>
  <c r="C10" i="1"/>
  <c r="C13" i="1"/>
  <c r="C14" i="1"/>
  <c r="C15"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 i="1"/>
  <c r="C3" i="3"/>
  <c r="C4" i="3"/>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66" i="3"/>
  <c r="C67" i="3"/>
  <c r="C68" i="3"/>
  <c r="C69" i="3"/>
  <c r="C70" i="3"/>
  <c r="C71" i="3"/>
  <c r="C72" i="3"/>
  <c r="C73" i="3"/>
  <c r="C74" i="3"/>
  <c r="C75" i="3"/>
  <c r="C76" i="3"/>
  <c r="C77" i="3"/>
  <c r="C78" i="3"/>
  <c r="C79" i="3"/>
  <c r="C80" i="3"/>
  <c r="C81" i="3"/>
  <c r="C82" i="3"/>
  <c r="C83" i="3"/>
  <c r="C84" i="3"/>
  <c r="C85" i="3"/>
  <c r="C86" i="3"/>
  <c r="C87" i="3"/>
  <c r="C88" i="3"/>
  <c r="C89" i="3"/>
  <c r="C90" i="3"/>
  <c r="C91" i="3"/>
  <c r="C92" i="3"/>
  <c r="C93" i="3"/>
  <c r="C94" i="3"/>
  <c r="C95" i="3"/>
  <c r="C96" i="3"/>
  <c r="C97" i="3"/>
  <c r="C98" i="3"/>
  <c r="C99" i="3"/>
  <c r="C100" i="3"/>
  <c r="C101" i="3"/>
  <c r="C102" i="3"/>
  <c r="C103" i="3"/>
  <c r="C104" i="3"/>
  <c r="C105" i="3"/>
  <c r="C106" i="3"/>
  <c r="C107" i="3"/>
  <c r="C108" i="3"/>
  <c r="C109" i="3"/>
  <c r="C110" i="3"/>
  <c r="C111" i="3"/>
  <c r="C112" i="3"/>
  <c r="C113" i="3"/>
  <c r="C114" i="3"/>
  <c r="C115" i="3"/>
  <c r="C116" i="3"/>
  <c r="C117" i="3"/>
  <c r="C118" i="3"/>
  <c r="C119" i="3"/>
  <c r="C120" i="3"/>
  <c r="C121" i="3"/>
  <c r="C122" i="3"/>
  <c r="C123" i="3"/>
  <c r="C124" i="3"/>
  <c r="C125" i="3"/>
  <c r="C126" i="3"/>
  <c r="C127" i="3"/>
  <c r="C128" i="3"/>
  <c r="C130" i="3"/>
  <c r="C131" i="3"/>
  <c r="C132" i="3"/>
  <c r="C133" i="3"/>
  <c r="C134" i="3"/>
  <c r="C135" i="3"/>
  <c r="C136" i="3"/>
  <c r="C137" i="3"/>
  <c r="C138" i="3"/>
  <c r="C139" i="3"/>
  <c r="C140" i="3"/>
  <c r="C141" i="3"/>
  <c r="C142" i="3"/>
  <c r="C143" i="3"/>
  <c r="C144" i="3"/>
  <c r="C145" i="3"/>
  <c r="C146" i="3"/>
  <c r="C147" i="3"/>
  <c r="C148" i="3"/>
  <c r="C149" i="3"/>
  <c r="C150" i="3"/>
  <c r="C151" i="3"/>
  <c r="C152" i="3"/>
  <c r="C153" i="3"/>
  <c r="C154" i="3"/>
  <c r="C155" i="3"/>
  <c r="C156" i="3"/>
  <c r="C157" i="3"/>
  <c r="C158" i="3"/>
  <c r="C159" i="3"/>
  <c r="C160" i="3"/>
  <c r="C161" i="3"/>
  <c r="C162" i="3"/>
  <c r="C163" i="3"/>
  <c r="C164" i="3"/>
  <c r="C165" i="3"/>
  <c r="C166" i="3"/>
  <c r="C167" i="3"/>
  <c r="C168" i="3"/>
  <c r="C169" i="3"/>
  <c r="C170" i="3"/>
  <c r="C171" i="3"/>
  <c r="C172" i="3"/>
  <c r="C173" i="3"/>
  <c r="C174" i="3"/>
  <c r="C175" i="3"/>
  <c r="C176" i="3"/>
  <c r="C177" i="3"/>
  <c r="C178" i="3"/>
  <c r="C179" i="3"/>
  <c r="C180" i="3"/>
  <c r="C181" i="3"/>
  <c r="C182" i="3"/>
  <c r="C183" i="3"/>
  <c r="C184" i="3"/>
  <c r="C185" i="3"/>
  <c r="C186" i="3"/>
  <c r="C187" i="3"/>
  <c r="C188" i="3"/>
  <c r="C189" i="3"/>
  <c r="C190" i="3"/>
  <c r="C191" i="3"/>
  <c r="C192" i="3"/>
  <c r="C193" i="3"/>
  <c r="C194" i="3"/>
  <c r="C195" i="3"/>
  <c r="C196" i="3"/>
  <c r="C197" i="3"/>
  <c r="C198" i="3"/>
  <c r="C199" i="3"/>
  <c r="C200" i="3"/>
  <c r="C201" i="3"/>
  <c r="C202" i="3"/>
  <c r="C203" i="3"/>
  <c r="C204" i="3"/>
  <c r="C205" i="3"/>
  <c r="C206" i="3"/>
  <c r="C207" i="3"/>
  <c r="C208" i="3"/>
  <c r="C209" i="3"/>
  <c r="C210" i="3"/>
  <c r="C211" i="3"/>
  <c r="C212" i="3"/>
  <c r="C213" i="3"/>
  <c r="C214" i="3"/>
  <c r="C215" i="3"/>
  <c r="C216" i="3"/>
  <c r="C217" i="3"/>
  <c r="C218" i="3"/>
  <c r="C219" i="3"/>
  <c r="C220" i="3"/>
  <c r="C221" i="3"/>
  <c r="C222" i="3"/>
  <c r="C223" i="3"/>
  <c r="C224" i="3"/>
  <c r="C225" i="3"/>
  <c r="C226" i="3"/>
  <c r="C227" i="3"/>
  <c r="C228" i="3"/>
  <c r="C229" i="3"/>
  <c r="C230" i="3"/>
  <c r="C231" i="3"/>
  <c r="C232" i="3"/>
  <c r="C233" i="3"/>
  <c r="C234" i="3"/>
  <c r="C235" i="3"/>
  <c r="C236" i="3"/>
  <c r="C237" i="3"/>
  <c r="C238" i="3"/>
  <c r="C239" i="3"/>
  <c r="C240" i="3"/>
  <c r="C241" i="3"/>
  <c r="C242" i="3"/>
  <c r="C243" i="3"/>
  <c r="C244" i="3"/>
  <c r="C245" i="3"/>
  <c r="C246" i="3"/>
  <c r="C247" i="3"/>
  <c r="C248" i="3"/>
  <c r="C249" i="3"/>
  <c r="C250" i="3"/>
  <c r="C251" i="3"/>
  <c r="C252" i="3"/>
  <c r="C253" i="3"/>
  <c r="C254" i="3"/>
  <c r="C255" i="3"/>
  <c r="C256" i="3"/>
  <c r="C257" i="3"/>
  <c r="C258" i="3"/>
  <c r="C259" i="3"/>
  <c r="C260" i="3"/>
  <c r="C261" i="3"/>
  <c r="C262" i="3"/>
  <c r="C263" i="3"/>
  <c r="C264" i="3"/>
  <c r="C265" i="3"/>
  <c r="C266" i="3"/>
  <c r="C267" i="3"/>
  <c r="C268" i="3"/>
  <c r="C269" i="3"/>
  <c r="C270" i="3"/>
  <c r="C271" i="3"/>
  <c r="C272" i="3"/>
  <c r="C273" i="3"/>
  <c r="C274" i="3"/>
  <c r="C275" i="3"/>
  <c r="C276" i="3"/>
  <c r="C277" i="3"/>
  <c r="C278" i="3"/>
  <c r="C279" i="3"/>
  <c r="C280" i="3"/>
  <c r="C281" i="3"/>
  <c r="C282" i="3"/>
  <c r="C283" i="3"/>
  <c r="C284" i="3"/>
  <c r="C285" i="3"/>
  <c r="C286" i="3"/>
  <c r="C287" i="3"/>
  <c r="C288" i="3"/>
  <c r="C289" i="3"/>
  <c r="C290" i="3"/>
  <c r="C291" i="3"/>
  <c r="C292" i="3"/>
  <c r="C293" i="3"/>
  <c r="C294" i="3"/>
  <c r="C295" i="3"/>
  <c r="C296" i="3"/>
  <c r="C297" i="3"/>
  <c r="C298" i="3"/>
  <c r="C299" i="3"/>
  <c r="C300" i="3"/>
  <c r="C301" i="3"/>
  <c r="C302" i="3"/>
  <c r="C303" i="3"/>
  <c r="C304" i="3"/>
  <c r="C305" i="3"/>
  <c r="C306" i="3"/>
  <c r="C307" i="3"/>
  <c r="C308" i="3"/>
  <c r="C309" i="3"/>
  <c r="C310" i="3"/>
  <c r="C311" i="3"/>
  <c r="C312" i="3"/>
  <c r="C313" i="3"/>
  <c r="C314" i="3"/>
  <c r="C315" i="3"/>
  <c r="C316" i="3"/>
  <c r="C317" i="3"/>
  <c r="C318" i="3"/>
  <c r="C319" i="3"/>
  <c r="C320" i="3"/>
  <c r="C321" i="3"/>
  <c r="C322" i="3"/>
  <c r="C323" i="3"/>
  <c r="C324" i="3"/>
  <c r="C325" i="3"/>
  <c r="C326" i="3"/>
  <c r="C327" i="3"/>
  <c r="C328" i="3"/>
  <c r="C329" i="3"/>
  <c r="C330" i="3"/>
  <c r="C331" i="3"/>
  <c r="C332" i="3"/>
  <c r="C333" i="3"/>
  <c r="C334" i="3"/>
  <c r="C335" i="3"/>
  <c r="C336" i="3"/>
  <c r="C337" i="3"/>
  <c r="C338" i="3"/>
  <c r="C339" i="3"/>
  <c r="C340" i="3"/>
  <c r="C341" i="3"/>
  <c r="C342" i="3"/>
  <c r="C343" i="3"/>
  <c r="C344" i="3"/>
  <c r="C345" i="3"/>
  <c r="C346" i="3"/>
  <c r="C347" i="3"/>
  <c r="C348" i="3"/>
  <c r="C349" i="3"/>
  <c r="C350" i="3"/>
  <c r="C351" i="3"/>
  <c r="C352" i="3"/>
  <c r="C353" i="3"/>
  <c r="C354" i="3"/>
  <c r="C355" i="3"/>
  <c r="C356" i="3"/>
  <c r="C357" i="3"/>
  <c r="C358" i="3"/>
  <c r="C359" i="3"/>
  <c r="C360" i="3"/>
  <c r="C361" i="3"/>
  <c r="C362" i="3"/>
  <c r="C363" i="3"/>
  <c r="C364" i="3"/>
  <c r="C365" i="3"/>
  <c r="C366" i="3"/>
  <c r="C367" i="3"/>
  <c r="C368" i="3"/>
  <c r="C369" i="3"/>
  <c r="C370" i="3"/>
  <c r="C371" i="3"/>
  <c r="C372" i="3"/>
  <c r="C373" i="3"/>
  <c r="C374" i="3"/>
  <c r="C375" i="3"/>
  <c r="C376" i="3"/>
  <c r="C377" i="3"/>
  <c r="C378" i="3"/>
  <c r="C379" i="3"/>
  <c r="C380" i="3"/>
  <c r="C381" i="3"/>
  <c r="C382" i="3"/>
  <c r="C383" i="3"/>
  <c r="C384" i="3"/>
  <c r="C385" i="3"/>
  <c r="C386" i="3"/>
  <c r="C387" i="3"/>
  <c r="C388" i="3"/>
  <c r="C389" i="3"/>
  <c r="C390" i="3"/>
  <c r="C391" i="3"/>
  <c r="C392" i="3"/>
  <c r="C393" i="3"/>
  <c r="C394" i="3"/>
  <c r="C395" i="3"/>
  <c r="C396" i="3"/>
  <c r="C397" i="3"/>
  <c r="C398" i="3"/>
  <c r="C399" i="3"/>
  <c r="C400" i="3"/>
  <c r="C401" i="3"/>
  <c r="C402" i="3"/>
  <c r="C403" i="3"/>
  <c r="C404" i="3"/>
  <c r="C405" i="3"/>
  <c r="C406" i="3"/>
  <c r="C407" i="3"/>
  <c r="C408" i="3"/>
  <c r="C409" i="3"/>
  <c r="C410" i="3"/>
  <c r="C411" i="3"/>
  <c r="C412" i="3"/>
  <c r="C413" i="3"/>
  <c r="C414" i="3"/>
  <c r="C415" i="3"/>
  <c r="C416" i="3"/>
  <c r="C417" i="3"/>
  <c r="C418" i="3"/>
  <c r="C419" i="3"/>
  <c r="C420" i="3"/>
  <c r="C421" i="3"/>
  <c r="C422" i="3"/>
  <c r="C423" i="3"/>
  <c r="C424" i="3"/>
  <c r="C425" i="3"/>
  <c r="C426" i="3"/>
  <c r="C427" i="3"/>
  <c r="C428" i="3"/>
  <c r="C429" i="3"/>
  <c r="C430" i="3"/>
  <c r="C431" i="3"/>
  <c r="C432" i="3"/>
  <c r="C433" i="3"/>
  <c r="C434" i="3"/>
  <c r="C435" i="3"/>
  <c r="C436" i="3"/>
  <c r="C437" i="3"/>
  <c r="C438" i="3"/>
  <c r="C439" i="3"/>
  <c r="C440" i="3"/>
  <c r="C441" i="3"/>
  <c r="C442" i="3"/>
  <c r="C443" i="3"/>
  <c r="C444" i="3"/>
  <c r="C445" i="3"/>
  <c r="C446" i="3"/>
  <c r="C447" i="3"/>
  <c r="C448" i="3"/>
  <c r="C449" i="3"/>
  <c r="C450" i="3"/>
  <c r="C451" i="3"/>
  <c r="C452" i="3"/>
  <c r="C453" i="3"/>
  <c r="C454" i="3"/>
  <c r="C455" i="3"/>
  <c r="C456" i="3"/>
  <c r="C457" i="3"/>
  <c r="C458" i="3"/>
  <c r="C459" i="3"/>
  <c r="C460" i="3"/>
  <c r="C461" i="3"/>
  <c r="C462" i="3"/>
  <c r="C463" i="3"/>
  <c r="C464" i="3"/>
  <c r="C465" i="3"/>
  <c r="C466" i="3"/>
  <c r="C467" i="3"/>
  <c r="C468" i="3"/>
  <c r="C469" i="3"/>
  <c r="C470" i="3"/>
  <c r="C471" i="3"/>
  <c r="C472" i="3"/>
  <c r="C473" i="3"/>
  <c r="C474" i="3"/>
  <c r="C475" i="3"/>
  <c r="C476" i="3"/>
  <c r="C477" i="3"/>
  <c r="C478" i="3"/>
  <c r="C479" i="3"/>
  <c r="C480" i="3"/>
  <c r="C481" i="3"/>
  <c r="C482" i="3"/>
  <c r="C483" i="3"/>
  <c r="C484" i="3"/>
  <c r="C485" i="3"/>
  <c r="C486" i="3"/>
  <c r="C487" i="3"/>
  <c r="C488" i="3"/>
  <c r="C489" i="3"/>
  <c r="C490" i="3"/>
  <c r="C491" i="3"/>
  <c r="C492" i="3"/>
  <c r="C493" i="3"/>
  <c r="C494" i="3"/>
  <c r="C495" i="3"/>
  <c r="C496" i="3"/>
  <c r="C497" i="3"/>
  <c r="C498" i="3"/>
  <c r="C499" i="3"/>
  <c r="C500" i="3"/>
  <c r="C501" i="3"/>
  <c r="C502" i="3"/>
  <c r="C503" i="3"/>
  <c r="C504" i="3"/>
  <c r="C505" i="3"/>
  <c r="C506" i="3"/>
  <c r="C507" i="3"/>
  <c r="C508" i="3"/>
  <c r="C509" i="3"/>
  <c r="C510" i="3"/>
  <c r="C511" i="3"/>
  <c r="C512" i="3"/>
  <c r="C513" i="3"/>
  <c r="C514" i="3"/>
  <c r="C515" i="3"/>
  <c r="C516" i="3"/>
  <c r="C517" i="3"/>
  <c r="C518" i="3"/>
  <c r="C519" i="3"/>
  <c r="C520" i="3"/>
  <c r="C521" i="3"/>
  <c r="C522" i="3"/>
  <c r="C523" i="3"/>
  <c r="C524" i="3"/>
  <c r="C525" i="3"/>
  <c r="C526" i="3"/>
  <c r="C527" i="3"/>
  <c r="C528" i="3"/>
  <c r="C529" i="3"/>
  <c r="C530" i="3"/>
  <c r="C531" i="3"/>
  <c r="C532" i="3"/>
  <c r="C533" i="3"/>
  <c r="C534" i="3"/>
  <c r="C535" i="3"/>
  <c r="C536" i="3"/>
  <c r="C537" i="3"/>
  <c r="C538" i="3"/>
  <c r="C539" i="3"/>
  <c r="C540" i="3"/>
  <c r="C541" i="3"/>
  <c r="C542" i="3"/>
  <c r="C543" i="3"/>
  <c r="C544" i="3"/>
  <c r="C545" i="3"/>
  <c r="C546" i="3"/>
  <c r="C547" i="3"/>
  <c r="C548" i="3"/>
  <c r="C549" i="3"/>
  <c r="C550" i="3"/>
  <c r="C551" i="3"/>
  <c r="C552" i="3"/>
  <c r="C553" i="3"/>
  <c r="C554" i="3"/>
  <c r="C555" i="3"/>
  <c r="C556" i="3"/>
  <c r="C557" i="3"/>
  <c r="C558" i="3"/>
  <c r="C559" i="3"/>
  <c r="C560" i="3"/>
  <c r="C561" i="3"/>
  <c r="C562" i="3"/>
  <c r="C563" i="3"/>
  <c r="C564" i="3"/>
  <c r="C565" i="3"/>
  <c r="C566" i="3"/>
  <c r="C567" i="3"/>
  <c r="C568" i="3"/>
  <c r="C569" i="3"/>
  <c r="C570" i="3"/>
  <c r="C571" i="3"/>
  <c r="C572" i="3"/>
  <c r="C573" i="3"/>
  <c r="C574" i="3"/>
  <c r="C575" i="3"/>
  <c r="C576" i="3"/>
  <c r="C577" i="3"/>
  <c r="C578" i="3"/>
  <c r="C579" i="3"/>
  <c r="C580" i="3"/>
  <c r="C581" i="3"/>
  <c r="C582" i="3"/>
  <c r="C583" i="3"/>
  <c r="C584" i="3"/>
  <c r="C585" i="3"/>
  <c r="C586" i="3"/>
  <c r="C587" i="3"/>
  <c r="C588" i="3"/>
  <c r="C589" i="3"/>
  <c r="C590" i="3"/>
  <c r="C591" i="3"/>
  <c r="C592" i="3"/>
  <c r="C593" i="3"/>
  <c r="C594" i="3"/>
  <c r="C595" i="3"/>
  <c r="C596" i="3"/>
  <c r="C597" i="3"/>
  <c r="C598" i="3"/>
  <c r="C599" i="3"/>
  <c r="C600" i="3"/>
  <c r="C601" i="3"/>
  <c r="C602" i="3"/>
  <c r="C603" i="3"/>
  <c r="C604" i="3"/>
  <c r="C605" i="3"/>
  <c r="C606" i="3"/>
  <c r="C607" i="3"/>
  <c r="C608" i="3"/>
  <c r="C609" i="3"/>
  <c r="C610" i="3"/>
  <c r="C611" i="3"/>
  <c r="C612" i="3"/>
  <c r="C613" i="3"/>
  <c r="C614" i="3"/>
  <c r="C615" i="3"/>
  <c r="C616" i="3"/>
  <c r="C617" i="3"/>
  <c r="C618" i="3"/>
  <c r="C619" i="3"/>
  <c r="C620" i="3"/>
  <c r="C621" i="3"/>
  <c r="C622" i="3"/>
  <c r="C623" i="3"/>
  <c r="C624" i="3"/>
  <c r="C625" i="3"/>
  <c r="C626" i="3"/>
  <c r="C627" i="3"/>
  <c r="C628" i="3"/>
  <c r="C629" i="3"/>
  <c r="C630" i="3"/>
  <c r="C631" i="3"/>
  <c r="C632" i="3"/>
  <c r="C633" i="3"/>
  <c r="C634" i="3"/>
  <c r="C635" i="3"/>
  <c r="C636" i="3"/>
  <c r="C637" i="3"/>
  <c r="C638" i="3"/>
  <c r="C639" i="3"/>
  <c r="C640" i="3"/>
  <c r="C641" i="3"/>
  <c r="C642" i="3"/>
  <c r="C643" i="3"/>
  <c r="C644" i="3"/>
  <c r="C645" i="3"/>
  <c r="C646" i="3"/>
  <c r="C647" i="3"/>
  <c r="C648" i="3"/>
  <c r="C649" i="3"/>
  <c r="C650" i="3"/>
  <c r="C651" i="3"/>
  <c r="C652" i="3"/>
  <c r="C653" i="3"/>
  <c r="C654" i="3"/>
  <c r="C655" i="3"/>
  <c r="C656" i="3"/>
  <c r="C657" i="3"/>
  <c r="C658" i="3"/>
  <c r="C659" i="3"/>
  <c r="C660" i="3"/>
  <c r="C661" i="3"/>
  <c r="C662" i="3"/>
  <c r="C663" i="3"/>
  <c r="C664" i="3"/>
  <c r="C665" i="3"/>
  <c r="C666" i="3"/>
  <c r="C667" i="3"/>
  <c r="C668" i="3"/>
  <c r="C669" i="3"/>
  <c r="C670" i="3"/>
  <c r="C671" i="3"/>
  <c r="C672" i="3"/>
  <c r="C673" i="3"/>
  <c r="C674" i="3"/>
  <c r="C675" i="3"/>
  <c r="C676" i="3"/>
  <c r="C677" i="3"/>
  <c r="C678" i="3"/>
  <c r="C679" i="3"/>
  <c r="C680" i="3"/>
  <c r="C681" i="3"/>
  <c r="C682" i="3"/>
  <c r="C683" i="3"/>
  <c r="C684" i="3"/>
  <c r="C685" i="3"/>
  <c r="C686" i="3"/>
  <c r="C687" i="3"/>
  <c r="C688" i="3"/>
  <c r="C689" i="3"/>
  <c r="C690" i="3"/>
  <c r="C691" i="3"/>
  <c r="C692" i="3"/>
  <c r="C693" i="3"/>
  <c r="C694" i="3"/>
  <c r="C695" i="3"/>
  <c r="C696" i="3"/>
  <c r="C697" i="3"/>
  <c r="C698" i="3"/>
  <c r="C699" i="3"/>
  <c r="C700" i="3"/>
  <c r="C701" i="3"/>
  <c r="C702" i="3"/>
  <c r="C703" i="3"/>
  <c r="C704" i="3"/>
  <c r="C705" i="3"/>
  <c r="C706" i="3"/>
  <c r="C707" i="3"/>
  <c r="C708" i="3"/>
  <c r="C709" i="3"/>
  <c r="C710" i="3"/>
  <c r="C711" i="3"/>
  <c r="C712" i="3"/>
  <c r="C713" i="3"/>
  <c r="C714" i="3"/>
  <c r="C715" i="3"/>
  <c r="C716" i="3"/>
  <c r="C717" i="3"/>
  <c r="C718" i="3"/>
  <c r="C719" i="3"/>
  <c r="C720" i="3"/>
  <c r="C721" i="3"/>
  <c r="C722" i="3"/>
  <c r="C723" i="3"/>
  <c r="C724" i="3"/>
  <c r="C725" i="3"/>
  <c r="C726" i="3"/>
  <c r="C727" i="3"/>
  <c r="C728" i="3"/>
  <c r="C729" i="3"/>
  <c r="C730" i="3"/>
  <c r="C731" i="3"/>
  <c r="C732" i="3"/>
  <c r="C733" i="3"/>
  <c r="C734" i="3"/>
  <c r="C735" i="3"/>
  <c r="C736" i="3"/>
  <c r="C737" i="3"/>
  <c r="C738" i="3"/>
  <c r="C739" i="3"/>
  <c r="C740" i="3"/>
  <c r="C741" i="3"/>
  <c r="C742" i="3"/>
  <c r="C743" i="3"/>
  <c r="C744" i="3"/>
  <c r="C745" i="3"/>
  <c r="C746" i="3"/>
  <c r="C747" i="3"/>
  <c r="C748" i="3"/>
  <c r="C749" i="3"/>
  <c r="C750" i="3"/>
  <c r="C751" i="3"/>
  <c r="C752" i="3"/>
  <c r="C753" i="3"/>
  <c r="C754" i="3"/>
  <c r="C755" i="3"/>
  <c r="C756" i="3"/>
  <c r="C757" i="3"/>
  <c r="C758" i="3"/>
  <c r="C759" i="3"/>
  <c r="C760" i="3"/>
  <c r="C761" i="3"/>
  <c r="C762" i="3"/>
  <c r="C763" i="3"/>
  <c r="C764" i="3"/>
  <c r="C765" i="3"/>
  <c r="C766" i="3"/>
  <c r="C767" i="3"/>
  <c r="C768" i="3"/>
  <c r="C769" i="3"/>
  <c r="C770" i="3"/>
  <c r="C771" i="3"/>
  <c r="C772" i="3"/>
  <c r="C773" i="3"/>
  <c r="C774" i="3"/>
  <c r="C775" i="3"/>
  <c r="C776" i="3"/>
  <c r="C777" i="3"/>
  <c r="C778" i="3"/>
  <c r="C779" i="3"/>
  <c r="C780" i="3"/>
  <c r="C781" i="3"/>
  <c r="C782" i="3"/>
  <c r="C783" i="3"/>
  <c r="C784" i="3"/>
  <c r="C785" i="3"/>
  <c r="C786" i="3"/>
  <c r="C787" i="3"/>
  <c r="C788" i="3"/>
  <c r="C789" i="3"/>
  <c r="C790" i="3"/>
  <c r="C791" i="3"/>
  <c r="C792" i="3"/>
  <c r="C793" i="3"/>
  <c r="C794" i="3"/>
  <c r="C795" i="3"/>
  <c r="C796" i="3"/>
  <c r="C797" i="3"/>
  <c r="C798" i="3"/>
  <c r="C799" i="3"/>
  <c r="C800" i="3"/>
  <c r="C801" i="3"/>
  <c r="C802" i="3"/>
  <c r="C803" i="3"/>
  <c r="C804" i="3"/>
  <c r="C805" i="3"/>
  <c r="C806" i="3"/>
  <c r="C807" i="3"/>
  <c r="C808" i="3"/>
  <c r="C809" i="3"/>
  <c r="C810" i="3"/>
  <c r="C811" i="3"/>
  <c r="C812" i="3"/>
  <c r="C813" i="3"/>
  <c r="C814" i="3"/>
  <c r="C815" i="3"/>
  <c r="C816" i="3"/>
  <c r="C817" i="3"/>
  <c r="C818" i="3"/>
  <c r="C819" i="3"/>
  <c r="C820" i="3"/>
  <c r="C821" i="3"/>
  <c r="C822" i="3"/>
  <c r="C823" i="3"/>
  <c r="C824" i="3"/>
  <c r="C825" i="3"/>
  <c r="C826" i="3"/>
  <c r="C827" i="3"/>
  <c r="C828" i="3"/>
  <c r="C829" i="3"/>
  <c r="C830" i="3"/>
  <c r="C831" i="3"/>
  <c r="C832" i="3"/>
  <c r="C833" i="3"/>
  <c r="C834" i="3"/>
  <c r="C835" i="3"/>
  <c r="C836" i="3"/>
  <c r="C837" i="3"/>
  <c r="C838" i="3"/>
  <c r="C839" i="3"/>
  <c r="C840" i="3"/>
  <c r="C841" i="3"/>
  <c r="C842" i="3"/>
  <c r="C843" i="3"/>
  <c r="C844" i="3"/>
  <c r="C845" i="3"/>
  <c r="C846" i="3"/>
  <c r="C847" i="3"/>
  <c r="C848" i="3"/>
  <c r="C849" i="3"/>
  <c r="C850" i="3"/>
  <c r="C851" i="3"/>
  <c r="C852" i="3"/>
  <c r="C853" i="3"/>
  <c r="C854" i="3"/>
  <c r="C855" i="3"/>
  <c r="C856" i="3"/>
  <c r="C857" i="3"/>
  <c r="C858" i="3"/>
  <c r="C859" i="3"/>
  <c r="C860" i="3"/>
  <c r="C861" i="3"/>
  <c r="C862" i="3"/>
  <c r="C863" i="3"/>
  <c r="C864" i="3"/>
  <c r="C865" i="3"/>
  <c r="C866" i="3"/>
  <c r="C867" i="3"/>
  <c r="C868" i="3"/>
  <c r="C869" i="3"/>
  <c r="C870" i="3"/>
  <c r="C871" i="3"/>
  <c r="C872" i="3"/>
  <c r="C873" i="3"/>
  <c r="C874" i="3"/>
  <c r="C875" i="3"/>
  <c r="C876" i="3"/>
  <c r="C877" i="3"/>
  <c r="C878" i="3"/>
  <c r="C879" i="3"/>
  <c r="C880" i="3"/>
  <c r="C881" i="3"/>
  <c r="C882" i="3"/>
  <c r="C883" i="3"/>
  <c r="C884" i="3"/>
  <c r="C885" i="3"/>
  <c r="C886" i="3"/>
  <c r="C887" i="3"/>
  <c r="C888" i="3"/>
  <c r="C889" i="3"/>
  <c r="C890" i="3"/>
  <c r="C891" i="3"/>
  <c r="C892" i="3"/>
  <c r="C893" i="3"/>
  <c r="C894" i="3"/>
  <c r="C895" i="3"/>
  <c r="C896" i="3"/>
  <c r="C897" i="3"/>
  <c r="C898" i="3"/>
  <c r="C899" i="3"/>
  <c r="C900" i="3"/>
  <c r="C901" i="3"/>
  <c r="C902" i="3"/>
  <c r="C903" i="3"/>
  <c r="C904" i="3"/>
  <c r="C905" i="3"/>
  <c r="C906" i="3"/>
  <c r="C907" i="3"/>
  <c r="C908" i="3"/>
  <c r="C909" i="3"/>
  <c r="C910" i="3"/>
  <c r="C911" i="3"/>
  <c r="C912" i="3"/>
  <c r="C913" i="3"/>
  <c r="C914" i="3"/>
  <c r="C915" i="3"/>
  <c r="C916" i="3"/>
  <c r="C917" i="3"/>
  <c r="C918" i="3"/>
  <c r="C919" i="3"/>
  <c r="C920" i="3"/>
  <c r="C921" i="3"/>
  <c r="C922" i="3"/>
  <c r="C923" i="3"/>
  <c r="C924" i="3"/>
  <c r="C925" i="3"/>
  <c r="C926" i="3"/>
  <c r="C927" i="3"/>
  <c r="C928" i="3"/>
  <c r="C929" i="3"/>
  <c r="C930" i="3"/>
  <c r="C931" i="3"/>
  <c r="C932" i="3"/>
  <c r="C933" i="3"/>
  <c r="C934" i="3"/>
  <c r="C935" i="3"/>
  <c r="C936" i="3"/>
  <c r="C937" i="3"/>
  <c r="C938" i="3"/>
  <c r="C939" i="3"/>
  <c r="C940" i="3"/>
  <c r="C941" i="3"/>
  <c r="C942" i="3"/>
  <c r="C943" i="3"/>
  <c r="C944" i="3"/>
  <c r="C945" i="3"/>
  <c r="C946" i="3"/>
  <c r="C947" i="3"/>
  <c r="C948" i="3"/>
  <c r="C949" i="3"/>
  <c r="C950" i="3"/>
  <c r="C951" i="3"/>
  <c r="C952" i="3"/>
  <c r="C953" i="3"/>
  <c r="C954" i="3"/>
  <c r="C955" i="3"/>
  <c r="C956" i="3"/>
  <c r="C957" i="3"/>
  <c r="C958" i="3"/>
  <c r="C959" i="3"/>
  <c r="C960" i="3"/>
  <c r="C961" i="3"/>
  <c r="C962" i="3"/>
  <c r="C963" i="3"/>
  <c r="C964" i="3"/>
  <c r="C965" i="3"/>
  <c r="C966" i="3"/>
  <c r="C967" i="3"/>
  <c r="C968" i="3"/>
  <c r="C969" i="3"/>
  <c r="C970" i="3"/>
  <c r="C971" i="3"/>
  <c r="C972" i="3"/>
  <c r="C973" i="3"/>
  <c r="C974" i="3"/>
  <c r="C975" i="3"/>
  <c r="C976" i="3"/>
  <c r="C977" i="3"/>
  <c r="C978" i="3"/>
  <c r="C979" i="3"/>
  <c r="C980" i="3"/>
  <c r="C981" i="3"/>
  <c r="C982" i="3"/>
  <c r="C983" i="3"/>
  <c r="C984" i="3"/>
  <c r="C985" i="3"/>
  <c r="C986" i="3"/>
  <c r="C987" i="3"/>
  <c r="C988" i="3"/>
  <c r="C989" i="3"/>
  <c r="C990" i="3"/>
  <c r="C991" i="3"/>
  <c r="C992" i="3"/>
  <c r="C993" i="3"/>
  <c r="C994" i="3"/>
  <c r="C995" i="3"/>
  <c r="C996" i="3"/>
  <c r="C997" i="3"/>
  <c r="C998" i="3"/>
  <c r="C999" i="3"/>
  <c r="C1000" i="3"/>
  <c r="C1001" i="3"/>
  <c r="C1002" i="3"/>
  <c r="C1003" i="3"/>
  <c r="C1004" i="3"/>
  <c r="C1005" i="3"/>
  <c r="C1006" i="3"/>
  <c r="C1007" i="3"/>
  <c r="C1008" i="3"/>
  <c r="C1009" i="3"/>
  <c r="C1010" i="3"/>
  <c r="C1011" i="3"/>
  <c r="C1012" i="3"/>
  <c r="C1013" i="3"/>
  <c r="C1014" i="3"/>
  <c r="C1015" i="3"/>
  <c r="C1016" i="3"/>
  <c r="C1017" i="3"/>
  <c r="C1018" i="3"/>
  <c r="C1019" i="3"/>
  <c r="C1020" i="3"/>
  <c r="C1021" i="3"/>
  <c r="C1022" i="3"/>
  <c r="C1023" i="3"/>
  <c r="C1024" i="3"/>
  <c r="C1025" i="3"/>
  <c r="C1026" i="3"/>
  <c r="C1027" i="3"/>
  <c r="C1029" i="3"/>
  <c r="C1030" i="3"/>
  <c r="C1031" i="3"/>
  <c r="C1032" i="3"/>
  <c r="C1033" i="3"/>
  <c r="C1034" i="3"/>
  <c r="C1035" i="3"/>
  <c r="C1036" i="3"/>
  <c r="C1037" i="3"/>
  <c r="C2" i="3"/>
  <c r="C3" i="2"/>
  <c r="C4" i="2"/>
  <c r="C5" i="2"/>
  <c r="C6" i="2"/>
  <c r="C7" i="2"/>
  <c r="C8" i="2"/>
  <c r="C9" i="2"/>
  <c r="C10" i="2"/>
  <c r="C15" i="2"/>
  <c r="C16" i="2"/>
  <c r="C17" i="2"/>
  <c r="C18" i="2"/>
  <c r="C19" i="2"/>
  <c r="C20" i="2"/>
  <c r="C21" i="2"/>
  <c r="C22" i="2"/>
  <c r="C23" i="2"/>
  <c r="C24" i="2"/>
  <c r="C25" i="2"/>
  <c r="C26" i="2"/>
  <c r="C27" i="2"/>
  <c r="C28" i="2"/>
  <c r="C29" i="2"/>
  <c r="C30" i="2"/>
  <c r="C31" i="2"/>
  <c r="C32" i="2"/>
  <c r="C33"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3" i="2"/>
  <c r="C374" i="2"/>
  <c r="C375" i="2"/>
  <c r="C376" i="2"/>
  <c r="C377" i="2"/>
  <c r="C378" i="2"/>
  <c r="C379" i="2"/>
  <c r="C380" i="2"/>
  <c r="C540" i="2"/>
  <c r="C544" i="2"/>
  <c r="C547" i="2"/>
  <c r="C382" i="2"/>
  <c r="C384" i="2"/>
  <c r="C385" i="2"/>
  <c r="C387" i="2"/>
  <c r="C388" i="2"/>
  <c r="C389" i="2"/>
  <c r="C390" i="2"/>
  <c r="C391" i="2"/>
  <c r="C392" i="2"/>
  <c r="C393" i="2"/>
  <c r="C394" i="2"/>
  <c r="C395" i="2"/>
  <c r="C396" i="2"/>
  <c r="C397" i="2"/>
  <c r="C398" i="2"/>
  <c r="C399" i="2"/>
  <c r="C400" i="2"/>
  <c r="C401" i="2"/>
  <c r="C402" i="2"/>
  <c r="C403" i="2"/>
  <c r="C404" i="2"/>
  <c r="C405" i="2"/>
  <c r="C406" i="2"/>
  <c r="C407" i="2"/>
  <c r="C408" i="2"/>
  <c r="C409" i="2"/>
  <c r="C410" i="2"/>
  <c r="C411" i="2"/>
  <c r="C412" i="2"/>
  <c r="C413" i="2"/>
  <c r="C414" i="2"/>
  <c r="C415" i="2"/>
  <c r="C416" i="2"/>
  <c r="C417" i="2"/>
  <c r="C418" i="2"/>
  <c r="C419" i="2"/>
  <c r="C420" i="2"/>
  <c r="C421" i="2"/>
  <c r="C422" i="2"/>
  <c r="C423" i="2"/>
  <c r="C424" i="2"/>
  <c r="C425" i="2"/>
  <c r="C426" i="2"/>
  <c r="C427" i="2"/>
  <c r="C428" i="2"/>
  <c r="C429" i="2"/>
  <c r="C430" i="2"/>
  <c r="C431" i="2"/>
  <c r="C432" i="2"/>
  <c r="C433" i="2"/>
  <c r="C434" i="2"/>
  <c r="C435" i="2"/>
  <c r="C436" i="2"/>
  <c r="C437" i="2"/>
  <c r="C438" i="2"/>
  <c r="C439" i="2"/>
  <c r="C440" i="2"/>
  <c r="C441" i="2"/>
  <c r="C442" i="2"/>
  <c r="C443" i="2"/>
  <c r="C444" i="2"/>
  <c r="C445" i="2"/>
  <c r="C446" i="2"/>
  <c r="C447" i="2"/>
  <c r="C448" i="2"/>
  <c r="C449" i="2"/>
  <c r="C450" i="2"/>
  <c r="C451" i="2"/>
  <c r="C452" i="2"/>
  <c r="C453" i="2"/>
  <c r="C454" i="2"/>
  <c r="C455" i="2"/>
  <c r="C456" i="2"/>
  <c r="C457" i="2"/>
  <c r="C458" i="2"/>
  <c r="C459" i="2"/>
  <c r="C460" i="2"/>
  <c r="C461" i="2"/>
  <c r="C462" i="2"/>
  <c r="C463" i="2"/>
  <c r="C464" i="2"/>
  <c r="C465" i="2"/>
  <c r="C466" i="2"/>
  <c r="C467" i="2"/>
  <c r="C468" i="2"/>
  <c r="C469" i="2"/>
  <c r="C470" i="2"/>
  <c r="C471" i="2"/>
  <c r="C472" i="2"/>
  <c r="C473" i="2"/>
  <c r="C474" i="2"/>
  <c r="C475" i="2"/>
  <c r="C476" i="2"/>
  <c r="C477" i="2"/>
  <c r="C478" i="2"/>
  <c r="C479" i="2"/>
  <c r="C480" i="2"/>
  <c r="C481" i="2"/>
  <c r="C482" i="2"/>
  <c r="C483" i="2"/>
  <c r="C484" i="2"/>
  <c r="C485" i="2"/>
  <c r="C486" i="2"/>
  <c r="C487" i="2"/>
  <c r="C488" i="2"/>
  <c r="C489" i="2"/>
  <c r="C490" i="2"/>
  <c r="C491" i="2"/>
  <c r="C492" i="2"/>
  <c r="C493" i="2"/>
  <c r="C494" i="2"/>
  <c r="C495" i="2"/>
  <c r="C496" i="2"/>
  <c r="C497" i="2"/>
  <c r="C498" i="2"/>
  <c r="C499" i="2"/>
  <c r="C500" i="2"/>
  <c r="C501" i="2"/>
  <c r="C502" i="2"/>
  <c r="C503" i="2"/>
  <c r="C504" i="2"/>
  <c r="C505" i="2"/>
  <c r="C506" i="2"/>
  <c r="C507" i="2"/>
  <c r="C508" i="2"/>
  <c r="C509" i="2"/>
  <c r="C510" i="2"/>
  <c r="C511" i="2"/>
  <c r="C512" i="2"/>
  <c r="C513" i="2"/>
  <c r="C514" i="2"/>
  <c r="C515" i="2"/>
  <c r="C516" i="2"/>
  <c r="C517" i="2"/>
  <c r="C518" i="2"/>
  <c r="C519" i="2"/>
  <c r="C520" i="2"/>
  <c r="C521" i="2"/>
  <c r="C522" i="2"/>
  <c r="C523" i="2"/>
  <c r="C524" i="2"/>
  <c r="C525" i="2"/>
  <c r="C526" i="2"/>
  <c r="C527" i="2"/>
  <c r="C528" i="2"/>
  <c r="C529" i="2"/>
  <c r="C530" i="2"/>
  <c r="C531" i="2"/>
  <c r="C532" i="2"/>
  <c r="C533" i="2"/>
  <c r="C534" i="2"/>
  <c r="C535" i="2"/>
  <c r="C536" i="2"/>
  <c r="C537" i="2"/>
  <c r="C538" i="2"/>
  <c r="C887" i="2"/>
  <c r="C889" i="2"/>
  <c r="C541" i="2"/>
  <c r="C542" i="2"/>
  <c r="C1708" i="2"/>
  <c r="C888" i="2"/>
  <c r="C545" i="2"/>
  <c r="C546" i="2"/>
  <c r="C890" i="2"/>
  <c r="C1709" i="2"/>
  <c r="C549" i="2"/>
  <c r="C550" i="2"/>
  <c r="C551" i="2"/>
  <c r="C552" i="2"/>
  <c r="C553" i="2"/>
  <c r="C554" i="2"/>
  <c r="C555" i="2"/>
  <c r="C556" i="2"/>
  <c r="C557" i="2"/>
  <c r="C558" i="2"/>
  <c r="C559" i="2"/>
  <c r="C560" i="2"/>
  <c r="C561" i="2"/>
  <c r="C562" i="2"/>
  <c r="C563" i="2"/>
  <c r="C564" i="2"/>
  <c r="C565" i="2"/>
  <c r="C566" i="2"/>
  <c r="C567" i="2"/>
  <c r="C568" i="2"/>
  <c r="C569" i="2"/>
  <c r="C570" i="2"/>
  <c r="C571" i="2"/>
  <c r="C572" i="2"/>
  <c r="C573" i="2"/>
  <c r="C574" i="2"/>
  <c r="C575" i="2"/>
  <c r="C576" i="2"/>
  <c r="C577" i="2"/>
  <c r="C578" i="2"/>
  <c r="C579" i="2"/>
  <c r="C580" i="2"/>
  <c r="C581" i="2"/>
  <c r="C582" i="2"/>
  <c r="C583" i="2"/>
  <c r="C584" i="2"/>
  <c r="C585" i="2"/>
  <c r="C586" i="2"/>
  <c r="C587" i="2"/>
  <c r="C588" i="2"/>
  <c r="C589" i="2"/>
  <c r="C590" i="2"/>
  <c r="C591" i="2"/>
  <c r="C592" i="2"/>
  <c r="C593" i="2"/>
  <c r="C594" i="2"/>
  <c r="C595" i="2"/>
  <c r="C596" i="2"/>
  <c r="C597" i="2"/>
  <c r="C598" i="2"/>
  <c r="C599" i="2"/>
  <c r="C600" i="2"/>
  <c r="C601" i="2"/>
  <c r="C602" i="2"/>
  <c r="C603" i="2"/>
  <c r="C604" i="2"/>
  <c r="C605" i="2"/>
  <c r="C606" i="2"/>
  <c r="C607" i="2"/>
  <c r="C608" i="2"/>
  <c r="C609" i="2"/>
  <c r="C610" i="2"/>
  <c r="C611" i="2"/>
  <c r="C612" i="2"/>
  <c r="C613" i="2"/>
  <c r="C614" i="2"/>
  <c r="C615" i="2"/>
  <c r="C616" i="2"/>
  <c r="C617" i="2"/>
  <c r="C618" i="2"/>
  <c r="C619" i="2"/>
  <c r="C620" i="2"/>
  <c r="C621" i="2"/>
  <c r="C622" i="2"/>
  <c r="C623" i="2"/>
  <c r="C624" i="2"/>
  <c r="C625" i="2"/>
  <c r="C626" i="2"/>
  <c r="C627" i="2"/>
  <c r="C628" i="2"/>
  <c r="C629" i="2"/>
  <c r="C630" i="2"/>
  <c r="C631" i="2"/>
  <c r="C632" i="2"/>
  <c r="C633" i="2"/>
  <c r="C634" i="2"/>
  <c r="C635" i="2"/>
  <c r="C636" i="2"/>
  <c r="C637" i="2"/>
  <c r="C638" i="2"/>
  <c r="C639" i="2"/>
  <c r="C640" i="2"/>
  <c r="C641" i="2"/>
  <c r="C642" i="2"/>
  <c r="C643" i="2"/>
  <c r="C644" i="2"/>
  <c r="C645" i="2"/>
  <c r="C646" i="2"/>
  <c r="C647" i="2"/>
  <c r="C648" i="2"/>
  <c r="C649" i="2"/>
  <c r="C650" i="2"/>
  <c r="C651" i="2"/>
  <c r="C652" i="2"/>
  <c r="C653" i="2"/>
  <c r="C654" i="2"/>
  <c r="C655" i="2"/>
  <c r="C656" i="2"/>
  <c r="C657" i="2"/>
  <c r="C658" i="2"/>
  <c r="C659" i="2"/>
  <c r="C660" i="2"/>
  <c r="C661" i="2"/>
  <c r="C662" i="2"/>
  <c r="C663" i="2"/>
  <c r="C664" i="2"/>
  <c r="C665" i="2"/>
  <c r="C666" i="2"/>
  <c r="C667" i="2"/>
  <c r="C668" i="2"/>
  <c r="C669" i="2"/>
  <c r="C670" i="2"/>
  <c r="C671" i="2"/>
  <c r="C672" i="2"/>
  <c r="C673" i="2"/>
  <c r="C674" i="2"/>
  <c r="C675" i="2"/>
  <c r="C676" i="2"/>
  <c r="C677" i="2"/>
  <c r="C678" i="2"/>
  <c r="C679" i="2"/>
  <c r="C680" i="2"/>
  <c r="C681" i="2"/>
  <c r="C682" i="2"/>
  <c r="C683" i="2"/>
  <c r="C684" i="2"/>
  <c r="C685" i="2"/>
  <c r="C686" i="2"/>
  <c r="C687" i="2"/>
  <c r="C688" i="2"/>
  <c r="C689" i="2"/>
  <c r="C690" i="2"/>
  <c r="C691" i="2"/>
  <c r="C692" i="2"/>
  <c r="C693" i="2"/>
  <c r="C694" i="2"/>
  <c r="C695" i="2"/>
  <c r="C696" i="2"/>
  <c r="C697" i="2"/>
  <c r="C698" i="2"/>
  <c r="C699" i="2"/>
  <c r="C700" i="2"/>
  <c r="C701" i="2"/>
  <c r="C702" i="2"/>
  <c r="C703" i="2"/>
  <c r="C704" i="2"/>
  <c r="C705" i="2"/>
  <c r="C706" i="2"/>
  <c r="C707" i="2"/>
  <c r="C708" i="2"/>
  <c r="C709" i="2"/>
  <c r="C710" i="2"/>
  <c r="C711" i="2"/>
  <c r="C712" i="2"/>
  <c r="C713" i="2"/>
  <c r="C714" i="2"/>
  <c r="C715" i="2"/>
  <c r="C716" i="2"/>
  <c r="C717" i="2"/>
  <c r="C718" i="2"/>
  <c r="C719" i="2"/>
  <c r="C720" i="2"/>
  <c r="C721" i="2"/>
  <c r="C722" i="2"/>
  <c r="C723" i="2"/>
  <c r="C724" i="2"/>
  <c r="C725" i="2"/>
  <c r="C726" i="2"/>
  <c r="C727" i="2"/>
  <c r="C728" i="2"/>
  <c r="C729" i="2"/>
  <c r="C730" i="2"/>
  <c r="C731" i="2"/>
  <c r="C732" i="2"/>
  <c r="C733" i="2"/>
  <c r="C734" i="2"/>
  <c r="C735" i="2"/>
  <c r="C736" i="2"/>
  <c r="C737" i="2"/>
  <c r="C738" i="2"/>
  <c r="C739" i="2"/>
  <c r="C740" i="2"/>
  <c r="C741" i="2"/>
  <c r="C742" i="2"/>
  <c r="C743" i="2"/>
  <c r="C744" i="2"/>
  <c r="C745" i="2"/>
  <c r="C746" i="2"/>
  <c r="C747" i="2"/>
  <c r="C748" i="2"/>
  <c r="C749" i="2"/>
  <c r="C750" i="2"/>
  <c r="C751" i="2"/>
  <c r="C752" i="2"/>
  <c r="C753" i="2"/>
  <c r="C754" i="2"/>
  <c r="C755" i="2"/>
  <c r="C756" i="2"/>
  <c r="C757" i="2"/>
  <c r="C758" i="2"/>
  <c r="C759" i="2"/>
  <c r="C760" i="2"/>
  <c r="C761" i="2"/>
  <c r="C762" i="2"/>
  <c r="C763" i="2"/>
  <c r="C764" i="2"/>
  <c r="C765" i="2"/>
  <c r="C766" i="2"/>
  <c r="C767" i="2"/>
  <c r="C768" i="2"/>
  <c r="C769" i="2"/>
  <c r="C770" i="2"/>
  <c r="C771" i="2"/>
  <c r="C772" i="2"/>
  <c r="C773" i="2"/>
  <c r="C774" i="2"/>
  <c r="C775" i="2"/>
  <c r="C776" i="2"/>
  <c r="C777" i="2"/>
  <c r="C778" i="2"/>
  <c r="C779" i="2"/>
  <c r="C780" i="2"/>
  <c r="C781" i="2"/>
  <c r="C782" i="2"/>
  <c r="C783" i="2"/>
  <c r="C784" i="2"/>
  <c r="C785" i="2"/>
  <c r="C786" i="2"/>
  <c r="C787" i="2"/>
  <c r="C788" i="2"/>
  <c r="C789" i="2"/>
  <c r="C790" i="2"/>
  <c r="C791" i="2"/>
  <c r="C792" i="2"/>
  <c r="C793" i="2"/>
  <c r="C794" i="2"/>
  <c r="C795" i="2"/>
  <c r="C796" i="2"/>
  <c r="C797" i="2"/>
  <c r="C798" i="2"/>
  <c r="C799" i="2"/>
  <c r="C800" i="2"/>
  <c r="C801" i="2"/>
  <c r="C802" i="2"/>
  <c r="C803" i="2"/>
  <c r="C804" i="2"/>
  <c r="C805" i="2"/>
  <c r="C806" i="2"/>
  <c r="C807" i="2"/>
  <c r="C808" i="2"/>
  <c r="C809" i="2"/>
  <c r="C810" i="2"/>
  <c r="C811" i="2"/>
  <c r="C812" i="2"/>
  <c r="C813" i="2"/>
  <c r="C814" i="2"/>
  <c r="C815" i="2"/>
  <c r="C816" i="2"/>
  <c r="C817" i="2"/>
  <c r="C818" i="2"/>
  <c r="C819" i="2"/>
  <c r="C820" i="2"/>
  <c r="C821" i="2"/>
  <c r="C822" i="2"/>
  <c r="C823" i="2"/>
  <c r="C824" i="2"/>
  <c r="C825" i="2"/>
  <c r="C826" i="2"/>
  <c r="C827" i="2"/>
  <c r="C828" i="2"/>
  <c r="C829" i="2"/>
  <c r="C830" i="2"/>
  <c r="C831" i="2"/>
  <c r="C832" i="2"/>
  <c r="C833" i="2"/>
  <c r="C834" i="2"/>
  <c r="C835" i="2"/>
  <c r="C836" i="2"/>
  <c r="C837" i="2"/>
  <c r="C838" i="2"/>
  <c r="C839" i="2"/>
  <c r="C840" i="2"/>
  <c r="C841" i="2"/>
  <c r="C842" i="2"/>
  <c r="C843" i="2"/>
  <c r="C844" i="2"/>
  <c r="C845" i="2"/>
  <c r="C846" i="2"/>
  <c r="C847" i="2"/>
  <c r="C848" i="2"/>
  <c r="C849" i="2"/>
  <c r="C850" i="2"/>
  <c r="C851" i="2"/>
  <c r="C852" i="2"/>
  <c r="C853" i="2"/>
  <c r="C854" i="2"/>
  <c r="C855" i="2"/>
  <c r="C856" i="2"/>
  <c r="C857" i="2"/>
  <c r="C858" i="2"/>
  <c r="C859" i="2"/>
  <c r="C860" i="2"/>
  <c r="C861" i="2"/>
  <c r="C862" i="2"/>
  <c r="C863" i="2"/>
  <c r="C864" i="2"/>
  <c r="C865" i="2"/>
  <c r="C866" i="2"/>
  <c r="C867" i="2"/>
  <c r="C868" i="2"/>
  <c r="C869" i="2"/>
  <c r="C870" i="2"/>
  <c r="C871" i="2"/>
  <c r="C872" i="2"/>
  <c r="C873" i="2"/>
  <c r="C874" i="2"/>
  <c r="C875" i="2"/>
  <c r="C876" i="2"/>
  <c r="C877" i="2"/>
  <c r="C878" i="2"/>
  <c r="C879" i="2"/>
  <c r="C880" i="2"/>
  <c r="C881" i="2"/>
  <c r="C882" i="2"/>
  <c r="C883" i="2"/>
  <c r="C884" i="2"/>
  <c r="C885" i="2"/>
  <c r="C886" i="2"/>
  <c r="C381" i="2"/>
  <c r="C383" i="2"/>
  <c r="C386" i="2"/>
  <c r="C539" i="2"/>
  <c r="C891" i="2"/>
  <c r="C892" i="2"/>
  <c r="C893" i="2"/>
  <c r="C894" i="2"/>
  <c r="C895" i="2"/>
  <c r="C896" i="2"/>
  <c r="C897" i="2"/>
  <c r="C898" i="2"/>
  <c r="C899" i="2"/>
  <c r="C900" i="2"/>
  <c r="C901" i="2"/>
  <c r="C902" i="2"/>
  <c r="C903" i="2"/>
  <c r="C904" i="2"/>
  <c r="C905" i="2"/>
  <c r="C906" i="2"/>
  <c r="C907" i="2"/>
  <c r="C908" i="2"/>
  <c r="C909" i="2"/>
  <c r="C910" i="2"/>
  <c r="C911" i="2"/>
  <c r="C912" i="2"/>
  <c r="C913" i="2"/>
  <c r="C914" i="2"/>
  <c r="C915" i="2"/>
  <c r="C916" i="2"/>
  <c r="C917" i="2"/>
  <c r="C918" i="2"/>
  <c r="C919" i="2"/>
  <c r="C920" i="2"/>
  <c r="C921" i="2"/>
  <c r="C922" i="2"/>
  <c r="C923" i="2"/>
  <c r="C924" i="2"/>
  <c r="C925" i="2"/>
  <c r="C926" i="2"/>
  <c r="C927" i="2"/>
  <c r="C928" i="2"/>
  <c r="C929" i="2"/>
  <c r="C930" i="2"/>
  <c r="C931" i="2"/>
  <c r="C932" i="2"/>
  <c r="C933" i="2"/>
  <c r="C934" i="2"/>
  <c r="C935" i="2"/>
  <c r="C936" i="2"/>
  <c r="C937" i="2"/>
  <c r="C938" i="2"/>
  <c r="C939" i="2"/>
  <c r="C940" i="2"/>
  <c r="C941" i="2"/>
  <c r="C942" i="2"/>
  <c r="C943" i="2"/>
  <c r="C944" i="2"/>
  <c r="C945" i="2"/>
  <c r="C946" i="2"/>
  <c r="C947" i="2"/>
  <c r="C948" i="2"/>
  <c r="C949" i="2"/>
  <c r="C950" i="2"/>
  <c r="C951" i="2"/>
  <c r="C952" i="2"/>
  <c r="C953" i="2"/>
  <c r="C954" i="2"/>
  <c r="C955" i="2"/>
  <c r="C956" i="2"/>
  <c r="C957" i="2"/>
  <c r="C958" i="2"/>
  <c r="C959" i="2"/>
  <c r="C960" i="2"/>
  <c r="C961" i="2"/>
  <c r="C962" i="2"/>
  <c r="C963" i="2"/>
  <c r="C964" i="2"/>
  <c r="C965" i="2"/>
  <c r="C966" i="2"/>
  <c r="C967" i="2"/>
  <c r="C968" i="2"/>
  <c r="C969" i="2"/>
  <c r="C970" i="2"/>
  <c r="C971" i="2"/>
  <c r="C972" i="2"/>
  <c r="C973" i="2"/>
  <c r="C974" i="2"/>
  <c r="C975" i="2"/>
  <c r="C976" i="2"/>
  <c r="C977" i="2"/>
  <c r="C978" i="2"/>
  <c r="C979" i="2"/>
  <c r="C980" i="2"/>
  <c r="C981" i="2"/>
  <c r="C982" i="2"/>
  <c r="C983" i="2"/>
  <c r="C984" i="2"/>
  <c r="C985" i="2"/>
  <c r="C986" i="2"/>
  <c r="C987" i="2"/>
  <c r="C988" i="2"/>
  <c r="C989" i="2"/>
  <c r="C990" i="2"/>
  <c r="C991" i="2"/>
  <c r="C992" i="2"/>
  <c r="C993" i="2"/>
  <c r="C994" i="2"/>
  <c r="C995" i="2"/>
  <c r="C996" i="2"/>
  <c r="C997" i="2"/>
  <c r="C998" i="2"/>
  <c r="C999" i="2"/>
  <c r="C1000" i="2"/>
  <c r="C1001" i="2"/>
  <c r="C1002" i="2"/>
  <c r="C1003" i="2"/>
  <c r="C1004" i="2"/>
  <c r="C1005" i="2"/>
  <c r="C1006" i="2"/>
  <c r="C1007" i="2"/>
  <c r="C1008" i="2"/>
  <c r="C1009" i="2"/>
  <c r="C1010" i="2"/>
  <c r="C1011" i="2"/>
  <c r="C1012" i="2"/>
  <c r="C1013" i="2"/>
  <c r="C1014" i="2"/>
  <c r="C1015" i="2"/>
  <c r="C1016" i="2"/>
  <c r="C1017" i="2"/>
  <c r="C1018" i="2"/>
  <c r="C1019" i="2"/>
  <c r="C1020" i="2"/>
  <c r="C1021" i="2"/>
  <c r="C1022" i="2"/>
  <c r="C1023" i="2"/>
  <c r="C1024" i="2"/>
  <c r="C1025" i="2"/>
  <c r="C1026" i="2"/>
  <c r="C1027" i="2"/>
  <c r="C1028" i="2"/>
  <c r="C1029" i="2"/>
  <c r="C1030" i="2"/>
  <c r="C1031" i="2"/>
  <c r="C1032" i="2"/>
  <c r="C1033" i="2"/>
  <c r="C1034" i="2"/>
  <c r="C1035" i="2"/>
  <c r="C1036" i="2"/>
  <c r="C1037" i="2"/>
  <c r="C1038" i="2"/>
  <c r="C1039" i="2"/>
  <c r="C1040" i="2"/>
  <c r="C1041" i="2"/>
  <c r="C1042" i="2"/>
  <c r="C1043" i="2"/>
  <c r="C1044" i="2"/>
  <c r="C1045" i="2"/>
  <c r="C1046" i="2"/>
  <c r="C1047" i="2"/>
  <c r="C1048" i="2"/>
  <c r="C1049" i="2"/>
  <c r="C1050" i="2"/>
  <c r="C1051" i="2"/>
  <c r="C1052" i="2"/>
  <c r="C1053" i="2"/>
  <c r="C1054" i="2"/>
  <c r="C1055" i="2"/>
  <c r="C1056" i="2"/>
  <c r="C1057" i="2"/>
  <c r="C1058" i="2"/>
  <c r="C1059" i="2"/>
  <c r="C1060" i="2"/>
  <c r="C1061" i="2"/>
  <c r="C1062" i="2"/>
  <c r="C1063" i="2"/>
  <c r="C1064" i="2"/>
  <c r="C1065" i="2"/>
  <c r="C1066" i="2"/>
  <c r="C1067" i="2"/>
  <c r="C1068" i="2"/>
  <c r="C1069" i="2"/>
  <c r="C1070" i="2"/>
  <c r="C34" i="2"/>
  <c r="C1071" i="2"/>
  <c r="C1072" i="2"/>
  <c r="C1073" i="2"/>
  <c r="C1074" i="2"/>
  <c r="C1075" i="2"/>
  <c r="C1076" i="2"/>
  <c r="C1079" i="2"/>
  <c r="C1080" i="2"/>
  <c r="C1081" i="2"/>
  <c r="C1082" i="2"/>
  <c r="C1078" i="2"/>
  <c r="C1083" i="2"/>
  <c r="C1084" i="2"/>
  <c r="C1085" i="2"/>
  <c r="C1086" i="2"/>
  <c r="C1087" i="2"/>
  <c r="C1088" i="2"/>
  <c r="C1089" i="2"/>
  <c r="C1090" i="2"/>
  <c r="C1091" i="2"/>
  <c r="C1092" i="2"/>
  <c r="C1093" i="2"/>
  <c r="C1094" i="2"/>
  <c r="C1095" i="2"/>
  <c r="C1096" i="2"/>
  <c r="C1097" i="2"/>
  <c r="C1098" i="2"/>
  <c r="C1099" i="2"/>
  <c r="C1100" i="2"/>
  <c r="C1101" i="2"/>
  <c r="C1102" i="2"/>
  <c r="C1103" i="2"/>
  <c r="C1104" i="2"/>
  <c r="C1105" i="2"/>
  <c r="C1106" i="2"/>
  <c r="C1107" i="2"/>
  <c r="C1108" i="2"/>
  <c r="C1109" i="2"/>
  <c r="C1110" i="2"/>
  <c r="C1111" i="2"/>
  <c r="C1112" i="2"/>
  <c r="C1113" i="2"/>
  <c r="C1114" i="2"/>
  <c r="C1115" i="2"/>
  <c r="C1116" i="2"/>
  <c r="C1118" i="2"/>
  <c r="C1119" i="2"/>
  <c r="C1120" i="2"/>
  <c r="C1123" i="2"/>
  <c r="C1121" i="2"/>
  <c r="C1122" i="2"/>
  <c r="C1124" i="2"/>
  <c r="C1125" i="2"/>
  <c r="C1126" i="2"/>
  <c r="C1127" i="2"/>
  <c r="C1128" i="2"/>
  <c r="C1129" i="2"/>
  <c r="C1130" i="2"/>
  <c r="C1131" i="2"/>
  <c r="C1132" i="2"/>
  <c r="C1133" i="2"/>
  <c r="C1134" i="2"/>
  <c r="C1135" i="2"/>
  <c r="C1136" i="2"/>
  <c r="C1137" i="2"/>
  <c r="C1138" i="2"/>
  <c r="C1139" i="2"/>
  <c r="C1140" i="2"/>
  <c r="C1141" i="2"/>
  <c r="C1142" i="2"/>
  <c r="C1143" i="2"/>
  <c r="C1144" i="2"/>
  <c r="C1145" i="2"/>
  <c r="C1146" i="2"/>
  <c r="C1147" i="2"/>
  <c r="C1148" i="2"/>
  <c r="C1149" i="2"/>
  <c r="C1150" i="2"/>
  <c r="C1151" i="2"/>
  <c r="C1152" i="2"/>
  <c r="C1153" i="2"/>
  <c r="C1154" i="2"/>
  <c r="C1155" i="2"/>
  <c r="C1156" i="2"/>
  <c r="C1157" i="2"/>
  <c r="C1158" i="2"/>
  <c r="C1159" i="2"/>
  <c r="C1160" i="2"/>
  <c r="C1161" i="2"/>
  <c r="C1162" i="2"/>
  <c r="C1163" i="2"/>
  <c r="C1164" i="2"/>
  <c r="C1165" i="2"/>
  <c r="C1166" i="2"/>
  <c r="C1167" i="2"/>
  <c r="C1168" i="2"/>
  <c r="C1169" i="2"/>
  <c r="C1170" i="2"/>
  <c r="C1171" i="2"/>
  <c r="C1172" i="2"/>
  <c r="C1173" i="2"/>
  <c r="C1174" i="2"/>
  <c r="C1175" i="2"/>
  <c r="C1176" i="2"/>
  <c r="C1177" i="2"/>
  <c r="C1178" i="2"/>
  <c r="C1179" i="2"/>
  <c r="C1180" i="2"/>
  <c r="C1181" i="2"/>
  <c r="C1182" i="2"/>
  <c r="C1183" i="2"/>
  <c r="C1184" i="2"/>
  <c r="C1185" i="2"/>
  <c r="C1186" i="2"/>
  <c r="C1187" i="2"/>
  <c r="C1188" i="2"/>
  <c r="C1189" i="2"/>
  <c r="C1190" i="2"/>
  <c r="C1191" i="2"/>
  <c r="C1192" i="2"/>
  <c r="C1193" i="2"/>
  <c r="C1194" i="2"/>
  <c r="C1195" i="2"/>
  <c r="C1196" i="2"/>
  <c r="C1197" i="2"/>
  <c r="C1198" i="2"/>
  <c r="C1199" i="2"/>
  <c r="C1200" i="2"/>
  <c r="C1201" i="2"/>
  <c r="C1202" i="2"/>
  <c r="C1203" i="2"/>
  <c r="C1204" i="2"/>
  <c r="C1205" i="2"/>
  <c r="C1206" i="2"/>
  <c r="C1207" i="2"/>
  <c r="C1208" i="2"/>
  <c r="C1209" i="2"/>
  <c r="C1210" i="2"/>
  <c r="C1211" i="2"/>
  <c r="C1212" i="2"/>
  <c r="C1213" i="2"/>
  <c r="C1214" i="2"/>
  <c r="C1215" i="2"/>
  <c r="C1216" i="2"/>
  <c r="C1217" i="2"/>
  <c r="C1218" i="2"/>
  <c r="C1219" i="2"/>
  <c r="C1220" i="2"/>
  <c r="C1221" i="2"/>
  <c r="C1222" i="2"/>
  <c r="C1223" i="2"/>
  <c r="C1224" i="2"/>
  <c r="C1225" i="2"/>
  <c r="C1226" i="2"/>
  <c r="C1227" i="2"/>
  <c r="C1228" i="2"/>
  <c r="C1229" i="2"/>
  <c r="C1230" i="2"/>
  <c r="C1231" i="2"/>
  <c r="C1232" i="2"/>
  <c r="C1233" i="2"/>
  <c r="C1234" i="2"/>
  <c r="C1235" i="2"/>
  <c r="C1236" i="2"/>
  <c r="C1237" i="2"/>
  <c r="C1238" i="2"/>
  <c r="C1239" i="2"/>
  <c r="C1240" i="2"/>
  <c r="C1241" i="2"/>
  <c r="C1242" i="2"/>
  <c r="C1243" i="2"/>
  <c r="C1244" i="2"/>
  <c r="C1245" i="2"/>
  <c r="C1246" i="2"/>
  <c r="C1247" i="2"/>
  <c r="C1248" i="2"/>
  <c r="C1249" i="2"/>
  <c r="C1250" i="2"/>
  <c r="C1251" i="2"/>
  <c r="C1252" i="2"/>
  <c r="C1253" i="2"/>
  <c r="C1254" i="2"/>
  <c r="C1255" i="2"/>
  <c r="C1256" i="2"/>
  <c r="C1257" i="2"/>
  <c r="C1258" i="2"/>
  <c r="C1259" i="2"/>
  <c r="C1260" i="2"/>
  <c r="C1261" i="2"/>
  <c r="C1262" i="2"/>
  <c r="C1263" i="2"/>
  <c r="C1264" i="2"/>
  <c r="C1265" i="2"/>
  <c r="C1266" i="2"/>
  <c r="C1267" i="2"/>
  <c r="C1268" i="2"/>
  <c r="C1269" i="2"/>
  <c r="C1270" i="2"/>
  <c r="C1271" i="2"/>
  <c r="C1272" i="2"/>
  <c r="C1273" i="2"/>
  <c r="C1274" i="2"/>
  <c r="C1275" i="2"/>
  <c r="C1276" i="2"/>
  <c r="C1277" i="2"/>
  <c r="C1278" i="2"/>
  <c r="C1279" i="2"/>
  <c r="C1280" i="2"/>
  <c r="C1281" i="2"/>
  <c r="C1282" i="2"/>
  <c r="C1283" i="2"/>
  <c r="C1284" i="2"/>
  <c r="C1285" i="2"/>
  <c r="C1286" i="2"/>
  <c r="C1287" i="2"/>
  <c r="C1288" i="2"/>
  <c r="C1289" i="2"/>
  <c r="C1290" i="2"/>
  <c r="C1291" i="2"/>
  <c r="C1292" i="2"/>
  <c r="C1293" i="2"/>
  <c r="C1294" i="2"/>
  <c r="C1295" i="2"/>
  <c r="C1296" i="2"/>
  <c r="C1297" i="2"/>
  <c r="C1298" i="2"/>
  <c r="C1299" i="2"/>
  <c r="C1300" i="2"/>
  <c r="C1301" i="2"/>
  <c r="C1302" i="2"/>
  <c r="C1303" i="2"/>
  <c r="C1304" i="2"/>
  <c r="C1305" i="2"/>
  <c r="C1306" i="2"/>
  <c r="C1307" i="2"/>
  <c r="C1308" i="2"/>
  <c r="C1309" i="2"/>
  <c r="C1310" i="2"/>
  <c r="C1311" i="2"/>
  <c r="C1312" i="2"/>
  <c r="C1313" i="2"/>
  <c r="C1314" i="2"/>
  <c r="C1315" i="2"/>
  <c r="C1316" i="2"/>
  <c r="C1317" i="2"/>
  <c r="C1318" i="2"/>
  <c r="C1319" i="2"/>
  <c r="C1320" i="2"/>
  <c r="C1321" i="2"/>
  <c r="C1322" i="2"/>
  <c r="C1323" i="2"/>
  <c r="C1324" i="2"/>
  <c r="C1325" i="2"/>
  <c r="C1326" i="2"/>
  <c r="C1327" i="2"/>
  <c r="C1328" i="2"/>
  <c r="C1329" i="2"/>
  <c r="C1330" i="2"/>
  <c r="C1331" i="2"/>
  <c r="C1332" i="2"/>
  <c r="C1333" i="2"/>
  <c r="C1334" i="2"/>
  <c r="C1335" i="2"/>
  <c r="C1336" i="2"/>
  <c r="C1337" i="2"/>
  <c r="C1338" i="2"/>
  <c r="C1339" i="2"/>
  <c r="C1340" i="2"/>
  <c r="C1341" i="2"/>
  <c r="C1342" i="2"/>
  <c r="C1343" i="2"/>
  <c r="C1344" i="2"/>
  <c r="C1345" i="2"/>
  <c r="C1346" i="2"/>
  <c r="C1347" i="2"/>
  <c r="C1348" i="2"/>
  <c r="C1349" i="2"/>
  <c r="C1350" i="2"/>
  <c r="C1351" i="2"/>
  <c r="C1352" i="2"/>
  <c r="C1353" i="2"/>
  <c r="C1354" i="2"/>
  <c r="C1355" i="2"/>
  <c r="C1356" i="2"/>
  <c r="C1357" i="2"/>
  <c r="C1358" i="2"/>
  <c r="C1360" i="2"/>
  <c r="C1361" i="2"/>
  <c r="C1362" i="2"/>
  <c r="C1363" i="2"/>
  <c r="C1364" i="2"/>
  <c r="C1365" i="2"/>
  <c r="C1366" i="2"/>
  <c r="C1367" i="2"/>
  <c r="C1368" i="2"/>
  <c r="C1369" i="2"/>
  <c r="C1370" i="2"/>
  <c r="C1371" i="2"/>
  <c r="C1372" i="2"/>
  <c r="C1373" i="2"/>
  <c r="C1374" i="2"/>
  <c r="C1375" i="2"/>
  <c r="C1376" i="2"/>
  <c r="C1377" i="2"/>
  <c r="C1378" i="2"/>
  <c r="C1379" i="2"/>
  <c r="C1380" i="2"/>
  <c r="C1381" i="2"/>
  <c r="C1382" i="2"/>
  <c r="C1383" i="2"/>
  <c r="C1384" i="2"/>
  <c r="C1385" i="2"/>
  <c r="C1386" i="2"/>
  <c r="C1387" i="2"/>
  <c r="C1388" i="2"/>
  <c r="C1389" i="2"/>
  <c r="C1390" i="2"/>
  <c r="C1391" i="2"/>
  <c r="C1392" i="2"/>
  <c r="C1393" i="2"/>
  <c r="C1394" i="2"/>
  <c r="C1395" i="2"/>
  <c r="C1396" i="2"/>
  <c r="C1397" i="2"/>
  <c r="C1398" i="2"/>
  <c r="C1399" i="2"/>
  <c r="C1400" i="2"/>
  <c r="C1401" i="2"/>
  <c r="C1402" i="2"/>
  <c r="C1403" i="2"/>
  <c r="C1404" i="2"/>
  <c r="C1405" i="2"/>
  <c r="C1406" i="2"/>
  <c r="C1117" i="2"/>
  <c r="C1407" i="2"/>
  <c r="C1408" i="2"/>
  <c r="C1409" i="2"/>
  <c r="C1410" i="2"/>
  <c r="C1411" i="2"/>
  <c r="C1412" i="2"/>
  <c r="C1413" i="2"/>
  <c r="C1414" i="2"/>
  <c r="C1415" i="2"/>
  <c r="C1416" i="2"/>
  <c r="C1417" i="2"/>
  <c r="C1418" i="2"/>
  <c r="C1419" i="2"/>
  <c r="C1420" i="2"/>
  <c r="C1421" i="2"/>
  <c r="C1422" i="2"/>
  <c r="C1423" i="2"/>
  <c r="C1424" i="2"/>
  <c r="C1425" i="2"/>
  <c r="C1426" i="2"/>
  <c r="C1427" i="2"/>
  <c r="C1428" i="2"/>
  <c r="C1429" i="2"/>
  <c r="C1430" i="2"/>
  <c r="C1431" i="2"/>
  <c r="C1432" i="2"/>
  <c r="C1433" i="2"/>
  <c r="C1434" i="2"/>
  <c r="C1435" i="2"/>
  <c r="C1436" i="2"/>
  <c r="C1437" i="2"/>
  <c r="C1438" i="2"/>
  <c r="C1439" i="2"/>
  <c r="C1440" i="2"/>
  <c r="C1441" i="2"/>
  <c r="C1442" i="2"/>
  <c r="C1443" i="2"/>
  <c r="C1444" i="2"/>
  <c r="C1445" i="2"/>
  <c r="C1446" i="2"/>
  <c r="C1447" i="2"/>
  <c r="C1448" i="2"/>
  <c r="C1449" i="2"/>
  <c r="C1450" i="2"/>
  <c r="C1451" i="2"/>
  <c r="C1452" i="2"/>
  <c r="C1453" i="2"/>
  <c r="C1454" i="2"/>
  <c r="C1455" i="2"/>
  <c r="C1456" i="2"/>
  <c r="C1457" i="2"/>
  <c r="C1458" i="2"/>
  <c r="C1459" i="2"/>
  <c r="C1460" i="2"/>
  <c r="C1461" i="2"/>
  <c r="C1462" i="2"/>
  <c r="C1463" i="2"/>
  <c r="C1464" i="2"/>
  <c r="C1465" i="2"/>
  <c r="C1466" i="2"/>
  <c r="C1467" i="2"/>
  <c r="C1468" i="2"/>
  <c r="C1469" i="2"/>
  <c r="C1470" i="2"/>
  <c r="C1471" i="2"/>
  <c r="C1472" i="2"/>
  <c r="C1473" i="2"/>
  <c r="C1474" i="2"/>
  <c r="C1475" i="2"/>
  <c r="C1476" i="2"/>
  <c r="C1477" i="2"/>
  <c r="C1478" i="2"/>
  <c r="C1479" i="2"/>
  <c r="C1480" i="2"/>
  <c r="C1481" i="2"/>
  <c r="C1482" i="2"/>
  <c r="C1483" i="2"/>
  <c r="C1484" i="2"/>
  <c r="C1485" i="2"/>
  <c r="C1486" i="2"/>
  <c r="C1487" i="2"/>
  <c r="C1488" i="2"/>
  <c r="C1489" i="2"/>
  <c r="C1490" i="2"/>
  <c r="C1491" i="2"/>
  <c r="C1492" i="2"/>
  <c r="C1493" i="2"/>
  <c r="C1494" i="2"/>
  <c r="C1495" i="2"/>
  <c r="C1496" i="2"/>
  <c r="C1497" i="2"/>
  <c r="C1498" i="2"/>
  <c r="C1499" i="2"/>
  <c r="C1500" i="2"/>
  <c r="C1501" i="2"/>
  <c r="C1502" i="2"/>
  <c r="C1503" i="2"/>
  <c r="C1504" i="2"/>
  <c r="C1505" i="2"/>
  <c r="C1506" i="2"/>
  <c r="C1507" i="2"/>
  <c r="C1508" i="2"/>
  <c r="C1509" i="2"/>
  <c r="C1510" i="2"/>
  <c r="C1511" i="2"/>
  <c r="C1512" i="2"/>
  <c r="C1513" i="2"/>
  <c r="C1514" i="2"/>
  <c r="C1515" i="2"/>
  <c r="C1516" i="2"/>
  <c r="C1517" i="2"/>
  <c r="C1518" i="2"/>
  <c r="C1519" i="2"/>
  <c r="C1520" i="2"/>
  <c r="C1521" i="2"/>
  <c r="C1522" i="2"/>
  <c r="C1523" i="2"/>
  <c r="C1524" i="2"/>
  <c r="C1525" i="2"/>
  <c r="C1526" i="2"/>
  <c r="C1527" i="2"/>
  <c r="C1528" i="2"/>
  <c r="C1529" i="2"/>
  <c r="C1530" i="2"/>
  <c r="C1531" i="2"/>
  <c r="C1532" i="2"/>
  <c r="C1533" i="2"/>
  <c r="C1534" i="2"/>
  <c r="C1535" i="2"/>
  <c r="C1536" i="2"/>
  <c r="C1537" i="2"/>
  <c r="C1538" i="2"/>
  <c r="C1539" i="2"/>
  <c r="C1540" i="2"/>
  <c r="C1541" i="2"/>
  <c r="C1542" i="2"/>
  <c r="C1543" i="2"/>
  <c r="C1544" i="2"/>
  <c r="C1545" i="2"/>
  <c r="C1546" i="2"/>
  <c r="C1547" i="2"/>
  <c r="C1548" i="2"/>
  <c r="C1549" i="2"/>
  <c r="C1550" i="2"/>
  <c r="C1551" i="2"/>
  <c r="C1552" i="2"/>
  <c r="C1553" i="2"/>
  <c r="C1554" i="2"/>
  <c r="C1555" i="2"/>
  <c r="C1556" i="2"/>
  <c r="C1557" i="2"/>
  <c r="C1558" i="2"/>
  <c r="C1559" i="2"/>
  <c r="C1560" i="2"/>
  <c r="C1561" i="2"/>
  <c r="C1562" i="2"/>
  <c r="C1563" i="2"/>
  <c r="C1564" i="2"/>
  <c r="C1565" i="2"/>
  <c r="C1566" i="2"/>
  <c r="C1567" i="2"/>
  <c r="C1568" i="2"/>
  <c r="C1569" i="2"/>
  <c r="C1570" i="2"/>
  <c r="C1571" i="2"/>
  <c r="C1572" i="2"/>
  <c r="C1573" i="2"/>
  <c r="C1574" i="2"/>
  <c r="C1575" i="2"/>
  <c r="C1576" i="2"/>
  <c r="C1577" i="2"/>
  <c r="C1578" i="2"/>
  <c r="C1579" i="2"/>
  <c r="C1580" i="2"/>
  <c r="C1581" i="2"/>
  <c r="C1582" i="2"/>
  <c r="C1583" i="2"/>
  <c r="C1584" i="2"/>
  <c r="C1585" i="2"/>
  <c r="C1586" i="2"/>
  <c r="C1587" i="2"/>
  <c r="C1588" i="2"/>
  <c r="C1589" i="2"/>
  <c r="C1590" i="2"/>
  <c r="C1591" i="2"/>
  <c r="C1592" i="2"/>
  <c r="C1593" i="2"/>
  <c r="C1594" i="2"/>
  <c r="C1595" i="2"/>
  <c r="C1596" i="2"/>
  <c r="C1597" i="2"/>
  <c r="C1598" i="2"/>
  <c r="C1599" i="2"/>
  <c r="C1600" i="2"/>
  <c r="C1601" i="2"/>
  <c r="C1602" i="2"/>
  <c r="C1603" i="2"/>
  <c r="C1604" i="2"/>
  <c r="C1605" i="2"/>
  <c r="C1606" i="2"/>
  <c r="C1607" i="2"/>
  <c r="C1608" i="2"/>
  <c r="C1609" i="2"/>
  <c r="C1610" i="2"/>
  <c r="C1611" i="2"/>
  <c r="C1612" i="2"/>
  <c r="C1613" i="2"/>
  <c r="C1614" i="2"/>
  <c r="C1615" i="2"/>
  <c r="C1616" i="2"/>
  <c r="C1617" i="2"/>
  <c r="C1618" i="2"/>
  <c r="C1619" i="2"/>
  <c r="C1620" i="2"/>
  <c r="C1621" i="2"/>
  <c r="C1622" i="2"/>
  <c r="C1623" i="2"/>
  <c r="C1624" i="2"/>
  <c r="C1625" i="2"/>
  <c r="C1626" i="2"/>
  <c r="C1627" i="2"/>
  <c r="C1628" i="2"/>
  <c r="C1629" i="2"/>
  <c r="C1630" i="2"/>
  <c r="C1631" i="2"/>
  <c r="C1632" i="2"/>
  <c r="C1633" i="2"/>
  <c r="C1634" i="2"/>
  <c r="C1635" i="2"/>
  <c r="C1636" i="2"/>
  <c r="C1637" i="2"/>
  <c r="C1638" i="2"/>
  <c r="C1639" i="2"/>
  <c r="C1640" i="2"/>
  <c r="C1641" i="2"/>
  <c r="C1642" i="2"/>
  <c r="C1643" i="2"/>
  <c r="C1644" i="2"/>
  <c r="C1645" i="2"/>
  <c r="C1646" i="2"/>
  <c r="C1647" i="2"/>
  <c r="C1648" i="2"/>
  <c r="C1649" i="2"/>
  <c r="C1650" i="2"/>
  <c r="C1651" i="2"/>
  <c r="C1652" i="2"/>
  <c r="C1653" i="2"/>
  <c r="C1654" i="2"/>
  <c r="C1655" i="2"/>
  <c r="C1656" i="2"/>
  <c r="C1657" i="2"/>
  <c r="C1658" i="2"/>
  <c r="C1659" i="2"/>
  <c r="C1660" i="2"/>
  <c r="C1661" i="2"/>
  <c r="C1662" i="2"/>
  <c r="C1663" i="2"/>
  <c r="C1664" i="2"/>
  <c r="C1665" i="2"/>
  <c r="C1666" i="2"/>
  <c r="C1667" i="2"/>
  <c r="C1668" i="2"/>
  <c r="C1669" i="2"/>
  <c r="C1670" i="2"/>
  <c r="C1671" i="2"/>
  <c r="C1672" i="2"/>
  <c r="C1673" i="2"/>
  <c r="C1674" i="2"/>
  <c r="C1675" i="2"/>
  <c r="C1676" i="2"/>
  <c r="C1677" i="2"/>
  <c r="C1678" i="2"/>
  <c r="C1679" i="2"/>
  <c r="C1680" i="2"/>
  <c r="C1681" i="2"/>
  <c r="C1682" i="2"/>
  <c r="C1683" i="2"/>
  <c r="C1684" i="2"/>
  <c r="C1685" i="2"/>
  <c r="C1686" i="2"/>
  <c r="C1687" i="2"/>
  <c r="C1688" i="2"/>
  <c r="C543" i="2"/>
  <c r="C548" i="2"/>
  <c r="C1689" i="2"/>
  <c r="C1690" i="2"/>
  <c r="C1691" i="2"/>
  <c r="C1692" i="2"/>
  <c r="C1695" i="2"/>
  <c r="C1696" i="2"/>
  <c r="C1697" i="2"/>
  <c r="C1698" i="2"/>
  <c r="C1699" i="2"/>
  <c r="C1700" i="2"/>
  <c r="C1701" i="2"/>
  <c r="C1702" i="2"/>
  <c r="C1703" i="2"/>
  <c r="C1704" i="2"/>
  <c r="C1705" i="2"/>
  <c r="C1706" i="2"/>
  <c r="C1707" i="2"/>
  <c r="C1693" i="2"/>
  <c r="C1694" i="2"/>
  <c r="C1710" i="2"/>
  <c r="C1711" i="2"/>
  <c r="C1712" i="2"/>
  <c r="C1713" i="2"/>
  <c r="C1714" i="2"/>
  <c r="C1715" i="2"/>
  <c r="C1716" i="2"/>
  <c r="C1717" i="2"/>
  <c r="C1718" i="2"/>
  <c r="C1719" i="2"/>
  <c r="C1720" i="2"/>
  <c r="C1721" i="2"/>
  <c r="C1722" i="2"/>
  <c r="C1723" i="2"/>
  <c r="C1724" i="2"/>
  <c r="C1725" i="2"/>
  <c r="C1726" i="2"/>
  <c r="C1727" i="2"/>
  <c r="C1728" i="2"/>
  <c r="C1729" i="2"/>
  <c r="C1730" i="2"/>
  <c r="C1731" i="2"/>
  <c r="C1732" i="2"/>
  <c r="C1733" i="2"/>
  <c r="C1734" i="2"/>
  <c r="C1735" i="2"/>
  <c r="C1736" i="2"/>
  <c r="C1737" i="2"/>
  <c r="C1738" i="2"/>
  <c r="C1739" i="2"/>
  <c r="C1740" i="2"/>
  <c r="C1741" i="2"/>
  <c r="C1742" i="2"/>
  <c r="C1743" i="2"/>
  <c r="C1744" i="2"/>
  <c r="C1745" i="2"/>
  <c r="C1746" i="2"/>
  <c r="C1747" i="2"/>
  <c r="C1748" i="2"/>
  <c r="C1749" i="2"/>
  <c r="C1750" i="2"/>
  <c r="C1751" i="2"/>
  <c r="C1752" i="2"/>
  <c r="C1753" i="2"/>
  <c r="C1754" i="2"/>
  <c r="C1755" i="2"/>
  <c r="C1756" i="2"/>
  <c r="C1757" i="2"/>
  <c r="C1758" i="2"/>
  <c r="C1759" i="2"/>
  <c r="C1760" i="2"/>
  <c r="C1761" i="2"/>
  <c r="C1762" i="2"/>
  <c r="C1763" i="2"/>
  <c r="C1764" i="2"/>
  <c r="C1765" i="2"/>
  <c r="C1766" i="2"/>
  <c r="C1767" i="2"/>
  <c r="C1768" i="2"/>
  <c r="C1769" i="2"/>
  <c r="C1770" i="2"/>
  <c r="C1771" i="2"/>
  <c r="C1772" i="2"/>
  <c r="C1773" i="2"/>
  <c r="C1774" i="2"/>
  <c r="C1775" i="2"/>
  <c r="C1776" i="2"/>
  <c r="C1777" i="2"/>
  <c r="C1778" i="2"/>
  <c r="C1779" i="2"/>
  <c r="C1780" i="2"/>
  <c r="C1781" i="2"/>
  <c r="C1782" i="2"/>
  <c r="C1783" i="2"/>
  <c r="C1784" i="2"/>
  <c r="C1785" i="2"/>
  <c r="C1786" i="2"/>
  <c r="C1787" i="2"/>
  <c r="C1788" i="2"/>
  <c r="C1789" i="2"/>
  <c r="C1790" i="2"/>
  <c r="C1791" i="2"/>
  <c r="C1792" i="2"/>
  <c r="C1793" i="2"/>
  <c r="C1794" i="2"/>
  <c r="C1795" i="2"/>
  <c r="C1796" i="2"/>
  <c r="C1797" i="2"/>
  <c r="C1798" i="2"/>
  <c r="C1799" i="2"/>
  <c r="C1800" i="2"/>
  <c r="C1801" i="2"/>
  <c r="C1802" i="2"/>
  <c r="C1803" i="2"/>
  <c r="C1804" i="2"/>
  <c r="C1805" i="2"/>
  <c r="C1806" i="2"/>
  <c r="C1807" i="2"/>
  <c r="C1808" i="2"/>
  <c r="C1809" i="2"/>
  <c r="C1810" i="2"/>
  <c r="C1811" i="2"/>
  <c r="C1812" i="2"/>
  <c r="C1813" i="2"/>
  <c r="C1814" i="2"/>
  <c r="C1815" i="2"/>
  <c r="C1816" i="2"/>
  <c r="C1817" i="2"/>
  <c r="C1818" i="2"/>
  <c r="C1819" i="2"/>
  <c r="C1820" i="2"/>
  <c r="C1821" i="2"/>
  <c r="C1822" i="2"/>
  <c r="C1823" i="2"/>
  <c r="C1824" i="2"/>
  <c r="C1825" i="2"/>
  <c r="C1826" i="2"/>
  <c r="C1827" i="2"/>
  <c r="C1828" i="2"/>
  <c r="C1829" i="2"/>
  <c r="C1830" i="2"/>
  <c r="C1831" i="2"/>
  <c r="C1832" i="2"/>
  <c r="C1833" i="2"/>
  <c r="C1834" i="2"/>
  <c r="C1835" i="2"/>
  <c r="C1836" i="2"/>
  <c r="C1837" i="2"/>
  <c r="C1838" i="2"/>
  <c r="C1839" i="2"/>
  <c r="C1840" i="2"/>
  <c r="C1841" i="2"/>
  <c r="C1842" i="2"/>
  <c r="C1843" i="2"/>
  <c r="C1844" i="2"/>
  <c r="C1845" i="2"/>
  <c r="C1846" i="2"/>
  <c r="C1847" i="2"/>
  <c r="C1848" i="2"/>
  <c r="C1849" i="2"/>
  <c r="C1850" i="2"/>
  <c r="C1851" i="2"/>
  <c r="C1852" i="2"/>
  <c r="C1853" i="2"/>
  <c r="C1854" i="2"/>
  <c r="C1855" i="2"/>
  <c r="C1856" i="2"/>
  <c r="C1857" i="2"/>
  <c r="C1858" i="2"/>
  <c r="C1859" i="2"/>
  <c r="C1860" i="2"/>
  <c r="C1861" i="2"/>
  <c r="C1862" i="2"/>
  <c r="C1863" i="2"/>
  <c r="C1864" i="2"/>
  <c r="C1865" i="2"/>
  <c r="C1866" i="2"/>
  <c r="C1867" i="2"/>
  <c r="C1868" i="2"/>
  <c r="C1869" i="2"/>
  <c r="C1870" i="2"/>
  <c r="C1871" i="2"/>
  <c r="C1872" i="2"/>
  <c r="C1873" i="2"/>
  <c r="C1874" i="2"/>
  <c r="C1875" i="2"/>
  <c r="C1876" i="2"/>
  <c r="C1877" i="2"/>
  <c r="C1878" i="2"/>
  <c r="C1879" i="2"/>
  <c r="C1880" i="2"/>
  <c r="C1881" i="2"/>
  <c r="C1882" i="2"/>
  <c r="C1883" i="2"/>
  <c r="C1884" i="2"/>
  <c r="C1885" i="2"/>
  <c r="C1886" i="2"/>
  <c r="C1887" i="2"/>
  <c r="C1888" i="2"/>
  <c r="C1889" i="2"/>
  <c r="C1890" i="2"/>
  <c r="C1891" i="2"/>
  <c r="C1892" i="2"/>
  <c r="C1893" i="2"/>
  <c r="C1894" i="2"/>
  <c r="C1895" i="2"/>
  <c r="C1896" i="2"/>
  <c r="C1897" i="2"/>
  <c r="C1898" i="2"/>
  <c r="C1899" i="2"/>
  <c r="C1900" i="2"/>
  <c r="C1901" i="2"/>
  <c r="C1902" i="2"/>
  <c r="C1903" i="2"/>
  <c r="C1904" i="2"/>
  <c r="C1905" i="2"/>
  <c r="C1906" i="2"/>
  <c r="C1907" i="2"/>
  <c r="C1908" i="2"/>
  <c r="C1909" i="2"/>
  <c r="C1910" i="2"/>
  <c r="C1911" i="2"/>
  <c r="C1912" i="2"/>
  <c r="C1913" i="2"/>
  <c r="C1914" i="2"/>
  <c r="C1915" i="2"/>
  <c r="C1916" i="2"/>
  <c r="C1917" i="2"/>
  <c r="C1918" i="2"/>
  <c r="C1919" i="2"/>
  <c r="C1920" i="2"/>
  <c r="C1921" i="2"/>
  <c r="C1922" i="2"/>
  <c r="C1923" i="2"/>
  <c r="C1924" i="2"/>
  <c r="C1925" i="2"/>
  <c r="C1926" i="2"/>
  <c r="C1927" i="2"/>
  <c r="C1928" i="2"/>
  <c r="C1929" i="2"/>
  <c r="C1930" i="2"/>
  <c r="C1931" i="2"/>
  <c r="C1932" i="2"/>
  <c r="C1933" i="2"/>
  <c r="C1934" i="2"/>
  <c r="C1935" i="2"/>
  <c r="C1936" i="2"/>
  <c r="C1937" i="2"/>
  <c r="C1938" i="2"/>
  <c r="C1939" i="2"/>
  <c r="C1940" i="2"/>
  <c r="C1941" i="2"/>
  <c r="C1942" i="2"/>
  <c r="C1943" i="2"/>
  <c r="C1944" i="2"/>
  <c r="C1945" i="2"/>
  <c r="C1946" i="2"/>
  <c r="C1947" i="2"/>
  <c r="C1948" i="2"/>
  <c r="C1949" i="2"/>
  <c r="C1950" i="2"/>
  <c r="C1951" i="2"/>
  <c r="C1952" i="2"/>
  <c r="C1953" i="2"/>
  <c r="C1954" i="2"/>
  <c r="C1955" i="2"/>
  <c r="C1956" i="2"/>
  <c r="C1957" i="2"/>
  <c r="C1958" i="2"/>
  <c r="C1959" i="2"/>
  <c r="C1960" i="2"/>
  <c r="C1961" i="2"/>
  <c r="C1962" i="2"/>
  <c r="C1963" i="2"/>
  <c r="C1964" i="2"/>
  <c r="C1965" i="2"/>
  <c r="C1966" i="2"/>
  <c r="C1967" i="2"/>
  <c r="C1968" i="2"/>
  <c r="C1969" i="2"/>
  <c r="C1970" i="2"/>
  <c r="C1971" i="2"/>
  <c r="C1972" i="2"/>
  <c r="C1973" i="2"/>
  <c r="C1974" i="2"/>
  <c r="C1975" i="2"/>
  <c r="C1976" i="2"/>
  <c r="C1977" i="2"/>
  <c r="C1978" i="2"/>
  <c r="C1979" i="2"/>
  <c r="C1980" i="2"/>
  <c r="C1981" i="2"/>
  <c r="C1982" i="2"/>
  <c r="C1983" i="2"/>
  <c r="C1984" i="2"/>
  <c r="C1985" i="2"/>
  <c r="C1986" i="2"/>
  <c r="C1987" i="2"/>
  <c r="C1988" i="2"/>
  <c r="C1989" i="2"/>
  <c r="C1990" i="2"/>
  <c r="C1991" i="2"/>
  <c r="C1992" i="2"/>
  <c r="C1993" i="2"/>
  <c r="C1994" i="2"/>
  <c r="C1995" i="2"/>
  <c r="C1996" i="2"/>
  <c r="C1997" i="2"/>
  <c r="C1998" i="2"/>
  <c r="C1999" i="2"/>
  <c r="C2000" i="2"/>
  <c r="C2001" i="2"/>
  <c r="C2002" i="2"/>
  <c r="C2003" i="2"/>
  <c r="C2004" i="2"/>
  <c r="C2005" i="2"/>
  <c r="C2006" i="2"/>
  <c r="C2007" i="2"/>
  <c r="C2008" i="2"/>
  <c r="C2009" i="2"/>
  <c r="C2010" i="2"/>
  <c r="C2011" i="2"/>
  <c r="C2012" i="2"/>
  <c r="C2013" i="2"/>
  <c r="C2014" i="2"/>
  <c r="C2015" i="2"/>
  <c r="C2016" i="2"/>
  <c r="C2017" i="2"/>
  <c r="C2018" i="2"/>
  <c r="C2019" i="2"/>
  <c r="C2020" i="2"/>
  <c r="C2021" i="2"/>
  <c r="C2022" i="2"/>
  <c r="C2023" i="2"/>
  <c r="C2024" i="2"/>
  <c r="C2025" i="2"/>
  <c r="C2026" i="2"/>
  <c r="C2027" i="2"/>
  <c r="C2028" i="2"/>
  <c r="C2029" i="2"/>
  <c r="C2030" i="2"/>
  <c r="C2031" i="2"/>
  <c r="C2032" i="2"/>
  <c r="C2033" i="2"/>
  <c r="C2034" i="2"/>
  <c r="C2035" i="2"/>
  <c r="C2036" i="2"/>
  <c r="C2037" i="2"/>
  <c r="C2038" i="2"/>
  <c r="C2039" i="2"/>
  <c r="C2040" i="2"/>
  <c r="C2041" i="2"/>
  <c r="C2042" i="2"/>
  <c r="C2043" i="2"/>
  <c r="C2044" i="2"/>
  <c r="C2045" i="2"/>
  <c r="C2046" i="2"/>
  <c r="C2047" i="2"/>
  <c r="C2048" i="2"/>
  <c r="C2049" i="2"/>
  <c r="C2050" i="2"/>
  <c r="C2051" i="2"/>
  <c r="C2052" i="2"/>
  <c r="C2053" i="2"/>
  <c r="C2054" i="2"/>
  <c r="C2055" i="2"/>
  <c r="C2056" i="2"/>
  <c r="C2057" i="2"/>
  <c r="C2058" i="2"/>
  <c r="C2059" i="2"/>
  <c r="C2060" i="2"/>
  <c r="C2061" i="2"/>
  <c r="C2062" i="2"/>
  <c r="C2063" i="2"/>
  <c r="C2064" i="2"/>
  <c r="C2065" i="2"/>
  <c r="C2066" i="2"/>
  <c r="C2067" i="2"/>
  <c r="C2068" i="2"/>
  <c r="C2069" i="2"/>
  <c r="C2070" i="2"/>
  <c r="C2071" i="2"/>
  <c r="C2072" i="2"/>
  <c r="C2073" i="2"/>
  <c r="C2074" i="2"/>
  <c r="C2075" i="2"/>
  <c r="C2076" i="2"/>
  <c r="C2077" i="2"/>
  <c r="C2078" i="2"/>
  <c r="C2079" i="2"/>
  <c r="C2080" i="2"/>
  <c r="C2081" i="2"/>
  <c r="C2082" i="2"/>
  <c r="C2083" i="2"/>
  <c r="C2084" i="2"/>
  <c r="C2085" i="2"/>
  <c r="C2086" i="2"/>
  <c r="C2087" i="2"/>
  <c r="C2088" i="2"/>
  <c r="C2089" i="2"/>
  <c r="C2090" i="2"/>
  <c r="C2091" i="2"/>
  <c r="C2092" i="2"/>
  <c r="C2093" i="2"/>
  <c r="C2094" i="2"/>
  <c r="C2095" i="2"/>
  <c r="C2096" i="2"/>
  <c r="C2097" i="2"/>
  <c r="C2098" i="2"/>
  <c r="C2099" i="2"/>
  <c r="C2100" i="2"/>
  <c r="C2101" i="2"/>
  <c r="C2102" i="2"/>
  <c r="C2103" i="2"/>
  <c r="C2104" i="2"/>
  <c r="C2105" i="2"/>
  <c r="C2106" i="2"/>
  <c r="C2107" i="2"/>
  <c r="C2108" i="2"/>
  <c r="C2109" i="2"/>
  <c r="C2110" i="2"/>
  <c r="C2111" i="2"/>
  <c r="C2112" i="2"/>
  <c r="C2113" i="2"/>
  <c r="C2114" i="2"/>
  <c r="C2115" i="2"/>
  <c r="C2116" i="2"/>
  <c r="C2117" i="2"/>
  <c r="C2118" i="2"/>
  <c r="C2119" i="2"/>
  <c r="C2120" i="2"/>
  <c r="C2121" i="2"/>
  <c r="C2122" i="2"/>
  <c r="C2123" i="2"/>
  <c r="C2124" i="2"/>
  <c r="C2125" i="2"/>
  <c r="C2126" i="2"/>
  <c r="C2127" i="2"/>
  <c r="C2128" i="2"/>
  <c r="C2129" i="2"/>
  <c r="C2130" i="2"/>
  <c r="C2131" i="2"/>
  <c r="C2132" i="2"/>
  <c r="B4" i="17" l="1"/>
  <c r="C4" i="17"/>
  <c r="B5" i="17"/>
  <c r="C5" i="17"/>
  <c r="B6" i="17"/>
  <c r="C6" i="17"/>
  <c r="B7" i="17"/>
  <c r="C7" i="17"/>
  <c r="B8" i="17"/>
  <c r="C8" i="17"/>
  <c r="B9" i="17"/>
  <c r="C9" i="17"/>
  <c r="B10" i="17"/>
  <c r="C10" i="17"/>
  <c r="B11" i="17"/>
  <c r="C11" i="17"/>
  <c r="B12" i="17"/>
  <c r="C12" i="17"/>
  <c r="B13" i="17"/>
  <c r="C13" i="17"/>
  <c r="B14" i="17"/>
  <c r="C14" i="17"/>
  <c r="B15" i="17"/>
  <c r="C15" i="17"/>
  <c r="B16" i="17"/>
  <c r="C16" i="17"/>
  <c r="B17" i="17"/>
  <c r="C17" i="17"/>
  <c r="B18" i="17"/>
  <c r="C18" i="17"/>
  <c r="B19" i="17"/>
  <c r="C19" i="17"/>
  <c r="B20" i="17"/>
  <c r="C20" i="17"/>
  <c r="B21" i="17"/>
  <c r="C21" i="17"/>
  <c r="B22" i="17"/>
  <c r="C22" i="17"/>
  <c r="B23" i="17"/>
  <c r="C23" i="17"/>
  <c r="B24" i="17"/>
  <c r="C24" i="17"/>
  <c r="B25" i="17"/>
  <c r="C25" i="17"/>
  <c r="B26" i="17"/>
  <c r="C26" i="17"/>
  <c r="B27" i="17"/>
  <c r="C27" i="17"/>
  <c r="B28" i="17"/>
  <c r="C28" i="17"/>
  <c r="B29" i="17"/>
  <c r="C29" i="17"/>
  <c r="B30" i="17"/>
  <c r="C30" i="17"/>
  <c r="B31" i="17"/>
  <c r="C31" i="17"/>
  <c r="B32" i="17"/>
  <c r="C32" i="17"/>
  <c r="B33" i="17"/>
  <c r="C33" i="17"/>
  <c r="B34" i="17"/>
  <c r="C34" i="17"/>
  <c r="B35" i="17"/>
  <c r="C35" i="17"/>
  <c r="B36" i="17"/>
  <c r="C36" i="17"/>
  <c r="B37" i="17"/>
  <c r="C37" i="17"/>
  <c r="B38" i="17"/>
  <c r="C38" i="17"/>
  <c r="B39" i="17"/>
  <c r="C39" i="17"/>
  <c r="B40" i="17"/>
  <c r="C40" i="17"/>
  <c r="B41" i="17"/>
  <c r="C41" i="17"/>
  <c r="B42" i="17"/>
  <c r="C42" i="17"/>
  <c r="B43" i="17"/>
  <c r="C43" i="17"/>
  <c r="B44" i="17"/>
  <c r="C44" i="17"/>
  <c r="B45" i="17"/>
  <c r="C45" i="17"/>
  <c r="B46" i="17"/>
  <c r="C46" i="17"/>
  <c r="B47" i="17"/>
  <c r="C47" i="17"/>
  <c r="B48" i="17"/>
  <c r="C48" i="17"/>
  <c r="B49" i="17"/>
  <c r="C49" i="17"/>
  <c r="B50" i="17"/>
  <c r="C50" i="17"/>
  <c r="B51" i="17"/>
  <c r="C51" i="17"/>
  <c r="B52" i="17"/>
  <c r="C52" i="17"/>
  <c r="B53" i="17"/>
  <c r="C53" i="17"/>
  <c r="B54" i="17"/>
  <c r="C54" i="17"/>
  <c r="B55" i="17"/>
  <c r="C55" i="17"/>
  <c r="B56" i="17"/>
  <c r="C56" i="17"/>
  <c r="B57" i="17"/>
  <c r="C57" i="17"/>
  <c r="B58" i="17"/>
  <c r="C58" i="17"/>
  <c r="B59" i="17"/>
  <c r="C59" i="17"/>
  <c r="B60" i="17"/>
  <c r="C60" i="17"/>
  <c r="B61" i="17"/>
  <c r="C61" i="17"/>
  <c r="B62" i="17"/>
  <c r="C62" i="17"/>
  <c r="B63" i="17"/>
  <c r="C63" i="17"/>
  <c r="B64" i="17"/>
  <c r="C64" i="17"/>
  <c r="B65" i="17"/>
  <c r="C65" i="17"/>
  <c r="B66" i="17"/>
  <c r="C66" i="17"/>
  <c r="B67" i="17"/>
  <c r="C67" i="17"/>
  <c r="B68" i="17"/>
  <c r="C68" i="17"/>
  <c r="B69" i="17"/>
  <c r="C69" i="17"/>
  <c r="B70" i="17"/>
  <c r="C70" i="17"/>
  <c r="B71" i="17"/>
  <c r="C71" i="17"/>
  <c r="B72" i="17"/>
  <c r="C72" i="17"/>
  <c r="B73" i="17"/>
  <c r="C73" i="17"/>
  <c r="B74" i="17"/>
  <c r="C74" i="17"/>
  <c r="B75" i="17"/>
  <c r="C75" i="17"/>
  <c r="B76" i="17"/>
  <c r="C76" i="17"/>
  <c r="B77" i="17"/>
  <c r="C77" i="17"/>
  <c r="B78" i="17"/>
  <c r="C78" i="17"/>
  <c r="B79" i="17"/>
  <c r="C79" i="17"/>
  <c r="B80" i="17"/>
  <c r="C80" i="17"/>
  <c r="B81" i="17"/>
  <c r="C81" i="17"/>
  <c r="B82" i="17"/>
  <c r="C82" i="17"/>
  <c r="B83" i="17"/>
  <c r="C83" i="17"/>
  <c r="B84" i="17"/>
  <c r="C84" i="17"/>
  <c r="B85" i="17"/>
  <c r="C85" i="17"/>
  <c r="B86" i="17"/>
  <c r="C86" i="17"/>
  <c r="B87" i="17"/>
  <c r="C87" i="17"/>
  <c r="B88" i="17"/>
  <c r="C88" i="17"/>
  <c r="B89" i="17"/>
  <c r="C89" i="17"/>
  <c r="B90" i="17"/>
  <c r="C90" i="17"/>
  <c r="B91" i="17"/>
  <c r="C91" i="17"/>
  <c r="B92" i="17"/>
  <c r="C92" i="17"/>
  <c r="B93" i="17"/>
  <c r="C93" i="17"/>
  <c r="B94" i="17"/>
  <c r="C94" i="17"/>
  <c r="B95" i="17"/>
  <c r="C95" i="17"/>
  <c r="B96" i="17"/>
  <c r="C96" i="17"/>
  <c r="B97" i="17"/>
  <c r="C97" i="17"/>
  <c r="B98" i="17"/>
  <c r="C98" i="17"/>
  <c r="B99" i="17"/>
  <c r="C99" i="17"/>
  <c r="B100" i="17"/>
  <c r="C100" i="17"/>
  <c r="B101" i="17"/>
  <c r="C101" i="17"/>
  <c r="B102" i="17"/>
  <c r="C102" i="17"/>
  <c r="B103" i="17"/>
  <c r="C103" i="17"/>
  <c r="B104" i="17"/>
  <c r="C104" i="17"/>
  <c r="B105" i="17"/>
  <c r="C105" i="17"/>
  <c r="B106" i="17"/>
  <c r="C106" i="17"/>
  <c r="B107" i="17"/>
  <c r="C107" i="17"/>
  <c r="B108" i="17"/>
  <c r="C108" i="17"/>
  <c r="B109" i="17"/>
  <c r="C109" i="17"/>
  <c r="B110" i="17"/>
  <c r="C110" i="17"/>
  <c r="B111" i="17"/>
  <c r="C111" i="17"/>
  <c r="B112" i="17"/>
  <c r="C112" i="17"/>
  <c r="B113" i="17"/>
  <c r="C113" i="17"/>
  <c r="B114" i="17"/>
  <c r="C114" i="17"/>
  <c r="B115" i="17"/>
  <c r="C115" i="17"/>
  <c r="B116" i="17"/>
  <c r="C116" i="17"/>
  <c r="B117" i="17"/>
  <c r="C117" i="17"/>
  <c r="B118" i="17"/>
  <c r="C118" i="17"/>
  <c r="B119" i="17"/>
  <c r="C119" i="17"/>
  <c r="B120" i="17"/>
  <c r="C120" i="17"/>
  <c r="B121" i="17"/>
  <c r="C121" i="17"/>
  <c r="B122" i="17"/>
  <c r="C122" i="17"/>
  <c r="B123" i="17"/>
  <c r="C123" i="17"/>
  <c r="B124" i="17"/>
  <c r="C124" i="17"/>
  <c r="B125" i="17"/>
  <c r="C125" i="17"/>
  <c r="B126" i="17"/>
  <c r="C126" i="17"/>
  <c r="B127" i="17"/>
  <c r="C127" i="17"/>
  <c r="B128" i="17"/>
  <c r="C128" i="17"/>
  <c r="B129" i="17"/>
  <c r="C129" i="17"/>
  <c r="B130" i="17"/>
  <c r="C130" i="17"/>
  <c r="B131" i="17"/>
  <c r="C131" i="17"/>
  <c r="B132" i="17"/>
  <c r="C132" i="17"/>
  <c r="B133" i="17"/>
  <c r="C133" i="17"/>
  <c r="B134" i="17"/>
  <c r="C134" i="17"/>
  <c r="B135" i="17"/>
  <c r="C135" i="17"/>
  <c r="B136" i="17"/>
  <c r="C136" i="17"/>
  <c r="B137" i="17"/>
  <c r="C137" i="17"/>
  <c r="B138" i="17"/>
  <c r="C138" i="17"/>
  <c r="B139" i="17"/>
  <c r="C139" i="17"/>
  <c r="B140" i="17"/>
  <c r="C140" i="17"/>
  <c r="B141" i="17"/>
  <c r="C141" i="17"/>
  <c r="B142" i="17"/>
  <c r="C142" i="17"/>
  <c r="B143" i="17"/>
  <c r="C143" i="17"/>
  <c r="B144" i="17"/>
  <c r="C144" i="17"/>
  <c r="B145" i="17"/>
  <c r="C145" i="17"/>
  <c r="B146" i="17"/>
  <c r="C146" i="17"/>
  <c r="B147" i="17"/>
  <c r="C147" i="17"/>
  <c r="B148" i="17"/>
  <c r="C148" i="17"/>
  <c r="B149" i="17"/>
  <c r="C149" i="17"/>
  <c r="B150" i="17"/>
  <c r="C150" i="17"/>
  <c r="B151" i="17"/>
  <c r="C151" i="17"/>
  <c r="B152" i="17"/>
  <c r="C152" i="17"/>
  <c r="B153" i="17"/>
  <c r="C153" i="17"/>
  <c r="B154" i="17"/>
  <c r="C154" i="17"/>
  <c r="B155" i="17"/>
  <c r="C155" i="17"/>
  <c r="B156" i="17"/>
  <c r="C156" i="17"/>
  <c r="B157" i="17"/>
  <c r="C157" i="17"/>
  <c r="B158" i="17"/>
  <c r="C158" i="17"/>
  <c r="B159" i="17"/>
  <c r="C159" i="17"/>
  <c r="B160" i="17"/>
  <c r="C160" i="17"/>
  <c r="B161" i="17"/>
  <c r="C161" i="17"/>
  <c r="B162" i="17"/>
  <c r="C162" i="17"/>
  <c r="B163" i="17"/>
  <c r="C163" i="17"/>
  <c r="B164" i="17"/>
  <c r="C164" i="17"/>
  <c r="B165" i="17"/>
  <c r="C165" i="17"/>
  <c r="B166" i="17"/>
  <c r="C166" i="17"/>
  <c r="B167" i="17"/>
  <c r="C167" i="17"/>
  <c r="B168" i="17"/>
  <c r="C168" i="17"/>
  <c r="B169" i="17"/>
  <c r="C169" i="17"/>
  <c r="B170" i="17"/>
  <c r="C170" i="17"/>
  <c r="B171" i="17"/>
  <c r="C171" i="17"/>
  <c r="B172" i="17"/>
  <c r="C172" i="17"/>
  <c r="B173" i="17"/>
  <c r="C173" i="17"/>
  <c r="B174" i="17"/>
  <c r="C174" i="17"/>
  <c r="B175" i="17"/>
  <c r="C175" i="17"/>
  <c r="B176" i="17"/>
  <c r="C176" i="17"/>
  <c r="B177" i="17"/>
  <c r="C177" i="17"/>
  <c r="B178" i="17"/>
  <c r="C178" i="17"/>
  <c r="B179" i="17"/>
  <c r="C179" i="17"/>
  <c r="B180" i="17"/>
  <c r="C180" i="17"/>
  <c r="B181" i="17"/>
  <c r="C181" i="17"/>
  <c r="B182" i="17"/>
  <c r="C182" i="17"/>
  <c r="B183" i="17"/>
  <c r="C183" i="17"/>
  <c r="B184" i="17"/>
  <c r="C184" i="17"/>
  <c r="B185" i="17"/>
  <c r="C185" i="17"/>
  <c r="B186" i="17"/>
  <c r="C186" i="17"/>
  <c r="B187" i="17"/>
  <c r="C187" i="17"/>
  <c r="B188" i="17"/>
  <c r="C188" i="17"/>
  <c r="B189" i="17"/>
  <c r="C189" i="17"/>
  <c r="B190" i="17"/>
  <c r="C190" i="17"/>
  <c r="B191" i="17"/>
  <c r="C191" i="17"/>
  <c r="B192" i="17"/>
  <c r="C192" i="17"/>
  <c r="B193" i="17"/>
  <c r="C193" i="17"/>
  <c r="B194" i="17"/>
  <c r="C194" i="17"/>
  <c r="B195" i="17"/>
  <c r="C195" i="17"/>
  <c r="B196" i="17"/>
  <c r="C196" i="17"/>
  <c r="B197" i="17"/>
  <c r="C197" i="17"/>
  <c r="B198" i="17"/>
  <c r="C198" i="17"/>
  <c r="B199" i="17"/>
  <c r="C199" i="17"/>
  <c r="B200" i="17"/>
  <c r="C200" i="17"/>
  <c r="B201" i="17"/>
  <c r="C201" i="17"/>
  <c r="B202" i="17"/>
  <c r="C202" i="17"/>
  <c r="B203" i="17"/>
  <c r="C203" i="17"/>
  <c r="B204" i="17"/>
  <c r="C204" i="17"/>
  <c r="B205" i="17"/>
  <c r="C205" i="17"/>
  <c r="B206" i="17"/>
  <c r="C206" i="17"/>
  <c r="B207" i="17"/>
  <c r="C207" i="17"/>
  <c r="B208" i="17"/>
  <c r="C208" i="17"/>
  <c r="B209" i="17"/>
  <c r="C209" i="17"/>
  <c r="B210" i="17"/>
  <c r="C210" i="17"/>
  <c r="B211" i="17"/>
  <c r="C211" i="17"/>
  <c r="B212" i="17"/>
  <c r="C212" i="17"/>
  <c r="B213" i="17"/>
  <c r="C213" i="17"/>
  <c r="B214" i="17"/>
  <c r="C214" i="17"/>
  <c r="B215" i="17"/>
  <c r="C215" i="17"/>
  <c r="B216" i="17"/>
  <c r="C216" i="17"/>
  <c r="B217" i="17"/>
  <c r="C217" i="17"/>
  <c r="B218" i="17"/>
  <c r="C218" i="17"/>
  <c r="B219" i="17"/>
  <c r="C219" i="17"/>
  <c r="B220" i="17"/>
  <c r="C220" i="17"/>
  <c r="B221" i="17"/>
  <c r="C221" i="17"/>
  <c r="B222" i="17"/>
  <c r="C222" i="17"/>
  <c r="B223" i="17"/>
  <c r="C223" i="17"/>
  <c r="B224" i="17"/>
  <c r="C224" i="17"/>
  <c r="B225" i="17"/>
  <c r="C225" i="17"/>
  <c r="B226" i="17"/>
  <c r="C226" i="17"/>
  <c r="B227" i="17"/>
  <c r="C227" i="17"/>
  <c r="B228" i="17"/>
  <c r="C228" i="17"/>
  <c r="B229" i="17"/>
  <c r="C229" i="17"/>
  <c r="B230" i="17"/>
  <c r="C230" i="17"/>
  <c r="B231" i="17"/>
  <c r="C231" i="17"/>
  <c r="B232" i="17"/>
  <c r="C232" i="17"/>
  <c r="B233" i="17"/>
  <c r="C233" i="17"/>
  <c r="B234" i="17"/>
  <c r="C234" i="17"/>
  <c r="B235" i="17"/>
  <c r="C235" i="17"/>
  <c r="B236" i="17"/>
  <c r="C236" i="17"/>
  <c r="B237" i="17"/>
  <c r="C237" i="17"/>
  <c r="B238" i="17"/>
  <c r="C238" i="17"/>
  <c r="B239" i="17"/>
  <c r="C239" i="17"/>
  <c r="B240" i="17"/>
  <c r="C240" i="17"/>
  <c r="B241" i="17"/>
  <c r="C241" i="17"/>
  <c r="B242" i="17"/>
  <c r="C242" i="17"/>
  <c r="B243" i="17"/>
  <c r="C243" i="17"/>
  <c r="B244" i="17"/>
  <c r="C244" i="17"/>
  <c r="B245" i="17"/>
  <c r="C245" i="17"/>
  <c r="B246" i="17"/>
  <c r="C246" i="17"/>
  <c r="B247" i="17"/>
  <c r="C247" i="17"/>
  <c r="B248" i="17"/>
  <c r="C248" i="17"/>
  <c r="B249" i="17"/>
  <c r="C249" i="17"/>
  <c r="B250" i="17"/>
  <c r="C250" i="17"/>
  <c r="B251" i="17"/>
  <c r="C251" i="17"/>
  <c r="B252" i="17"/>
  <c r="C252" i="17"/>
  <c r="B253" i="17"/>
  <c r="C253" i="17"/>
  <c r="B254" i="17"/>
  <c r="C254" i="17"/>
  <c r="B255" i="17"/>
  <c r="C255" i="17"/>
  <c r="B256" i="17"/>
  <c r="C256" i="17"/>
  <c r="B257" i="17"/>
  <c r="C257" i="17"/>
  <c r="B258" i="17"/>
  <c r="C258" i="17"/>
  <c r="B259" i="17"/>
  <c r="C259" i="17"/>
  <c r="B260" i="17"/>
  <c r="C260" i="17"/>
  <c r="B261" i="17"/>
  <c r="C261" i="17"/>
  <c r="B262" i="17"/>
  <c r="C262" i="17"/>
  <c r="B263" i="17"/>
  <c r="C263" i="17"/>
  <c r="B264" i="17"/>
  <c r="C264" i="17"/>
  <c r="B265" i="17"/>
  <c r="C265" i="17"/>
  <c r="B266" i="17"/>
  <c r="C266" i="17"/>
  <c r="B267" i="17"/>
  <c r="C267" i="17"/>
  <c r="B268" i="17"/>
  <c r="C268" i="17"/>
  <c r="B269" i="17"/>
  <c r="C269" i="17"/>
  <c r="B270" i="17"/>
  <c r="C270" i="17"/>
  <c r="B271" i="17"/>
  <c r="C271" i="17"/>
  <c r="B272" i="17"/>
  <c r="C272" i="17"/>
  <c r="B273" i="17"/>
  <c r="C273" i="17"/>
  <c r="B274" i="17"/>
  <c r="C274" i="17"/>
  <c r="B275" i="17"/>
  <c r="C275" i="17"/>
  <c r="B276" i="17"/>
  <c r="C276" i="17"/>
  <c r="B277" i="17"/>
  <c r="C277" i="17"/>
  <c r="B278" i="17"/>
  <c r="C278" i="17"/>
  <c r="B279" i="17"/>
  <c r="C279" i="17"/>
  <c r="B280" i="17"/>
  <c r="C280" i="17"/>
  <c r="B281" i="17"/>
  <c r="C281" i="17"/>
  <c r="B282" i="17"/>
  <c r="C282" i="17"/>
  <c r="B283" i="17"/>
  <c r="C283" i="17"/>
  <c r="B284" i="17"/>
  <c r="C284" i="17"/>
  <c r="B285" i="17"/>
  <c r="C285" i="17"/>
  <c r="B286" i="17"/>
  <c r="C286" i="17"/>
  <c r="B287" i="17"/>
  <c r="C287" i="17"/>
  <c r="B288" i="17"/>
  <c r="C288" i="17"/>
  <c r="B289" i="17"/>
  <c r="C289" i="17"/>
  <c r="B290" i="17"/>
  <c r="C290" i="17"/>
  <c r="B291" i="17"/>
  <c r="C291" i="17"/>
  <c r="B292" i="17"/>
  <c r="C292" i="17"/>
  <c r="B293" i="17"/>
  <c r="C293" i="17"/>
  <c r="B294" i="17"/>
  <c r="C294" i="17"/>
  <c r="B295" i="17"/>
  <c r="C295" i="17"/>
  <c r="B296" i="17"/>
  <c r="C296" i="17"/>
  <c r="B297" i="17"/>
  <c r="C297" i="17"/>
  <c r="B298" i="17"/>
  <c r="C298" i="17"/>
  <c r="B299" i="17"/>
  <c r="C299" i="17"/>
  <c r="B300" i="17"/>
  <c r="C300" i="17"/>
  <c r="B301" i="17"/>
  <c r="C301" i="17"/>
  <c r="B302" i="17"/>
  <c r="C302" i="17"/>
  <c r="B303" i="17"/>
  <c r="C303" i="17"/>
  <c r="B304" i="17"/>
  <c r="C304" i="17"/>
  <c r="B305" i="17"/>
  <c r="C305" i="17"/>
  <c r="B306" i="17"/>
  <c r="C306" i="17"/>
  <c r="B307" i="17"/>
  <c r="C307" i="17"/>
  <c r="B308" i="17"/>
  <c r="C308" i="17"/>
  <c r="B309" i="17"/>
  <c r="C309" i="17"/>
  <c r="B310" i="17"/>
  <c r="C310" i="17"/>
  <c r="B311" i="17"/>
  <c r="C311" i="17"/>
  <c r="B312" i="17"/>
  <c r="C312" i="17"/>
  <c r="B313" i="17"/>
  <c r="C313" i="17"/>
  <c r="B314" i="17"/>
  <c r="C314" i="17"/>
  <c r="B315" i="17"/>
  <c r="C315" i="17"/>
  <c r="B316" i="17"/>
  <c r="C316" i="17"/>
  <c r="B317" i="17"/>
  <c r="C317" i="17"/>
  <c r="B318" i="17"/>
  <c r="C318" i="17"/>
  <c r="B319" i="17"/>
  <c r="C319" i="17"/>
  <c r="B320" i="17"/>
  <c r="C320" i="17"/>
  <c r="B321" i="17"/>
  <c r="C321" i="17"/>
  <c r="B322" i="17"/>
  <c r="C322" i="17"/>
  <c r="B323" i="17"/>
  <c r="C323" i="17"/>
  <c r="B324" i="17"/>
  <c r="C324" i="17"/>
  <c r="B325" i="17"/>
  <c r="C325" i="17"/>
  <c r="B326" i="17"/>
  <c r="C326" i="17"/>
  <c r="B327" i="17"/>
  <c r="C327" i="17"/>
  <c r="B328" i="17"/>
  <c r="C328" i="17"/>
  <c r="B329" i="17"/>
  <c r="C329" i="17"/>
  <c r="B330" i="17"/>
  <c r="C330" i="17"/>
  <c r="B331" i="17"/>
  <c r="C331" i="17"/>
  <c r="B332" i="17"/>
  <c r="C332" i="17"/>
  <c r="B333" i="17"/>
  <c r="C333" i="17"/>
  <c r="B334" i="17"/>
  <c r="C334" i="17"/>
  <c r="B335" i="17"/>
  <c r="C335" i="17"/>
  <c r="B336" i="17"/>
  <c r="C336" i="17"/>
  <c r="B337" i="17"/>
  <c r="C337" i="17"/>
  <c r="B338" i="17"/>
  <c r="C338" i="17"/>
  <c r="B339" i="17"/>
  <c r="C339" i="17"/>
  <c r="B340" i="17"/>
  <c r="C340" i="17"/>
  <c r="B341" i="17"/>
  <c r="C341" i="17"/>
  <c r="B342" i="17"/>
  <c r="C342" i="17"/>
  <c r="B343" i="17"/>
  <c r="C343" i="17"/>
  <c r="B344" i="17"/>
  <c r="C344" i="17"/>
  <c r="B345" i="17"/>
  <c r="C345" i="17"/>
  <c r="B346" i="17"/>
  <c r="C346" i="17"/>
  <c r="B347" i="17"/>
  <c r="C347" i="17"/>
  <c r="B348" i="17"/>
  <c r="C348" i="17"/>
  <c r="B349" i="17"/>
  <c r="C349" i="17"/>
  <c r="B350" i="17"/>
  <c r="C350" i="17"/>
  <c r="B351" i="17"/>
  <c r="C351" i="17"/>
  <c r="B352" i="17"/>
  <c r="C352" i="17"/>
  <c r="B353" i="17"/>
  <c r="C353" i="17"/>
  <c r="B354" i="17"/>
  <c r="C354" i="17"/>
  <c r="B355" i="17"/>
  <c r="C355" i="17"/>
  <c r="B356" i="17"/>
  <c r="C356" i="17"/>
  <c r="B357" i="17"/>
  <c r="C357" i="17"/>
  <c r="B358" i="17"/>
  <c r="C358" i="17"/>
  <c r="B359" i="17"/>
  <c r="C359" i="17"/>
  <c r="B360" i="17"/>
  <c r="C360" i="17"/>
  <c r="B361" i="17"/>
  <c r="C361" i="17"/>
  <c r="B362" i="17"/>
  <c r="C362" i="17"/>
  <c r="B363" i="17"/>
  <c r="C363" i="17"/>
  <c r="B364" i="17"/>
  <c r="C364" i="17"/>
  <c r="B365" i="17"/>
  <c r="C365" i="17"/>
  <c r="B366" i="17"/>
  <c r="C366" i="17"/>
  <c r="B367" i="17"/>
  <c r="C367" i="17"/>
  <c r="B368" i="17"/>
  <c r="C368" i="17"/>
  <c r="B369" i="17"/>
  <c r="C369" i="17"/>
  <c r="B370" i="17"/>
  <c r="C370" i="17"/>
  <c r="B371" i="17"/>
  <c r="C371" i="17"/>
  <c r="B372" i="17"/>
  <c r="C372" i="17"/>
  <c r="B373" i="17"/>
  <c r="C373" i="17"/>
  <c r="B374" i="17"/>
  <c r="C374" i="17"/>
  <c r="B375" i="17"/>
  <c r="C375" i="17"/>
  <c r="B376" i="17"/>
  <c r="C376" i="17"/>
  <c r="B377" i="17"/>
  <c r="C377" i="17"/>
  <c r="B378" i="17"/>
  <c r="C378" i="17"/>
  <c r="B379" i="17"/>
  <c r="C379" i="17"/>
  <c r="B380" i="17"/>
  <c r="C380" i="17"/>
  <c r="B381" i="17"/>
  <c r="C381" i="17"/>
  <c r="B382" i="17"/>
  <c r="C382" i="17"/>
  <c r="B383" i="17"/>
  <c r="C383" i="17"/>
  <c r="B384" i="17"/>
  <c r="C384" i="17"/>
  <c r="B385" i="17"/>
  <c r="C385" i="17"/>
  <c r="B386" i="17"/>
  <c r="C386" i="17"/>
  <c r="B387" i="17"/>
  <c r="C387" i="17"/>
  <c r="B388" i="17"/>
  <c r="C388" i="17"/>
  <c r="B389" i="17"/>
  <c r="C389" i="17"/>
  <c r="B390" i="17"/>
  <c r="C390" i="17"/>
  <c r="B391" i="17"/>
  <c r="C391" i="17"/>
  <c r="B392" i="17"/>
  <c r="C392" i="17"/>
  <c r="B393" i="17"/>
  <c r="C393" i="17"/>
  <c r="B394" i="17"/>
  <c r="C394" i="17"/>
  <c r="B395" i="17"/>
  <c r="C395" i="17"/>
  <c r="B396" i="17"/>
  <c r="C396" i="17"/>
  <c r="B397" i="17"/>
  <c r="C397" i="17"/>
  <c r="B398" i="17"/>
  <c r="C398" i="17"/>
  <c r="B399" i="17"/>
  <c r="C399" i="17"/>
  <c r="B400" i="17"/>
  <c r="C400" i="17"/>
  <c r="B401" i="17"/>
  <c r="C401" i="17"/>
  <c r="B402" i="17"/>
  <c r="C402" i="17"/>
  <c r="B403" i="17"/>
  <c r="C403" i="17"/>
  <c r="B404" i="17"/>
  <c r="C404" i="17"/>
  <c r="B405" i="17"/>
  <c r="C405" i="17"/>
  <c r="B406" i="17"/>
  <c r="C406" i="17"/>
  <c r="B407" i="17"/>
  <c r="C407" i="17"/>
  <c r="B408" i="17"/>
  <c r="C408" i="17"/>
  <c r="B409" i="17"/>
  <c r="C409" i="17"/>
  <c r="B410" i="17"/>
  <c r="C410" i="17"/>
  <c r="B411" i="17"/>
  <c r="C411" i="17"/>
  <c r="B412" i="17"/>
  <c r="C412" i="17"/>
  <c r="B413" i="17"/>
  <c r="C413" i="17"/>
  <c r="B414" i="17"/>
  <c r="C414" i="17"/>
  <c r="B415" i="17"/>
  <c r="C415" i="17"/>
  <c r="B416" i="17"/>
  <c r="C416" i="17"/>
  <c r="B417" i="17"/>
  <c r="C417" i="17"/>
  <c r="B418" i="17"/>
  <c r="C418" i="17"/>
  <c r="B419" i="17"/>
  <c r="C419" i="17"/>
  <c r="B420" i="17"/>
  <c r="C420" i="17"/>
  <c r="B421" i="17"/>
  <c r="C421" i="17"/>
  <c r="B422" i="17"/>
  <c r="C422" i="17"/>
  <c r="B423" i="17"/>
  <c r="C423" i="17"/>
  <c r="B424" i="17"/>
  <c r="C424" i="17"/>
  <c r="B425" i="17"/>
  <c r="C425" i="17"/>
  <c r="B426" i="17"/>
  <c r="C426" i="17"/>
  <c r="B427" i="17"/>
  <c r="C427" i="17"/>
  <c r="B428" i="17"/>
  <c r="C428" i="17"/>
  <c r="B429" i="17"/>
  <c r="C429" i="17"/>
  <c r="B430" i="17"/>
  <c r="C430" i="17"/>
  <c r="B431" i="17"/>
  <c r="C431" i="17"/>
  <c r="B432" i="17"/>
  <c r="C432" i="17"/>
  <c r="B433" i="17"/>
  <c r="C433" i="17"/>
  <c r="B434" i="17"/>
  <c r="C434" i="17"/>
  <c r="B435" i="17"/>
  <c r="C435" i="17"/>
  <c r="B436" i="17"/>
  <c r="C436" i="17"/>
  <c r="B437" i="17"/>
  <c r="C437" i="17"/>
  <c r="B438" i="17"/>
  <c r="C438" i="17"/>
  <c r="B439" i="17"/>
  <c r="C439" i="17"/>
  <c r="B440" i="17"/>
  <c r="C440" i="17"/>
  <c r="B441" i="17"/>
  <c r="C441" i="17"/>
  <c r="B442" i="17"/>
  <c r="C442" i="17"/>
  <c r="B443" i="17"/>
  <c r="C443" i="17"/>
  <c r="B444" i="17"/>
  <c r="C444" i="17"/>
  <c r="B445" i="17"/>
  <c r="C445" i="17"/>
  <c r="B446" i="17"/>
  <c r="C446" i="17"/>
  <c r="B447" i="17"/>
  <c r="C447" i="17"/>
  <c r="B448" i="17"/>
  <c r="C448" i="17"/>
  <c r="B449" i="17"/>
  <c r="C449" i="17"/>
  <c r="B450" i="17"/>
  <c r="C450" i="17"/>
  <c r="B451" i="17"/>
  <c r="C451" i="17"/>
  <c r="B452" i="17"/>
  <c r="C452" i="17"/>
  <c r="B453" i="17"/>
  <c r="C453" i="17"/>
  <c r="B454" i="17"/>
  <c r="C454" i="17"/>
  <c r="B455" i="17"/>
  <c r="C455" i="17"/>
  <c r="B456" i="17"/>
  <c r="C456" i="17"/>
  <c r="B457" i="17"/>
  <c r="C457" i="17"/>
  <c r="B458" i="17"/>
  <c r="C458" i="17"/>
  <c r="B459" i="17"/>
  <c r="C459" i="17"/>
  <c r="B460" i="17"/>
  <c r="C460" i="17"/>
  <c r="B461" i="17"/>
  <c r="C461" i="17"/>
  <c r="B462" i="17"/>
  <c r="C462" i="17"/>
  <c r="B463" i="17"/>
  <c r="C463" i="17"/>
  <c r="B464" i="17"/>
  <c r="C464" i="17"/>
  <c r="B465" i="17"/>
  <c r="C465" i="17"/>
  <c r="B466" i="17"/>
  <c r="C466" i="17"/>
  <c r="B467" i="17"/>
  <c r="C467" i="17"/>
  <c r="B468" i="17"/>
  <c r="C468" i="17"/>
  <c r="B469" i="17"/>
  <c r="C469" i="17"/>
  <c r="B470" i="17"/>
  <c r="C470" i="17"/>
  <c r="B471" i="17"/>
  <c r="C471" i="17"/>
  <c r="B472" i="17"/>
  <c r="C472" i="17"/>
  <c r="B473" i="17"/>
  <c r="C473" i="17"/>
  <c r="B474" i="17"/>
  <c r="C474" i="17"/>
  <c r="B475" i="17"/>
  <c r="C475" i="17"/>
  <c r="B476" i="17"/>
  <c r="C476" i="17"/>
  <c r="B477" i="17"/>
  <c r="C477" i="17"/>
  <c r="B478" i="17"/>
  <c r="C478" i="17"/>
  <c r="B479" i="17"/>
  <c r="C479" i="17"/>
  <c r="B480" i="17"/>
  <c r="C480" i="17"/>
  <c r="B481" i="17"/>
  <c r="C481" i="17"/>
  <c r="B482" i="17"/>
  <c r="C482" i="17"/>
  <c r="B483" i="17"/>
  <c r="C483" i="17"/>
  <c r="B484" i="17"/>
  <c r="C484" i="17"/>
  <c r="B485" i="17"/>
  <c r="C485" i="17"/>
  <c r="B486" i="17"/>
  <c r="C486" i="17"/>
  <c r="B487" i="17"/>
  <c r="C487" i="17"/>
  <c r="B488" i="17"/>
  <c r="C488" i="17"/>
  <c r="B489" i="17"/>
  <c r="C489" i="17"/>
  <c r="B490" i="17"/>
  <c r="C490" i="17"/>
  <c r="B491" i="17"/>
  <c r="C491" i="17"/>
  <c r="B492" i="17"/>
  <c r="C492" i="17"/>
  <c r="B493" i="17"/>
  <c r="C493" i="17"/>
  <c r="B494" i="17"/>
  <c r="C494" i="17"/>
  <c r="B495" i="17"/>
  <c r="C495" i="17"/>
  <c r="B496" i="17"/>
  <c r="C496" i="17"/>
  <c r="B497" i="17"/>
  <c r="C497" i="17"/>
  <c r="B498" i="17"/>
  <c r="C498" i="17"/>
  <c r="B499" i="17"/>
  <c r="C499" i="17"/>
  <c r="B500" i="17"/>
  <c r="C500" i="17"/>
  <c r="B501" i="17"/>
  <c r="C501" i="17"/>
  <c r="B502" i="17"/>
  <c r="C502" i="17"/>
  <c r="B503" i="17"/>
  <c r="C503" i="17"/>
  <c r="B504" i="17"/>
  <c r="C504" i="17"/>
  <c r="B505" i="17"/>
  <c r="C505" i="17"/>
  <c r="B506" i="17"/>
  <c r="C506" i="17"/>
  <c r="B507" i="17"/>
  <c r="C507" i="17"/>
  <c r="B508" i="17"/>
  <c r="C508" i="17"/>
  <c r="B509" i="17"/>
  <c r="C509" i="17"/>
  <c r="B510" i="17"/>
  <c r="C510" i="17"/>
  <c r="B511" i="17"/>
  <c r="C511" i="17"/>
  <c r="B512" i="17"/>
  <c r="C512" i="17"/>
  <c r="B513" i="17"/>
  <c r="C513" i="17"/>
  <c r="B514" i="17"/>
  <c r="C514" i="17"/>
  <c r="B515" i="17"/>
  <c r="C515" i="17"/>
  <c r="B516" i="17"/>
  <c r="C516" i="17"/>
  <c r="B517" i="17"/>
  <c r="C517" i="17"/>
  <c r="B518" i="17"/>
  <c r="C518" i="17"/>
  <c r="B519" i="17"/>
  <c r="C519" i="17"/>
  <c r="B520" i="17"/>
  <c r="C520" i="17"/>
  <c r="B521" i="17"/>
  <c r="C521" i="17"/>
  <c r="B522" i="17"/>
  <c r="C522" i="17"/>
  <c r="B523" i="17"/>
  <c r="C523" i="17"/>
  <c r="B524" i="17"/>
  <c r="C524" i="17"/>
  <c r="B525" i="17"/>
  <c r="C525" i="17"/>
  <c r="B526" i="17"/>
  <c r="C526" i="17"/>
  <c r="B527" i="17"/>
  <c r="C527" i="17"/>
  <c r="B528" i="17"/>
  <c r="C528" i="17"/>
  <c r="B529" i="17"/>
  <c r="C529" i="17"/>
  <c r="B530" i="17"/>
  <c r="C530" i="17"/>
  <c r="B531" i="17"/>
  <c r="C531" i="17"/>
  <c r="B532" i="17"/>
  <c r="C532" i="17"/>
  <c r="B533" i="17"/>
  <c r="C533" i="17"/>
  <c r="B534" i="17"/>
  <c r="C534" i="17"/>
  <c r="B535" i="17"/>
  <c r="C535" i="17"/>
  <c r="B536" i="17"/>
  <c r="C536" i="17"/>
  <c r="B537" i="17"/>
  <c r="C537" i="17"/>
  <c r="B538" i="17"/>
  <c r="C538" i="17"/>
  <c r="B539" i="17"/>
  <c r="C539" i="17"/>
  <c r="B540" i="17"/>
  <c r="C540" i="17"/>
  <c r="B541" i="17"/>
  <c r="C541" i="17"/>
  <c r="B542" i="17"/>
  <c r="C542" i="17"/>
  <c r="B543" i="17"/>
  <c r="C543" i="17"/>
  <c r="B544" i="17"/>
  <c r="C544" i="17"/>
  <c r="B545" i="17"/>
  <c r="C545" i="17"/>
  <c r="B546" i="17"/>
  <c r="C546" i="17"/>
  <c r="B547" i="17"/>
  <c r="C547" i="17"/>
  <c r="B548" i="17"/>
  <c r="C548" i="17"/>
  <c r="B549" i="17"/>
  <c r="C549" i="17"/>
  <c r="B550" i="17"/>
  <c r="C550" i="17"/>
  <c r="B551" i="17"/>
  <c r="C551" i="17"/>
  <c r="B552" i="17"/>
  <c r="C552" i="17"/>
  <c r="B553" i="17"/>
  <c r="C553" i="17"/>
  <c r="B554" i="17"/>
  <c r="C554" i="17"/>
  <c r="B555" i="17"/>
  <c r="C555" i="17"/>
  <c r="B556" i="17"/>
  <c r="C556" i="17"/>
  <c r="B557" i="17"/>
  <c r="C557" i="17"/>
  <c r="B558" i="17"/>
  <c r="C558" i="17"/>
  <c r="B559" i="17"/>
  <c r="C559" i="17"/>
  <c r="B560" i="17"/>
  <c r="C560" i="17"/>
  <c r="B561" i="17"/>
  <c r="C561" i="17"/>
  <c r="B562" i="17"/>
  <c r="C562" i="17"/>
  <c r="B563" i="17"/>
  <c r="C563" i="17"/>
  <c r="B564" i="17"/>
  <c r="C564" i="17"/>
  <c r="B565" i="17"/>
  <c r="C565" i="17"/>
  <c r="B566" i="17"/>
  <c r="C566" i="17"/>
  <c r="B567" i="17"/>
  <c r="C567" i="17"/>
  <c r="B568" i="17"/>
  <c r="C568" i="17"/>
  <c r="B569" i="17"/>
  <c r="C569" i="17"/>
  <c r="B570" i="17"/>
  <c r="C570" i="17"/>
  <c r="B571" i="17"/>
  <c r="C571" i="17"/>
  <c r="B572" i="17"/>
  <c r="C572" i="17"/>
  <c r="B573" i="17"/>
  <c r="C573" i="17"/>
  <c r="B574" i="17"/>
  <c r="C574" i="17"/>
  <c r="B575" i="17"/>
  <c r="C575" i="17"/>
  <c r="B576" i="17"/>
  <c r="C576" i="17"/>
  <c r="B577" i="17"/>
  <c r="C577" i="17"/>
  <c r="B578" i="17"/>
  <c r="C578" i="17"/>
  <c r="B579" i="17"/>
  <c r="C579" i="17"/>
  <c r="B580" i="17"/>
  <c r="C580" i="17"/>
  <c r="B581" i="17"/>
  <c r="C581" i="17"/>
  <c r="B582" i="17"/>
  <c r="C582" i="17"/>
  <c r="B583" i="17"/>
  <c r="C583" i="17"/>
  <c r="B584" i="17"/>
  <c r="C584" i="17"/>
  <c r="B585" i="17"/>
  <c r="C585" i="17"/>
  <c r="B586" i="17"/>
  <c r="C586" i="17"/>
  <c r="B587" i="17"/>
  <c r="C587" i="17"/>
  <c r="B588" i="17"/>
  <c r="C588" i="17"/>
  <c r="B589" i="17"/>
  <c r="C589" i="17"/>
  <c r="B590" i="17"/>
  <c r="C590" i="17"/>
  <c r="B591" i="17"/>
  <c r="C591" i="17"/>
  <c r="B592" i="17"/>
  <c r="C592" i="17"/>
  <c r="B593" i="17"/>
  <c r="C593" i="17"/>
  <c r="B594" i="17"/>
  <c r="C594" i="17"/>
  <c r="B595" i="17"/>
  <c r="C595" i="17"/>
  <c r="B596" i="17"/>
  <c r="C596" i="17"/>
  <c r="B597" i="17"/>
  <c r="C597" i="17"/>
  <c r="B598" i="17"/>
  <c r="C598" i="17"/>
  <c r="B599" i="17"/>
  <c r="C599" i="17"/>
  <c r="B600" i="17"/>
  <c r="C600" i="17"/>
  <c r="B601" i="17"/>
  <c r="C601" i="17"/>
  <c r="B602" i="17"/>
  <c r="C602" i="17"/>
  <c r="B603" i="17"/>
  <c r="C603" i="17"/>
  <c r="B604" i="17"/>
  <c r="C604" i="17"/>
  <c r="B605" i="17"/>
  <c r="C605" i="17"/>
  <c r="B606" i="17"/>
  <c r="C606" i="17"/>
  <c r="B607" i="17"/>
  <c r="C607" i="17"/>
  <c r="B608" i="17"/>
  <c r="C608" i="17"/>
  <c r="B609" i="17"/>
  <c r="C609" i="17"/>
  <c r="B610" i="17"/>
  <c r="C610" i="17"/>
  <c r="B611" i="17"/>
  <c r="C611" i="17"/>
  <c r="B612" i="17"/>
  <c r="C612" i="17"/>
  <c r="B613" i="17"/>
  <c r="C613" i="17"/>
  <c r="B614" i="17"/>
  <c r="C614" i="17"/>
  <c r="B615" i="17"/>
  <c r="C615" i="17"/>
  <c r="B616" i="17"/>
  <c r="C616" i="17"/>
  <c r="B617" i="17"/>
  <c r="C617" i="17"/>
  <c r="B618" i="17"/>
  <c r="C618" i="17"/>
  <c r="B619" i="17"/>
  <c r="C619" i="17"/>
  <c r="B620" i="17"/>
  <c r="C620" i="17"/>
  <c r="B621" i="17"/>
  <c r="C621" i="17"/>
  <c r="B622" i="17"/>
  <c r="C622" i="17"/>
  <c r="B623" i="17"/>
  <c r="C623" i="17"/>
  <c r="B624" i="17"/>
  <c r="C624" i="17"/>
  <c r="B625" i="17"/>
  <c r="C625" i="17"/>
  <c r="B626" i="17"/>
  <c r="C626" i="17"/>
  <c r="B627" i="17"/>
  <c r="C627" i="17"/>
  <c r="B628" i="17"/>
  <c r="C628" i="17"/>
  <c r="B629" i="17"/>
  <c r="C629" i="17"/>
  <c r="B630" i="17"/>
  <c r="C630" i="17"/>
  <c r="B631" i="17"/>
  <c r="C631" i="17"/>
  <c r="B632" i="17"/>
  <c r="C632" i="17"/>
  <c r="B633" i="17"/>
  <c r="C633" i="17"/>
  <c r="B634" i="17"/>
  <c r="C634" i="17"/>
  <c r="B635" i="17"/>
  <c r="C635" i="17"/>
  <c r="B636" i="17"/>
  <c r="C636" i="17"/>
  <c r="B637" i="17"/>
  <c r="C637" i="17"/>
  <c r="B638" i="17"/>
  <c r="C638" i="17"/>
  <c r="B639" i="17"/>
  <c r="C639" i="17"/>
  <c r="B640" i="17"/>
  <c r="C640" i="17"/>
  <c r="B641" i="17"/>
  <c r="C641" i="17"/>
  <c r="B642" i="17"/>
  <c r="C642" i="17"/>
  <c r="B643" i="17"/>
  <c r="C643" i="17"/>
  <c r="B644" i="17"/>
  <c r="C644" i="17"/>
  <c r="B645" i="17"/>
  <c r="C645" i="17"/>
  <c r="B646" i="17"/>
  <c r="C646" i="17"/>
  <c r="B647" i="17"/>
  <c r="C647" i="17"/>
  <c r="B648" i="17"/>
  <c r="C648" i="17"/>
  <c r="B649" i="17"/>
  <c r="C649" i="17"/>
  <c r="B650" i="17"/>
  <c r="C650" i="17"/>
  <c r="B651" i="17"/>
  <c r="C651" i="17"/>
  <c r="B652" i="17"/>
  <c r="C652" i="17"/>
  <c r="B653" i="17"/>
  <c r="C653" i="17"/>
  <c r="B654" i="17"/>
  <c r="C654" i="17"/>
  <c r="B655" i="17"/>
  <c r="C655" i="17"/>
  <c r="B656" i="17"/>
  <c r="C656" i="17"/>
  <c r="B657" i="17"/>
  <c r="C657" i="17"/>
  <c r="B658" i="17"/>
  <c r="C658" i="17"/>
  <c r="B659" i="17"/>
  <c r="C659" i="17"/>
  <c r="B660" i="17"/>
  <c r="C660" i="17"/>
  <c r="B661" i="17"/>
  <c r="C661" i="17"/>
  <c r="B662" i="17"/>
  <c r="C662" i="17"/>
  <c r="B663" i="17"/>
  <c r="C663" i="17"/>
  <c r="B664" i="17"/>
  <c r="C664" i="17"/>
  <c r="B665" i="17"/>
  <c r="C665" i="17"/>
  <c r="B666" i="17"/>
  <c r="C666" i="17"/>
  <c r="B667" i="17"/>
  <c r="C667" i="17"/>
  <c r="B668" i="17"/>
  <c r="C668" i="17"/>
  <c r="B669" i="17"/>
  <c r="C669" i="17"/>
  <c r="B670" i="17"/>
  <c r="C670" i="17"/>
  <c r="B671" i="17"/>
  <c r="C671" i="17"/>
  <c r="B672" i="17"/>
  <c r="C672" i="17"/>
  <c r="B673" i="17"/>
  <c r="C673" i="17"/>
  <c r="B674" i="17"/>
  <c r="C674" i="17"/>
  <c r="B675" i="17"/>
  <c r="C675" i="17"/>
  <c r="B676" i="17"/>
  <c r="C676" i="17"/>
  <c r="B677" i="17"/>
  <c r="C677" i="17"/>
  <c r="B678" i="17"/>
  <c r="C678" i="17"/>
  <c r="B679" i="17"/>
  <c r="C679" i="17"/>
  <c r="B680" i="17"/>
  <c r="C680" i="17"/>
  <c r="B681" i="17"/>
  <c r="C681" i="17"/>
  <c r="B682" i="17"/>
  <c r="C682" i="17"/>
  <c r="B683" i="17"/>
  <c r="C683" i="17"/>
  <c r="B684" i="17"/>
  <c r="C684" i="17"/>
  <c r="B685" i="17"/>
  <c r="C685" i="17"/>
  <c r="B686" i="17"/>
  <c r="C686" i="17"/>
  <c r="B687" i="17"/>
  <c r="C687" i="17"/>
  <c r="B688" i="17"/>
  <c r="C688" i="17"/>
  <c r="B689" i="17"/>
  <c r="C689" i="17"/>
  <c r="B690" i="17"/>
  <c r="C690" i="17"/>
  <c r="B691" i="17"/>
  <c r="C691" i="17"/>
  <c r="B692" i="17"/>
  <c r="C692" i="17"/>
  <c r="B693" i="17"/>
  <c r="C693" i="17"/>
  <c r="B694" i="17"/>
  <c r="C694" i="17"/>
  <c r="B695" i="17"/>
  <c r="C695" i="17"/>
  <c r="B696" i="17"/>
  <c r="C696" i="17"/>
  <c r="B697" i="17"/>
  <c r="C697" i="17"/>
  <c r="B698" i="17"/>
  <c r="C698" i="17"/>
  <c r="B699" i="17"/>
  <c r="C699" i="17"/>
  <c r="B700" i="17"/>
  <c r="C700" i="17"/>
  <c r="B701" i="17"/>
  <c r="C701" i="17"/>
  <c r="B702" i="17"/>
  <c r="C702" i="17"/>
  <c r="B703" i="17"/>
  <c r="C703" i="17"/>
  <c r="B704" i="17"/>
  <c r="C704" i="17"/>
  <c r="B705" i="17"/>
  <c r="C705" i="17"/>
  <c r="B706" i="17"/>
  <c r="C706" i="17"/>
  <c r="B707" i="17"/>
  <c r="C707" i="17"/>
  <c r="B708" i="17"/>
  <c r="C708" i="17"/>
  <c r="B709" i="17"/>
  <c r="C709" i="17"/>
  <c r="B710" i="17"/>
  <c r="C710" i="17"/>
  <c r="B711" i="17"/>
  <c r="C711" i="17"/>
  <c r="B712" i="17"/>
  <c r="C712" i="17"/>
  <c r="B713" i="17"/>
  <c r="C713" i="17"/>
  <c r="B714" i="17"/>
  <c r="C714" i="17"/>
  <c r="B715" i="17"/>
  <c r="C715" i="17"/>
  <c r="B716" i="17"/>
  <c r="C716" i="17"/>
  <c r="B717" i="17"/>
  <c r="C717" i="17"/>
  <c r="B718" i="17"/>
  <c r="C718" i="17"/>
  <c r="B719" i="17"/>
  <c r="C719" i="17"/>
  <c r="B720" i="17"/>
  <c r="C720" i="17"/>
  <c r="B721" i="17"/>
  <c r="C721" i="17"/>
  <c r="B722" i="17"/>
  <c r="C722" i="17"/>
  <c r="B723" i="17"/>
  <c r="C723" i="17"/>
  <c r="B724" i="17"/>
  <c r="C724" i="17"/>
  <c r="B725" i="17"/>
  <c r="C725" i="17"/>
  <c r="B726" i="17"/>
  <c r="C726" i="17"/>
  <c r="B727" i="17"/>
  <c r="C727" i="17"/>
  <c r="B728" i="17"/>
  <c r="C728" i="17"/>
  <c r="B729" i="17"/>
  <c r="C729" i="17"/>
  <c r="B730" i="17"/>
  <c r="C730" i="17"/>
  <c r="B731" i="17"/>
  <c r="C731" i="17"/>
  <c r="B732" i="17"/>
  <c r="C732" i="17"/>
  <c r="B733" i="17"/>
  <c r="C733" i="17"/>
  <c r="B734" i="17"/>
  <c r="C734" i="17"/>
  <c r="B735" i="17"/>
  <c r="C735" i="17"/>
  <c r="B736" i="17"/>
  <c r="C736" i="17"/>
  <c r="B737" i="17"/>
  <c r="C737" i="17"/>
  <c r="B738" i="17"/>
  <c r="C738" i="17"/>
  <c r="B739" i="17"/>
  <c r="C739" i="17"/>
  <c r="B740" i="17"/>
  <c r="C740" i="17"/>
  <c r="B741" i="17"/>
  <c r="C741" i="17"/>
  <c r="B742" i="17"/>
  <c r="C742" i="17"/>
  <c r="B743" i="17"/>
  <c r="C743" i="17"/>
  <c r="B744" i="17"/>
  <c r="C744" i="17"/>
  <c r="B745" i="17"/>
  <c r="C745" i="17"/>
  <c r="B746" i="17"/>
  <c r="C746" i="17"/>
  <c r="B747" i="17"/>
  <c r="C747" i="17"/>
  <c r="B748" i="17"/>
  <c r="C748" i="17"/>
  <c r="B749" i="17"/>
  <c r="C749" i="17"/>
  <c r="B750" i="17"/>
  <c r="C750" i="17"/>
  <c r="B751" i="17"/>
  <c r="C751" i="17"/>
  <c r="B752" i="17"/>
  <c r="C752" i="17"/>
  <c r="B753" i="17"/>
  <c r="C753" i="17"/>
  <c r="B754" i="17"/>
  <c r="C754" i="17"/>
  <c r="B755" i="17"/>
  <c r="C755" i="17"/>
  <c r="B756" i="17"/>
  <c r="C756" i="17"/>
  <c r="B757" i="17"/>
  <c r="C757" i="17"/>
  <c r="B758" i="17"/>
  <c r="C758" i="17"/>
  <c r="B759" i="17"/>
  <c r="C759" i="17"/>
  <c r="B760" i="17"/>
  <c r="C760" i="17"/>
  <c r="B761" i="17"/>
  <c r="C761" i="17"/>
  <c r="B762" i="17"/>
  <c r="C762" i="17"/>
  <c r="B763" i="17"/>
  <c r="C763" i="17"/>
  <c r="B764" i="17"/>
  <c r="C764" i="17"/>
  <c r="B765" i="17"/>
  <c r="C765" i="17"/>
  <c r="B766" i="17"/>
  <c r="C766" i="17"/>
  <c r="B767" i="17"/>
  <c r="C767" i="17"/>
  <c r="B768" i="17"/>
  <c r="C768" i="17"/>
  <c r="B769" i="17"/>
  <c r="C769" i="17"/>
  <c r="B770" i="17"/>
  <c r="C770" i="17"/>
  <c r="B771" i="17"/>
  <c r="C771" i="17"/>
  <c r="B772" i="17"/>
  <c r="C772" i="17"/>
  <c r="B773" i="17"/>
  <c r="C773" i="17"/>
  <c r="B774" i="17"/>
  <c r="C774" i="17"/>
  <c r="B775" i="17"/>
  <c r="C775" i="17"/>
  <c r="B776" i="17"/>
  <c r="C776" i="17"/>
  <c r="B777" i="17"/>
  <c r="C777" i="17"/>
  <c r="B778" i="17"/>
  <c r="C778" i="17"/>
  <c r="B779" i="17"/>
  <c r="C779" i="17"/>
  <c r="B780" i="17"/>
  <c r="C780" i="17"/>
  <c r="B781" i="17"/>
  <c r="C781" i="17"/>
  <c r="B782" i="17"/>
  <c r="C782" i="17"/>
  <c r="B783" i="17"/>
  <c r="C783" i="17"/>
  <c r="B784" i="17"/>
  <c r="C784" i="17"/>
  <c r="B785" i="17"/>
  <c r="C785" i="17"/>
  <c r="B786" i="17"/>
  <c r="C786" i="17"/>
  <c r="B787" i="17"/>
  <c r="C787" i="17"/>
  <c r="B788" i="17"/>
  <c r="C788" i="17"/>
  <c r="B789" i="17"/>
  <c r="C789" i="17"/>
  <c r="B790" i="17"/>
  <c r="C790" i="17"/>
  <c r="B791" i="17"/>
  <c r="C791" i="17"/>
  <c r="B792" i="17"/>
  <c r="C792" i="17"/>
  <c r="B793" i="17"/>
  <c r="C793" i="17"/>
  <c r="B794" i="17"/>
  <c r="C794" i="17"/>
  <c r="B795" i="17"/>
  <c r="C795" i="17"/>
  <c r="B796" i="17"/>
  <c r="C796" i="17"/>
  <c r="B797" i="17"/>
  <c r="C797" i="17"/>
  <c r="B798" i="17"/>
  <c r="C798" i="17"/>
  <c r="B799" i="17"/>
  <c r="C799" i="17"/>
  <c r="B800" i="17"/>
  <c r="C800" i="17"/>
  <c r="B801" i="17"/>
  <c r="C801" i="17"/>
  <c r="B802" i="17"/>
  <c r="C802" i="17"/>
  <c r="B803" i="17"/>
  <c r="C803" i="17"/>
  <c r="B804" i="17"/>
  <c r="C804" i="17"/>
  <c r="B805" i="17"/>
  <c r="C805" i="17"/>
  <c r="B806" i="17"/>
  <c r="C806" i="17"/>
  <c r="B807" i="17"/>
  <c r="C807" i="17"/>
  <c r="B808" i="17"/>
  <c r="C808" i="17"/>
  <c r="B809" i="17"/>
  <c r="C809" i="17"/>
  <c r="B810" i="17"/>
  <c r="C810" i="17"/>
  <c r="B811" i="17"/>
  <c r="C811" i="17"/>
  <c r="B812" i="17"/>
  <c r="C812" i="17"/>
  <c r="B813" i="17"/>
  <c r="C813" i="17"/>
  <c r="B814" i="17"/>
  <c r="C814" i="17"/>
  <c r="B815" i="17"/>
  <c r="C815" i="17"/>
  <c r="B816" i="17"/>
  <c r="C816" i="17"/>
  <c r="B817" i="17"/>
  <c r="C817" i="17"/>
  <c r="B818" i="17"/>
  <c r="C818" i="17"/>
  <c r="B819" i="17"/>
  <c r="C819" i="17"/>
  <c r="B820" i="17"/>
  <c r="C820" i="17"/>
  <c r="B821" i="17"/>
  <c r="C821" i="17"/>
  <c r="B822" i="17"/>
  <c r="C822" i="17"/>
  <c r="B823" i="17"/>
  <c r="C823" i="17"/>
  <c r="B824" i="17"/>
  <c r="C824" i="17"/>
  <c r="B825" i="17"/>
  <c r="C825" i="17"/>
  <c r="B826" i="17"/>
  <c r="C826" i="17"/>
  <c r="B827" i="17"/>
  <c r="C827" i="17"/>
  <c r="B828" i="17"/>
  <c r="C828" i="17"/>
  <c r="B829" i="17"/>
  <c r="C829" i="17"/>
  <c r="B830" i="17"/>
  <c r="C830" i="17"/>
  <c r="B831" i="17"/>
  <c r="C831" i="17"/>
  <c r="B832" i="17"/>
  <c r="C832" i="17"/>
  <c r="B833" i="17"/>
  <c r="C833" i="17"/>
  <c r="B834" i="17"/>
  <c r="C834" i="17"/>
  <c r="B835" i="17"/>
  <c r="C835" i="17"/>
  <c r="B836" i="17"/>
  <c r="C836" i="17"/>
  <c r="B837" i="17"/>
  <c r="C837" i="17"/>
  <c r="B838" i="17"/>
  <c r="C838" i="17"/>
  <c r="B839" i="17"/>
  <c r="C839" i="17"/>
  <c r="B840" i="17"/>
  <c r="C840" i="17"/>
  <c r="B841" i="17"/>
  <c r="C841" i="17"/>
  <c r="B842" i="17"/>
  <c r="C842" i="17"/>
  <c r="B843" i="17"/>
  <c r="C843" i="17"/>
  <c r="B844" i="17"/>
  <c r="C844" i="17"/>
  <c r="B845" i="17"/>
  <c r="C845" i="17"/>
  <c r="B846" i="17"/>
  <c r="C846" i="17"/>
  <c r="B847" i="17"/>
  <c r="C847" i="17"/>
  <c r="B848" i="17"/>
  <c r="C848" i="17"/>
  <c r="B849" i="17"/>
  <c r="C849" i="17"/>
  <c r="B850" i="17"/>
  <c r="C850" i="17"/>
  <c r="B851" i="17"/>
  <c r="C851" i="17"/>
  <c r="B852" i="17"/>
  <c r="C852" i="17"/>
  <c r="B853" i="17"/>
  <c r="C853" i="17"/>
  <c r="B854" i="17"/>
  <c r="C854" i="17"/>
  <c r="B855" i="17"/>
  <c r="C855" i="17"/>
  <c r="B856" i="17"/>
  <c r="C856" i="17"/>
  <c r="B857" i="17"/>
  <c r="C857" i="17"/>
  <c r="B858" i="17"/>
  <c r="C858" i="17"/>
  <c r="B859" i="17"/>
  <c r="C859" i="17"/>
  <c r="B860" i="17"/>
  <c r="C860" i="17"/>
  <c r="B861" i="17"/>
  <c r="C861" i="17"/>
  <c r="B862" i="17"/>
  <c r="C862" i="17"/>
  <c r="B863" i="17"/>
  <c r="C863" i="17"/>
  <c r="B864" i="17"/>
  <c r="C864" i="17"/>
  <c r="B865" i="17"/>
  <c r="C865" i="17"/>
  <c r="B866" i="17"/>
  <c r="C866" i="17"/>
  <c r="B867" i="17"/>
  <c r="C867" i="17"/>
  <c r="B868" i="17"/>
  <c r="C868" i="17"/>
  <c r="B869" i="17"/>
  <c r="C869" i="17"/>
  <c r="B870" i="17"/>
  <c r="C870" i="17"/>
  <c r="B871" i="17"/>
  <c r="C871" i="17"/>
  <c r="B872" i="17"/>
  <c r="C872" i="17"/>
  <c r="B873" i="17"/>
  <c r="C873" i="17"/>
  <c r="B874" i="17"/>
  <c r="C874" i="17"/>
  <c r="B875" i="17"/>
  <c r="C875" i="17"/>
  <c r="B876" i="17"/>
  <c r="C876" i="17"/>
  <c r="B877" i="17"/>
  <c r="C877" i="17"/>
  <c r="B878" i="17"/>
  <c r="C878" i="17"/>
  <c r="B879" i="17"/>
  <c r="C879" i="17"/>
  <c r="B880" i="17"/>
  <c r="C880" i="17"/>
  <c r="B881" i="17"/>
  <c r="C881" i="17"/>
  <c r="B882" i="17"/>
  <c r="C882" i="17"/>
  <c r="B883" i="17"/>
  <c r="C883" i="17"/>
  <c r="B884" i="17"/>
  <c r="C884" i="17"/>
  <c r="B885" i="17"/>
  <c r="C885" i="17"/>
  <c r="B886" i="17"/>
  <c r="C886" i="17"/>
  <c r="B887" i="17"/>
  <c r="C887" i="17"/>
  <c r="B888" i="17"/>
  <c r="C888" i="17"/>
  <c r="B889" i="17"/>
  <c r="C889" i="17"/>
  <c r="B890" i="17"/>
  <c r="C890" i="17"/>
  <c r="B891" i="17"/>
  <c r="C891" i="17"/>
  <c r="B892" i="17"/>
  <c r="C892" i="17"/>
  <c r="B893" i="17"/>
  <c r="C893" i="17"/>
  <c r="B894" i="17"/>
  <c r="C894" i="17"/>
  <c r="B895" i="17"/>
  <c r="C895" i="17"/>
  <c r="B896" i="17"/>
  <c r="C896" i="17"/>
  <c r="B897" i="17"/>
  <c r="C897" i="17"/>
  <c r="B898" i="17"/>
  <c r="C898" i="17"/>
  <c r="B899" i="17"/>
  <c r="C899" i="17"/>
  <c r="B900" i="17"/>
  <c r="C900" i="17"/>
  <c r="B901" i="17"/>
  <c r="C901" i="17"/>
  <c r="B902" i="17"/>
  <c r="C902" i="17"/>
  <c r="B903" i="17"/>
  <c r="C903" i="17"/>
  <c r="B904" i="17"/>
  <c r="C904" i="17"/>
  <c r="B905" i="17"/>
  <c r="C905" i="17"/>
  <c r="B906" i="17"/>
  <c r="C906" i="17"/>
  <c r="B907" i="17"/>
  <c r="C907" i="17"/>
  <c r="B908" i="17"/>
  <c r="C908" i="17"/>
  <c r="B909" i="17"/>
  <c r="C909" i="17"/>
  <c r="B910" i="17"/>
  <c r="C910" i="17"/>
  <c r="B911" i="17"/>
  <c r="C911" i="17"/>
  <c r="B912" i="17"/>
  <c r="C912" i="17"/>
  <c r="B913" i="17"/>
  <c r="C913" i="17"/>
  <c r="B914" i="17"/>
  <c r="C914" i="17"/>
  <c r="B915" i="17"/>
  <c r="C915" i="17"/>
  <c r="B916" i="17"/>
  <c r="C916" i="17"/>
  <c r="B917" i="17"/>
  <c r="C917" i="17"/>
  <c r="B918" i="17"/>
  <c r="C918" i="17"/>
  <c r="B919" i="17"/>
  <c r="C919" i="17"/>
  <c r="B920" i="17"/>
  <c r="C920" i="17"/>
  <c r="B921" i="17"/>
  <c r="C921" i="17"/>
  <c r="B922" i="17"/>
  <c r="C922" i="17"/>
  <c r="B923" i="17"/>
  <c r="C923" i="17"/>
  <c r="B924" i="17"/>
  <c r="C924" i="17"/>
  <c r="B925" i="17"/>
  <c r="C925" i="17"/>
  <c r="B926" i="17"/>
  <c r="C926" i="17"/>
  <c r="B927" i="17"/>
  <c r="C927" i="17"/>
  <c r="B928" i="17"/>
  <c r="C928" i="17"/>
  <c r="B929" i="17"/>
  <c r="C929" i="17"/>
  <c r="B930" i="17"/>
  <c r="C930" i="17"/>
  <c r="B931" i="17"/>
  <c r="C931" i="17"/>
  <c r="B932" i="17"/>
  <c r="C932" i="17"/>
  <c r="B933" i="17"/>
  <c r="C933" i="17"/>
  <c r="B934" i="17"/>
  <c r="C934" i="17"/>
  <c r="B935" i="17"/>
  <c r="C935" i="17"/>
  <c r="B936" i="17"/>
  <c r="C936" i="17"/>
  <c r="B937" i="17"/>
  <c r="C937" i="17"/>
  <c r="B938" i="17"/>
  <c r="C938" i="17"/>
  <c r="B939" i="17"/>
  <c r="C939" i="17"/>
  <c r="B940" i="17"/>
  <c r="C940" i="17"/>
  <c r="B941" i="17"/>
  <c r="C941" i="17"/>
  <c r="B942" i="17"/>
  <c r="C942" i="17"/>
  <c r="B943" i="17"/>
  <c r="C943" i="17"/>
  <c r="B944" i="17"/>
  <c r="C944" i="17"/>
  <c r="B945" i="17"/>
  <c r="C945" i="17"/>
  <c r="B946" i="17"/>
  <c r="C946" i="17"/>
  <c r="B947" i="17"/>
  <c r="C947" i="17"/>
  <c r="B948" i="17"/>
  <c r="C948" i="17"/>
  <c r="B949" i="17"/>
  <c r="C949" i="17"/>
  <c r="B950" i="17"/>
  <c r="C950" i="17"/>
  <c r="B951" i="17"/>
  <c r="C951" i="17"/>
  <c r="B952" i="17"/>
  <c r="C952" i="17"/>
  <c r="B953" i="17"/>
  <c r="C953" i="17"/>
  <c r="B954" i="17"/>
  <c r="C954" i="17"/>
  <c r="B955" i="17"/>
  <c r="C955" i="17"/>
  <c r="B956" i="17"/>
  <c r="C956" i="17"/>
  <c r="B957" i="17"/>
  <c r="C957" i="17"/>
  <c r="B958" i="17"/>
  <c r="C958" i="17"/>
  <c r="B959" i="17"/>
  <c r="C959" i="17"/>
  <c r="B960" i="17"/>
  <c r="C960" i="17"/>
  <c r="B961" i="17"/>
  <c r="C961" i="17"/>
  <c r="B962" i="17"/>
  <c r="C962" i="17"/>
  <c r="B963" i="17"/>
  <c r="C963" i="17"/>
  <c r="B964" i="17"/>
  <c r="C964" i="17"/>
  <c r="B965" i="17"/>
  <c r="C965" i="17"/>
  <c r="B966" i="17"/>
  <c r="C966" i="17"/>
  <c r="B967" i="17"/>
  <c r="C967" i="17"/>
  <c r="B968" i="17"/>
  <c r="C968" i="17"/>
  <c r="B969" i="17"/>
  <c r="C969" i="17"/>
  <c r="B970" i="17"/>
  <c r="C970" i="17"/>
  <c r="B971" i="17"/>
  <c r="C971" i="17"/>
  <c r="B972" i="17"/>
  <c r="C972" i="17"/>
  <c r="B973" i="17"/>
  <c r="C973" i="17"/>
  <c r="B974" i="17"/>
  <c r="C974" i="17"/>
  <c r="B975" i="17"/>
  <c r="C975" i="17"/>
  <c r="B976" i="17"/>
  <c r="C976" i="17"/>
  <c r="B977" i="17"/>
  <c r="C977" i="17"/>
  <c r="B978" i="17"/>
  <c r="C978" i="17"/>
  <c r="B979" i="17"/>
  <c r="C979" i="17"/>
  <c r="B980" i="17"/>
  <c r="C980" i="17"/>
  <c r="B981" i="17"/>
  <c r="C981" i="17"/>
  <c r="B982" i="17"/>
  <c r="C982" i="17"/>
  <c r="B983" i="17"/>
  <c r="C983" i="17"/>
  <c r="B984" i="17"/>
  <c r="C984" i="17"/>
  <c r="B985" i="17"/>
  <c r="C985" i="17"/>
  <c r="B986" i="17"/>
  <c r="C986" i="17"/>
  <c r="B987" i="17"/>
  <c r="C987" i="17"/>
  <c r="B988" i="17"/>
  <c r="C988" i="17"/>
  <c r="B989" i="17"/>
  <c r="C989" i="17"/>
  <c r="B990" i="17"/>
  <c r="C990" i="17"/>
  <c r="B991" i="17"/>
  <c r="C991" i="17"/>
  <c r="B992" i="17"/>
  <c r="C992" i="17"/>
  <c r="B993" i="17"/>
  <c r="C993" i="17"/>
  <c r="B994" i="17"/>
  <c r="C994" i="17"/>
  <c r="B995" i="17"/>
  <c r="C995" i="17"/>
  <c r="B996" i="17"/>
  <c r="C996" i="17"/>
  <c r="B997" i="17"/>
  <c r="C997" i="17"/>
  <c r="B998" i="17"/>
  <c r="C998" i="17"/>
  <c r="B999" i="17"/>
  <c r="C999" i="17"/>
  <c r="B1000" i="17"/>
  <c r="C1000" i="17"/>
  <c r="B1001" i="17"/>
  <c r="C1001" i="17"/>
  <c r="B1002" i="17"/>
  <c r="C1002" i="17"/>
  <c r="C3" i="17"/>
  <c r="B3" i="17"/>
  <c r="D207" i="3" l="1"/>
  <c r="B116" i="1" l="1"/>
</calcChain>
</file>

<file path=xl/sharedStrings.xml><?xml version="1.0" encoding="utf-8"?>
<sst xmlns="http://schemas.openxmlformats.org/spreadsheetml/2006/main" count="12521" uniqueCount="3688">
  <si>
    <t>Port Assignment Spreadsheet Major Update History</t>
  </si>
  <si>
    <t>Date</t>
  </si>
  <si>
    <t xml:space="preserve">Action </t>
  </si>
  <si>
    <t>CP Admin</t>
  </si>
  <si>
    <t>Created ReadMe Tab</t>
  </si>
  <si>
    <t>Chris Reid</t>
  </si>
  <si>
    <t>Synchronized the CP3 tab with the connections that exist in CP3</t>
  </si>
  <si>
    <t>Added new port range for WAMT.  31xxx and 35xxx</t>
  </si>
  <si>
    <t>Added CP3 Gear-to-Gear connections to the Gear-to-Gear Tab.</t>
  </si>
  <si>
    <t xml:space="preserve">Removed Reserved Conversion Ports from the port assignment spreadsheet.
The Conversion team will use ports in the range 17000-17999 moving forward.  
This was previously part of the SWE port range. 
The port range of 17000-17999 should no longer be used for Corepoint Connections.
Please see Corepoint Coding Standards for rules on what port ranges should be used for Epic vs Non-Epic connections
Removed the SWE and Kadlec tabs. 
</t>
  </si>
  <si>
    <t>TEST</t>
  </si>
  <si>
    <t>PROD</t>
  </si>
  <si>
    <t>STAGING</t>
  </si>
  <si>
    <t>CP</t>
  </si>
  <si>
    <t>CONNECTION</t>
  </si>
  <si>
    <t>COMMENTS</t>
  </si>
  <si>
    <t>Activity Code</t>
  </si>
  <si>
    <t>CP5</t>
  </si>
  <si>
    <t>OB_CipherHealth_AK_ADT</t>
  </si>
  <si>
    <t>Vendor Request</t>
  </si>
  <si>
    <t>OB_Computrition_AK_ADT_ORM</t>
  </si>
  <si>
    <t>Replaced 12224 and 16224 with test = 8634 prod = 8635. Using Computrition ranges based on legacy settings.</t>
  </si>
  <si>
    <t>CPAK</t>
  </si>
  <si>
    <t>OB_R1-Clear_AK_ADT</t>
  </si>
  <si>
    <t>OB_Medline_AK_ADT</t>
  </si>
  <si>
    <t>OB_NextGen_AK_CK_ORU</t>
  </si>
  <si>
    <t>SCTASK056415</t>
  </si>
  <si>
    <t>OB_Mayo_AKCC_CPH_ORM</t>
  </si>
  <si>
    <t>OB_OnBase_AK_ADT_MDM_ORM_ORU</t>
  </si>
  <si>
    <t>OB_NuanceCDE_AK_PAMC_ADT</t>
  </si>
  <si>
    <t>Ports required by vendor</t>
  </si>
  <si>
    <t>OB_NuanceCDE_AK_PAMC_DFT</t>
  </si>
  <si>
    <t>OB_NuanceCDE_AK_PAMC_ORU</t>
  </si>
  <si>
    <t>OB_NuanceCDE_AK_PAMC_MFN</t>
  </si>
  <si>
    <t>OB_R1-OrdersFacilitator_AK_PAMC_ORM</t>
  </si>
  <si>
    <t>OB_Vision_AK_ORM</t>
  </si>
  <si>
    <t>OB_360Encompass_AK_MFN</t>
  </si>
  <si>
    <t>IB_Epic729324_AK_VXU</t>
  </si>
  <si>
    <t>This port is also used in the Azure migration for _CPAK_ and _C5_ temp pass-through connections.</t>
  </si>
  <si>
    <t>IB_HCLL_AK_AKCC_ORU</t>
  </si>
  <si>
    <t>IB_HCLL_AK_AKCC_DFT</t>
  </si>
  <si>
    <t>OB_HCLL_AK_AKCC_ADT_ORM</t>
  </si>
  <si>
    <t>IB_Epic729408_AK_ORM</t>
  </si>
  <si>
    <t>IB_Epic729702_AK_ADT</t>
  </si>
  <si>
    <t>OB_Epic729309_AK_ORM_ORU</t>
  </si>
  <si>
    <t>OB_Trace_AK_ADT</t>
  </si>
  <si>
    <t>IB_Epic729330_AK_ORU</t>
  </si>
  <si>
    <t>OB_NurseCall_AKCC_CPH_ADT</t>
  </si>
  <si>
    <t>OB_Epic729705_AK_ADT</t>
  </si>
  <si>
    <t>IB_NextGen_AK_CK_ORM</t>
  </si>
  <si>
    <t>IB_PowerScribe_AK_ORU</t>
  </si>
  <si>
    <t>OB_PowerScribe_AK_ADT_ORM_ORU</t>
  </si>
  <si>
    <t>OB_IntelePACS_AKCC_SPHH_ADT_ORM_ORU</t>
  </si>
  <si>
    <t>IB_IntelePACS_AKCC_SPHH_ORU</t>
  </si>
  <si>
    <t>OB_Theradoc_AK_AKCC_ORU-RAD</t>
  </si>
  <si>
    <t>OB_Theradoc_AK_AKCC_ORU-LAB</t>
  </si>
  <si>
    <t>OB_Theradoc_AK_AKCC_RDE</t>
  </si>
  <si>
    <t>OB_Theradoc_AK_AKCC_ADT</t>
  </si>
  <si>
    <t>IB_Epic729106_AK_MDM</t>
  </si>
  <si>
    <t>OB_Synapse_AK_PKMC_ORM_ORU</t>
  </si>
  <si>
    <t>OB_Theradoc_AK_AKCC_ORU-FLOW</t>
  </si>
  <si>
    <t>IB_Onbase_AK_MDM</t>
  </si>
  <si>
    <t>OB_Synapse_AK_PKMC_ADT</t>
  </si>
  <si>
    <t>OB_Onbase_AK_MFN</t>
  </si>
  <si>
    <t>IB_DataCaptor_AK_PKMC_ORU</t>
  </si>
  <si>
    <t>OB_Epic729337_AK_ORU</t>
  </si>
  <si>
    <t>OB_C6_Epic729310_AK_ORU</t>
  </si>
  <si>
    <t>CP6</t>
  </si>
  <si>
    <t>IB_C5_Epic729310_AK_ORU</t>
  </si>
  <si>
    <t>IB_Epic729362_AK_ORU</t>
  </si>
  <si>
    <t>OB_Epic729103_AK_ZBI</t>
  </si>
  <si>
    <t>IB_Onbase_AK_ZBI</t>
  </si>
  <si>
    <t>IB_OnBase_AK_MDM-LNKS</t>
  </si>
  <si>
    <t>OB_Epic729107_AK_MDM</t>
  </si>
  <si>
    <t>IB_Epic729360_AK_ORU</t>
  </si>
  <si>
    <t>OB_Epic729361_AK_ORU</t>
  </si>
  <si>
    <t>IB_OBIX_AK_PKMC_ORU</t>
  </si>
  <si>
    <t>OB_OBIX_AK_AKCC_ADT_ORU</t>
  </si>
  <si>
    <t>IB_Epic729500_AK_SIU</t>
  </si>
  <si>
    <t>IB_Epic729450_AK_ORM</t>
  </si>
  <si>
    <t>OB_Epic729351_AK_ORU_SSU</t>
  </si>
  <si>
    <t>OB_Epic729339_AK_ORU</t>
  </si>
  <si>
    <t>IB_DataInnovations_AK_AKCC_ORU_SSU</t>
  </si>
  <si>
    <t>IB_Epic729300_AK_ORU</t>
  </si>
  <si>
    <t>IB_LynxePoint_AK_AKCC_DFT</t>
  </si>
  <si>
    <t>OB_TrensCenter_AKCC_CPH_ADT</t>
  </si>
  <si>
    <t>IB_Epic729424_AK_ORM</t>
  </si>
  <si>
    <t>IB_Epic729332_ORCA_ORU</t>
  </si>
  <si>
    <t>OB_LeafPatientMonitoring_AK_ADT</t>
  </si>
  <si>
    <t>OB_Epic729353_AK_ORU</t>
  </si>
  <si>
    <t>OB_Philips_AK_PAMC_ADT</t>
  </si>
  <si>
    <t>IB_ChangeHealthcare-CARD_AK_ORU</t>
  </si>
  <si>
    <t>IB_DataCaptor_AK_PVMC_ORU</t>
  </si>
  <si>
    <t>OB_Muse_AK_AKCC_ADT_ORM</t>
  </si>
  <si>
    <t>IB_Muse_AK_AKCC_DFT_ORU</t>
  </si>
  <si>
    <t>OB_ChargeMD_AK_AKCC_ADT_MDM</t>
  </si>
  <si>
    <t>OB_C6_Epic729320_AK_ORU</t>
  </si>
  <si>
    <t>IB_CPAK_Epic729320_AK_ORU</t>
  </si>
  <si>
    <t>OB_Intermedix_AK_PAMC_ADT</t>
  </si>
  <si>
    <t>IB_Epic729286_AK_MDM_WS-REST</t>
  </si>
  <si>
    <t>OB_C6_Epic729702_AK_ADT</t>
  </si>
  <si>
    <t>IB_CPAK_Epic729702_AK_ADT</t>
  </si>
  <si>
    <t>OB_PatientKeeper_AK_OBHG_ADT</t>
  </si>
  <si>
    <t>OB_eScription_AK_ADT</t>
  </si>
  <si>
    <t>IB_Epic729398_AK_ORM_ORU</t>
  </si>
  <si>
    <t>OB_PyxisLogistics_AK_RDE</t>
  </si>
  <si>
    <t>OB_BabySteps_AK_PAMC_ADT</t>
  </si>
  <si>
    <t>IB_eScription_AK_MDM</t>
  </si>
  <si>
    <t>SCTASK0993385</t>
  </si>
  <si>
    <t>OB_EDIE_AK_ADT</t>
  </si>
  <si>
    <t>OB_C6_Epic729330_AK_ORU</t>
  </si>
  <si>
    <t>IB_CPAK_Epic729330_AK_ORU</t>
  </si>
  <si>
    <t>OB_Epic729287_AK_ADT</t>
  </si>
  <si>
    <t>OB_C6_Epic729100_AK_MDM</t>
  </si>
  <si>
    <t>IB_CPAK_Epic729100_AK_MDM</t>
  </si>
  <si>
    <t>IB_CentricityEMR_AK_AWC_ORM</t>
  </si>
  <si>
    <t>OB_CentricityEMR_AK_AWC_MDM_ORU</t>
  </si>
  <si>
    <t>IB_Epic729322_AK_QBP</t>
  </si>
  <si>
    <t>OB_Epic729323_AK_RSP</t>
  </si>
  <si>
    <t>IB_Epic729306_AK_ORU</t>
  </si>
  <si>
    <t>OB_C6_Epic729306_AK_ORU</t>
  </si>
  <si>
    <t>IB_CPAK_Epic729306_AK_ORU</t>
  </si>
  <si>
    <t>OB_Allscripts_AK_LTP_ORU-RAD</t>
  </si>
  <si>
    <t>OB_Allscripts_AK_LTP_MDM</t>
  </si>
  <si>
    <t>OB_C6_Epic729500_AK_SIU</t>
  </si>
  <si>
    <t>IB_CPAK_Epic729500_AK_SIU</t>
  </si>
  <si>
    <t>AK Bridges AIP 52000 DICOM</t>
  </si>
  <si>
    <t>OB_Epic729341_AK_ORU</t>
  </si>
  <si>
    <t>OB_Iodine_AK_ADT</t>
  </si>
  <si>
    <t>OB_Iodine_AK_MDM</t>
  </si>
  <si>
    <t>OB_Iodine_AK_ORM</t>
  </si>
  <si>
    <t>OB_Iodine_AK_ORU</t>
  </si>
  <si>
    <t>OB_Epic729289_AK_ADT</t>
  </si>
  <si>
    <t>OB_Iodine_AK_RDE</t>
  </si>
  <si>
    <t>OB_HospitalOvercrowding_AK_AKCC_ADT_ORM</t>
  </si>
  <si>
    <t>OB_Epic729725_AK_X12-278</t>
  </si>
  <si>
    <t>481-84899</t>
  </si>
  <si>
    <t>IB_iSirona_AKCC_ORU</t>
  </si>
  <si>
    <t>IB_CentricityEMR_AK_AHI_ORM</t>
  </si>
  <si>
    <t>OB_Epic729371_AK_ORM</t>
  </si>
  <si>
    <t>OB_CPAK_Outreach_AK_ADT</t>
  </si>
  <si>
    <t>IB_C6_Outreach_AK_ADT</t>
  </si>
  <si>
    <t>OB_Epic729703_AK_ADT</t>
  </si>
  <si>
    <t>IB_Allscripts_AK_LTP_ORM</t>
  </si>
  <si>
    <t>IB_HealthShareIE_AK_AKCC_ORM-RAD</t>
  </si>
  <si>
    <t>OB_Epic729039_AK_AKCC_ORM-RAD</t>
  </si>
  <si>
    <t>IB_Thriveworks_AK_REF</t>
  </si>
  <si>
    <t>POL110067_IS</t>
  </si>
  <si>
    <t>OB_Thriveworks_AK_REF</t>
  </si>
  <si>
    <t>OB_SPM_AKCC_ACP_SIU</t>
  </si>
  <si>
    <t>OB_Epic729041_AK_ORM</t>
  </si>
  <si>
    <t>IB_C6_Epic729371_AK_ORM</t>
  </si>
  <si>
    <t>OB_CPAK_Epic729371_AK_ORM</t>
  </si>
  <si>
    <t>IB_CharlieHealth_AK_REF</t>
  </si>
  <si>
    <t>OB_CharlieHealth_AK_REF</t>
  </si>
  <si>
    <t>IB_BabySteps_AK_PAMC_MDM</t>
  </si>
  <si>
    <t>Reserved for OpenLink Transition Interfaces</t>
  </si>
  <si>
    <t>OB_Allscripts_AK_LTP_ORU</t>
  </si>
  <si>
    <t>OB_ARIA_AK_ADT</t>
  </si>
  <si>
    <t>OB_PowerScribeCriticalResults_AK_MFN</t>
  </si>
  <si>
    <t>OB_ChangeHealthcare-CARD_AK_ADT</t>
  </si>
  <si>
    <t>OB_ChangeHealthcare-CARD_AK_ORM</t>
  </si>
  <si>
    <t>IB_NuanceCDE_AK_PAMC_ADT</t>
  </si>
  <si>
    <t>IB_ARIA_AK_DFT</t>
  </si>
  <si>
    <t>IB_Epic729312_AK_ORM</t>
  </si>
  <si>
    <t>IB_LabCorp_AK_ORU-REFLAB</t>
  </si>
  <si>
    <t>OB_Epic729403_AK_ORU</t>
  </si>
  <si>
    <t>IB_Epic729414_AK_ORM</t>
  </si>
  <si>
    <t>OB_NuanceCDE_AK_PAMC_MDM_ORU</t>
  </si>
  <si>
    <t>IB_LabCorp_AKCC_ANC_ORU</t>
  </si>
  <si>
    <t>OB_Epic729375_AK_ORU</t>
  </si>
  <si>
    <t>IB_Greenway_AK_APG_ORM</t>
  </si>
  <si>
    <t>762020-0000</t>
  </si>
  <si>
    <t>OB_Greenway_AK_APG_MDM_ORU</t>
  </si>
  <si>
    <t>OB_C6_Epic729402_AK_ORM</t>
  </si>
  <si>
    <t>IB_C5_Epic729402_AK_ORM</t>
  </si>
  <si>
    <t>OB_ChangeHealthcare-CARD_AKCC_CPH_ADT</t>
  </si>
  <si>
    <t>OB_ChangeHealthcare-CARD_AKCC_CPH_ORM</t>
  </si>
  <si>
    <t>IB_ChangeHealthcare-CARD_AKCC_CPH_ORU</t>
  </si>
  <si>
    <t>IB_ChangeHealthcare-CARD_AKCC_CPH_DFT</t>
  </si>
  <si>
    <t>OB_Epic729377_AK_ORM</t>
  </si>
  <si>
    <t>IB_Ambra_AK_ORM</t>
  </si>
  <si>
    <t>224951925801</t>
  </si>
  <si>
    <t>OB_Viewpoint_AK_ADT_ORM</t>
  </si>
  <si>
    <t>OB_HealthShareIE_AK_AKCC_DFT</t>
  </si>
  <si>
    <t>IB_Viewpoint_AK_ORU</t>
  </si>
  <si>
    <t>OB_DatixWeb_AKCC_SPHH_ADT</t>
  </si>
  <si>
    <t>OB_IRIS_AK_ORM</t>
  </si>
  <si>
    <t>IB_IRIS_AK_ORU</t>
  </si>
  <si>
    <t>IB_IRIS_AK_DFT</t>
  </si>
  <si>
    <t>OB_AcuoVNA_AK_AKCC_ADT</t>
  </si>
  <si>
    <t>OB_AcuoVNA_AK_AKCC_ORM</t>
  </si>
  <si>
    <t>IB_Epic729280_AK_X12-270</t>
  </si>
  <si>
    <t>OB_Epic729281_AK_X12-271</t>
  </si>
  <si>
    <t>IB_DataCaptor_AK_PAMC_ORU</t>
  </si>
  <si>
    <t>OB_iQueue_AK_PAMC_ADT</t>
  </si>
  <si>
    <t>OB_PowerScribeOne_AKCC_CPH_ADT</t>
  </si>
  <si>
    <t>OB_PowerScribeOne_AKCC_CPH_ORM</t>
  </si>
  <si>
    <t>IB_GE-DMS_AK_ORU</t>
  </si>
  <si>
    <t>IB_MagView_AK_ORM_ORU</t>
  </si>
  <si>
    <t>IB_Mayo_AKCC_CPH_ORU</t>
  </si>
  <si>
    <t>IB_Epic729502_AK_SIU</t>
  </si>
  <si>
    <t>IB_Epic729700_AK_ADT</t>
  </si>
  <si>
    <t>IB_Epic729772_AK_DFT</t>
  </si>
  <si>
    <t>OB_NuanceCDE_AK_PAMC_RAS_RDE</t>
  </si>
  <si>
    <t>IB_Epic400_AK_ORM</t>
  </si>
  <si>
    <t>IB_Epic729310_AK_ORM_ORU</t>
  </si>
  <si>
    <t>IB_Epic729402_AK_ORM</t>
  </si>
  <si>
    <t>IB_Epic729430_AK_ORM</t>
  </si>
  <si>
    <t>IB_Epic729602_AK_RDE</t>
  </si>
  <si>
    <t>IB_Epic729604_AK_RDE</t>
  </si>
  <si>
    <t>IB_Epic729000_AK_MFN</t>
  </si>
  <si>
    <t>IB_Epic729100_AK_MDM</t>
  </si>
  <si>
    <t>IB_Epic729320_AK_ORM_ORU</t>
  </si>
  <si>
    <t>IB_Epic729344_AK_ORU</t>
  </si>
  <si>
    <t>IB_Epic729308_AK_ORU</t>
  </si>
  <si>
    <t>OB_360Encompass_AK_ORU-GI</t>
  </si>
  <si>
    <t>OB_360Encompass_AK_ORU-CARD</t>
  </si>
  <si>
    <t>OB_360Encompass_AK_ORU-LAB</t>
  </si>
  <si>
    <t>IB_ProVation_AK_ORU</t>
  </si>
  <si>
    <t>IB_DeviceConX_AK_AKCC_ORU_Legacy-5-16</t>
  </si>
  <si>
    <t>Rename from IB_DeviceConX_AK_AKCC_ORU</t>
  </si>
  <si>
    <t>OB_Vigilance_AK_ADT</t>
  </si>
  <si>
    <t>OB_Vigilance_AK_ORU</t>
  </si>
  <si>
    <t>IB_Vigilance_AK_ORU</t>
  </si>
  <si>
    <t>IB_Telcor_AK_ORU</t>
  </si>
  <si>
    <t>See WAMT tab. In use by cnx IB_C4_Epic772000_ORCA_MFN</t>
  </si>
  <si>
    <t>OB_PyxisSupply_AKCC_CPH_ADT</t>
  </si>
  <si>
    <t>IB_PyxisSupply_AKCC_CPH_DFT</t>
  </si>
  <si>
    <t>IB_PyxisMedstation_AK_DFT_ZPM</t>
  </si>
  <si>
    <t>OB_PyxisMedstation_AK_ADT_RDE</t>
  </si>
  <si>
    <t>OB_PyxisMedstation_AK_MFN</t>
  </si>
  <si>
    <t>IB_Epic729610_AK_MFN</t>
  </si>
  <si>
    <t>OB_360Encompass_AK_ORU-RAD</t>
  </si>
  <si>
    <t>OB_Experian_AK_X12-270</t>
  </si>
  <si>
    <t>IB_Experian_AK_X12-271</t>
  </si>
  <si>
    <t>OB_Epic772751_AK_DFT</t>
  </si>
  <si>
    <t>IB_Vision_AK_MDM</t>
  </si>
  <si>
    <t>OB_PenRad_AKCC_CPH_ADT_ORM</t>
  </si>
  <si>
    <t>IB_PenRad_AKCC_CPH_ORU</t>
  </si>
  <si>
    <t>OB_Ambra_AK_ADT_ORU</t>
  </si>
  <si>
    <t>OB_QS_AK_ADT</t>
  </si>
  <si>
    <t>IB_CommandHealth_AK_CC_CPH_MDM</t>
  </si>
  <si>
    <t>OB_CommandHealth_AK_CC_CPH_ADT</t>
  </si>
  <si>
    <t>IB_OBIX-ASI_AKCC_CPH_ORU</t>
  </si>
  <si>
    <t>IB_eScription_AK_MDM_Legacy</t>
  </si>
  <si>
    <t>OB_Artera_AKCC_SCHC_ADT_SIU</t>
  </si>
  <si>
    <t>IB_Artera_AKCC_SCHC_SIU</t>
  </si>
  <si>
    <t>OB_HealthShareIE_AK_AKCC_MDM</t>
  </si>
  <si>
    <t>120-84809</t>
  </si>
  <si>
    <t>OB_HealthShareIE_AK_AKCC_ORU-LAB</t>
  </si>
  <si>
    <t>OB_HealthShareIE_AK_AKCC_ORU</t>
  </si>
  <si>
    <t>IB_ARUP_AK_ORU</t>
  </si>
  <si>
    <t>OB_Epic729317_AK_ORU</t>
  </si>
  <si>
    <t>IB_Epic729316_AK_ORM</t>
  </si>
  <si>
    <t>Reserved for Covid</t>
  </si>
  <si>
    <t>Conn name awaited from Aaron</t>
  </si>
  <si>
    <t>OB_eCareManager_PHS_RDE</t>
  </si>
  <si>
    <t>OB_eCareManager_PHS_ADT</t>
  </si>
  <si>
    <t>OB_eCareManager_PHS_ORU-FLOW</t>
  </si>
  <si>
    <t>OB_eCareManager_PHS_ORU-LAB</t>
  </si>
  <si>
    <t>OB_Lumedic_AK_X12-270_X12-271</t>
  </si>
  <si>
    <t>IB_Lumedic_AK_X12-271</t>
  </si>
  <si>
    <t>OB_Vocera_AK_ADT</t>
  </si>
  <si>
    <t>POL101896_IS</t>
  </si>
  <si>
    <t>OB_Vocera_AK_ORM</t>
  </si>
  <si>
    <t>OB_Telergy_AK_ADT</t>
  </si>
  <si>
    <t>OB_ARIA_AK_SIU</t>
  </si>
  <si>
    <t>POL101859_IS</t>
  </si>
  <si>
    <t>IB_ARIA_AK_ORU</t>
  </si>
  <si>
    <t>OB_Epic729355_AK_ORU</t>
  </si>
  <si>
    <t xml:space="preserve">IB_ARIA_AK_SIU </t>
  </si>
  <si>
    <t>OB_Epic729505_AK_SIU</t>
  </si>
  <si>
    <t>IB_Vincari_AK_MDM</t>
  </si>
  <si>
    <t>OB_Vincari _AK_ADT</t>
  </si>
  <si>
    <t>OB_Vincari _AK_SIU</t>
  </si>
  <si>
    <t>OB_Epic729303_AK_ORM_ORU</t>
  </si>
  <si>
    <t>OB_Epic729305_AK_ORU</t>
  </si>
  <si>
    <t>IB_Epic729614_AK_RAS</t>
  </si>
  <si>
    <t>OB_Dentrix_AKCC_ANHC_ADT</t>
  </si>
  <si>
    <t>IB_Epic729314_AK_ORM_ORU</t>
  </si>
  <si>
    <t>OB_Epic729101_AK_MDM_ORF</t>
  </si>
  <si>
    <t>OB_Epic729105_AK_MDM</t>
  </si>
  <si>
    <t>OB_Epic729307_AK_ORU</t>
  </si>
  <si>
    <t>IB_Dentrix_AKCC_ANHC_DFT</t>
  </si>
  <si>
    <t>OB_ProVation_AK_ADT_ORM</t>
  </si>
  <si>
    <t>IB_Medline_AK_DFT</t>
  </si>
  <si>
    <t>IB_Epic729318_AK_ORM_ORU</t>
  </si>
  <si>
    <t>OB_Epic729611_AK_DFT_ZPM</t>
  </si>
  <si>
    <t>OB_ARIA_AK_MDM</t>
  </si>
  <si>
    <t>IB_ARIA_AK_MDM</t>
  </si>
  <si>
    <t>IB_Lumedic_AK_QBP_WS-REST</t>
  </si>
  <si>
    <t>OB_Lumedic_AK_RSP_WS-REST</t>
  </si>
  <si>
    <t>OB_Epic729027_AK_ORU</t>
  </si>
  <si>
    <t>IB_Xealth_AK_ORU</t>
  </si>
  <si>
    <t>OB_GE-DMS_AK_ADT</t>
  </si>
  <si>
    <t>OB_GE-DMS_AK_ORM</t>
  </si>
  <si>
    <t>OB_MagView_AK_ADT</t>
  </si>
  <si>
    <t>OB_MagView_AK_ORM_ORU</t>
  </si>
  <si>
    <t>OB_CentricityEMR_AK_AHI_MDM_ORU</t>
  </si>
  <si>
    <t>OB_Synapse_AK_AKCC_ADT_ORM</t>
  </si>
  <si>
    <t>OB_Synapse_AK_AKCC_ORU</t>
  </si>
  <si>
    <t>OB_C6_Epic729314_AK_ORU</t>
  </si>
  <si>
    <t>OB_Epic729333_AK_ORU</t>
  </si>
  <si>
    <t>OB_DRPACS_AKCC_CPH_ADT</t>
  </si>
  <si>
    <t>IB_DRPACS_AKCC_CPH_ORU</t>
  </si>
  <si>
    <t>OB_Muse_AKCC_CPH_ADT_ORM</t>
  </si>
  <si>
    <t>IB_Muse_AKCC_CPH_ORU</t>
  </si>
  <si>
    <t>IB_OBIX-ASI_AK_PVMC_ORU</t>
  </si>
  <si>
    <t>IB_OBIX_AKCC_CPH_ORU</t>
  </si>
  <si>
    <t>OB_ProVation_AKCC_CPH_ADT_ORM_SIU</t>
  </si>
  <si>
    <t>IB_ProVation_AKCC_CPH_ORU</t>
  </si>
  <si>
    <t>OB_Radimetrics_AKCC_CPH_ADT</t>
  </si>
  <si>
    <t>OB_SkagitRadiology_AKCC_ADT_ORM_ORU</t>
  </si>
  <si>
    <t>OB_Spacelabs_AKCC_CPH_ADT</t>
  </si>
  <si>
    <t>IB_OBIX-ASI_AK_PKMC_ORU</t>
  </si>
  <si>
    <t>IB_OBIX_AK_PVMC_ORU</t>
  </si>
  <si>
    <t>IB_OBIX_AK_PAMC_ORU</t>
  </si>
  <si>
    <t>IB_OBIX-ASI_AK_PAMC_ORU</t>
  </si>
  <si>
    <t>IB_Epic729340_AK_ORU</t>
  </si>
  <si>
    <t>OB_Epic729807_AK_MFN</t>
  </si>
  <si>
    <t>OB_Pyxis_AKCC_CPH_ADT_RDE</t>
  </si>
  <si>
    <t>IB_Pyxis_AKCC_CPH_DFT_ZPM</t>
  </si>
  <si>
    <t>OB_Epic729315_AK_ORU</t>
  </si>
  <si>
    <t>IB_Telcor_AKCC_CPH_ORU</t>
  </si>
  <si>
    <t>OB_Telcor_AKCC_CPH_ADT</t>
  </si>
  <si>
    <t>OB_DRPACS_AKCC_CPH_ORM</t>
  </si>
  <si>
    <t>OB_DRPACS_AKCC_CPH_ORU</t>
  </si>
  <si>
    <t>IB_Epic729012_AK_ORM</t>
  </si>
  <si>
    <t>IB_Alaris_AK_ORU</t>
  </si>
  <si>
    <t>OB_Epic729389_AK_ORU</t>
  </si>
  <si>
    <t>IB_Alaris_AK_RRG</t>
  </si>
  <si>
    <t>OB_Epic729391_AK_RRG</t>
  </si>
  <si>
    <t>IB_Epic729390_AK_RGV</t>
  </si>
  <si>
    <t>OB_Alaris_AK_RGV</t>
  </si>
  <si>
    <t>OB_360Encompass_AK_ADT</t>
  </si>
  <si>
    <t>IB_DIG_AK_ADT</t>
  </si>
  <si>
    <t>Aaron Dayton - Connection name TBD</t>
  </si>
  <si>
    <t>PRJ0336627</t>
  </si>
  <si>
    <t>OB_DIG_AK_SIU</t>
  </si>
  <si>
    <t>OB_360Encompass_AK_MDM</t>
  </si>
  <si>
    <t>OB_Epic729389_AK_ORU_Training</t>
  </si>
  <si>
    <t>This connection is no longer in use and ports can be released when the interface is sunsetted</t>
  </si>
  <si>
    <t>OB_Mindray_AKCC_CPH_ADT</t>
  </si>
  <si>
    <t>IB_Alaris_AK_ORU_Training</t>
  </si>
  <si>
    <t>Connection exists only in Test</t>
  </si>
  <si>
    <t>OB_Epic729391_AK_RRG_Training</t>
  </si>
  <si>
    <t>OB_BreezeConnect_AKCC_CPH_ORM</t>
  </si>
  <si>
    <t>IB_Alaris_AK_RRG_Training</t>
  </si>
  <si>
    <t>IB_Epic729390_AK_RGV_Training</t>
  </si>
  <si>
    <t>OB_Alaris_AK_RGV_Training</t>
  </si>
  <si>
    <t>IB_Epic729346_AK_ORU</t>
  </si>
  <si>
    <t>OB_Epic729347_AK_ORU</t>
  </si>
  <si>
    <t>IB_DeviceConX_AK_AKCC_ORU-1</t>
  </si>
  <si>
    <t>IB_DeviceConX_AK_AKCC_ORU_Legacy_5-14</t>
  </si>
  <si>
    <t>Rename from IB_DeviceConX_AK_AKCC_ORU_Legacy</t>
  </si>
  <si>
    <t>111981926285</t>
  </si>
  <si>
    <t>OB_HospitalOvercrowding_AK_AKCC_ORU</t>
  </si>
  <si>
    <t>2/19/2025 - Currently set to simulate. Okay to remove after migrated to Azure</t>
  </si>
  <si>
    <t>OB_CAIR_CA_ORU</t>
  </si>
  <si>
    <t>OB_Telcor_AK_ADT</t>
  </si>
  <si>
    <t>OB_Telcor_AK_PSESH_ADT</t>
  </si>
  <si>
    <t>OB_Epic729801_AK_MFN</t>
  </si>
  <si>
    <t xml:space="preserve">OB_ELLKAY-DAX_AK_SIU	</t>
  </si>
  <si>
    <t>POL104748</t>
  </si>
  <si>
    <t>OB_Kyruus_AK_SIU</t>
  </si>
  <si>
    <t>POL103815_IS</t>
  </si>
  <si>
    <t>OB_PostAcuteAnalytics_AK_ADT</t>
  </si>
  <si>
    <t>IB_Epic729710_AK_ADT</t>
  </si>
  <si>
    <t>OB_HospitalOvercrowding_AK_AKCC_SIU</t>
  </si>
  <si>
    <t>OB_HospitalOvercrowding_AK_AKCC_MDM</t>
  </si>
  <si>
    <t>OB_Transfusion_AK_AKCC_ADT_ORM</t>
  </si>
  <si>
    <t>IB_Transfusion_AK_AKCC_ORU</t>
  </si>
  <si>
    <t>IB_Transfusion_AK_AKCC_DFT</t>
  </si>
  <si>
    <t>OB_ImagingAssociates_AK_AKCC_ORM</t>
  </si>
  <si>
    <t>OB_ImagingAssociates_AK_AKCC_ORU</t>
  </si>
  <si>
    <t>OB_ImagingAssociates_AK_AKCC_ADT</t>
  </si>
  <si>
    <t>IB_ImagingAssociates_AK_AKCC_ORU</t>
  </si>
  <si>
    <t>OB_Epic30872901501_AK_X12-277</t>
  </si>
  <si>
    <t>OB_Epic30872901503_AK_X12-277</t>
  </si>
  <si>
    <t>CP AK</t>
  </si>
  <si>
    <t>IB_OBIX_AKCC_SPHH_ORU</t>
  </si>
  <si>
    <t>IB_OBIX-ASI_AKCC_SPHH_ORU</t>
  </si>
  <si>
    <t>OB_Riskonnect_AKCC_CPH_ADT</t>
  </si>
  <si>
    <t>POL104555_IS</t>
  </si>
  <si>
    <t>OB_HospitalOvercrowding_AK_AKCC_RDE</t>
  </si>
  <si>
    <t>IB_Epic729200_AK_PPR</t>
  </si>
  <si>
    <t>OB_HospitalOvercrowding_AK_AKCC_PPR</t>
  </si>
  <si>
    <t>IB_NGSReporter_AK_ORU</t>
  </si>
  <si>
    <t>OB_Epic729397_AK_ORU</t>
  </si>
  <si>
    <t>IB_Artera_AKCC_ANHC_SIU</t>
  </si>
  <si>
    <t>IB_Epic729998_AK_ORM_ORU</t>
  </si>
  <si>
    <t>OB_Artera_AKCC_ANHC_ADT_SIU</t>
  </si>
  <si>
    <t>IB_PyxisMedstation_AKCC_CPH_DFT_ZPM</t>
  </si>
  <si>
    <t>OB_PyxisMedstation_AKCC_CPH_ADT_RDE</t>
  </si>
  <si>
    <t>OB_PyxisMedstation_AKCC_CPH_MFN</t>
  </si>
  <si>
    <t>IB_SkagitRadiology_AKCC_ORU</t>
  </si>
  <si>
    <t>OB_PowerScribeOne_AK_ADT_ORM_ORU</t>
  </si>
  <si>
    <t>IB_PowerScribeOne_AK_ORU</t>
  </si>
  <si>
    <t>IB_BreezeConnect_AKCC_CPH_ORU</t>
  </si>
  <si>
    <t>OB_SoundConnect_AK_AKCC_ADT</t>
  </si>
  <si>
    <t>IB_Epic729202_AK_ORM</t>
  </si>
  <si>
    <t>OB_Lifepoint_AKCC_ORM</t>
  </si>
  <si>
    <t>IB_Lifepoint_AKCC_ORU</t>
  </si>
  <si>
    <t>OB_IntelliBridge_AK_PAMC_ADT</t>
  </si>
  <si>
    <t>OB_iQueue_AK_PAMC_SIU</t>
  </si>
  <si>
    <t>OB_Epic729501_AK_SIU</t>
  </si>
  <si>
    <t>OB_HRP_AK_ADT</t>
  </si>
  <si>
    <t>IB_Epic729504_AK_SIU</t>
  </si>
  <si>
    <t>OB_PyxisMedstation_AKCC_ANHC_ADT</t>
  </si>
  <si>
    <t>OB_ImagingAssociates_AK_ORU</t>
  </si>
  <si>
    <t>OB_NeuroWorkbench_AK_PAMC_ORM</t>
  </si>
  <si>
    <t>OB_Vocera_AK_PSESH_ADT</t>
  </si>
  <si>
    <t>IB_Epic729998_AK_ORM_ORU_WS-REST</t>
  </si>
  <si>
    <t>OB_PatientSafetyNet_AK_ADT</t>
  </si>
  <si>
    <t>OB_Experian_AK_X12-270-RTCD</t>
  </si>
  <si>
    <t>IB_Experian_AK_X12-271-RTCD</t>
  </si>
  <si>
    <t>IB_Epic729274_AK_X12-270</t>
  </si>
  <si>
    <t>OB_Epic729275_AK_X12-271</t>
  </si>
  <si>
    <t>IB_HealthShareIE_AK_AKCC_ADT</t>
  </si>
  <si>
    <t>IB_HealthShareIE_AK_AKCC_ORM</t>
  </si>
  <si>
    <t>OB_Epic729379_AK_ORM</t>
  </si>
  <si>
    <t>IB_CadenceRPM_AK_DFT</t>
  </si>
  <si>
    <t>IB_CadenceRPM_AK_MDM-PDF</t>
  </si>
  <si>
    <t>IB_CadenceRPM_AK_MDM</t>
  </si>
  <si>
    <t>OB_CadenceRPM_AK_ORM</t>
  </si>
  <si>
    <t>OB_HealthShareIE_AK_AKCC_ADT</t>
  </si>
  <si>
    <t>OB_BabySteps_AK_PAMC_MDM</t>
  </si>
  <si>
    <t>IB_VersaCare_AK_PAMC_MDM</t>
  </si>
  <si>
    <t>OB_Dragonfly_AK_ORM</t>
  </si>
  <si>
    <t>OB_VersaCare_AK_PAMC_ADT</t>
  </si>
  <si>
    <t>IB_VaultStream_AKCC_CPH_ORU</t>
  </si>
  <si>
    <t>OB_VaultStream_AKCC_CPH_ORM</t>
  </si>
  <si>
    <t>IB_GE-CCW_AK_PAMC_ORU</t>
  </si>
  <si>
    <t>OB_GE-CCW_AK_PAMC_ADT</t>
  </si>
  <si>
    <t>OB_GE-CCW_AK_PAMC_ORM</t>
  </si>
  <si>
    <t>OB_FollowUpManager_AK_AKCC_ADT</t>
  </si>
  <si>
    <t>OB_FollowUpManager_AK_AKCC_ORM_ORU</t>
  </si>
  <si>
    <t>OB_FollowUpManager_AK_AKCC_MFN</t>
  </si>
  <si>
    <t>OB_mPower_AK_AKCC_ORU</t>
  </si>
  <si>
    <t>IB_DeviceConX_AK_AKCC_ORU-2</t>
  </si>
  <si>
    <t>OB_C6_Epic729502_AK_SIU</t>
  </si>
  <si>
    <t>IB_CPAK_Epic729502_AK_SIU</t>
  </si>
  <si>
    <t>OB_Telcor_AKCC_ANHC_ADT</t>
  </si>
  <si>
    <t>IB_Telcor_AKCC_ANHC_ORU</t>
  </si>
  <si>
    <t>OB_360Encompass_AK_ORU-FLOW</t>
  </si>
  <si>
    <t>OB_ONCOLog_AK_ORU</t>
  </si>
  <si>
    <t>IB_CadenceRPM_AK_ORM</t>
  </si>
  <si>
    <t>OB_Quest_AK_AKCC_ANHC_ORM</t>
  </si>
  <si>
    <t>IB_Quest_AK_AKCC_ANHC_ORU</t>
  </si>
  <si>
    <t>IB_Epic729708_AK_ADT</t>
  </si>
  <si>
    <t>OB_iQueue_AK_PAMC_ORU</t>
  </si>
  <si>
    <t>OB_iQueue_AK_PAMC_RAS</t>
  </si>
  <si>
    <t>OB_iQueue_AK_PAMC_RDE</t>
  </si>
  <si>
    <t>IB_PyxisMedstation_AKCC_SPHH_DFT_ZPM</t>
  </si>
  <si>
    <t>OB_PyxisMedstation_AKCC_SPHH_ADT_RDE</t>
  </si>
  <si>
    <t>OB_PyxisMedstation_AKCC_SPHH_MFN</t>
  </si>
  <si>
    <t>OB_InHome_AK_ADT</t>
  </si>
  <si>
    <t>IB_Epic729020_AK_AKCC_ORM</t>
  </si>
  <si>
    <t>OB_Epic729021_AK_AKCC_ORU</t>
  </si>
  <si>
    <t>IB_Epic729348_AK_ORU</t>
  </si>
  <si>
    <t>OB_Dragonfly_AK_ORU-FLOW</t>
  </si>
  <si>
    <t>OB_Dragonfly_AK_ORU</t>
  </si>
  <si>
    <t>OB_Dragonfly_AK_ADT</t>
  </si>
  <si>
    <t>OB_Dragonfly_AK_SIU</t>
  </si>
  <si>
    <t>OB_Dragonfly_AK_RAS</t>
  </si>
  <si>
    <t>OB_Dragonfly_AK_MDM</t>
  </si>
  <si>
    <t>OB_TheraNow_ORCA_MDM</t>
  </si>
  <si>
    <t>IB_Dragonfly_AK_ADT</t>
  </si>
  <si>
    <t>OB_AeHN_AK_AKCC_ADT</t>
  </si>
  <si>
    <t>Temp CPAK Migration Pass-through</t>
  </si>
  <si>
    <t>OB_AeHN_AK_AKCC_MDM_ORU</t>
  </si>
  <si>
    <t>OB_AeHN-DOH_AK_AKCC_ADT</t>
  </si>
  <si>
    <t>OB_AeHN_AK_AKCC_ORU</t>
  </si>
  <si>
    <t>OB_SkagitRadiology_AKCC_ADT</t>
  </si>
  <si>
    <t>IB_R1-OrdersFacilitator_AK_PAMC_MDM_ORU</t>
  </si>
  <si>
    <t>IB_Epic729004_AK_ORM</t>
  </si>
  <si>
    <t>IB_Epic729006_AK_ORM</t>
  </si>
  <si>
    <t>OB_CP4_Epic729004_AK_ORM</t>
  </si>
  <si>
    <t>OB_CP4_Epic729006_AK_ORM</t>
  </si>
  <si>
    <t>IB_CP4_Epic772004_ORCA_ORU</t>
  </si>
  <si>
    <t>IB_CP4_Epic772006_ORCA_ORU</t>
  </si>
  <si>
    <t>OB_Epic729005_AK_ORU</t>
  </si>
  <si>
    <t>OB_Epic729007_AK_ORU</t>
  </si>
  <si>
    <t>IB_NovaNet_AKCC_SPHH_ORU</t>
  </si>
  <si>
    <t>OB_NovaNet_AKCC_SPHH_ADT</t>
  </si>
  <si>
    <t>IB_NeoGenomics_AK_ORU</t>
  </si>
  <si>
    <t>OB_Neogenomics_AK_ORM</t>
  </si>
  <si>
    <t>IB_Epic729010_AK_ORM</t>
  </si>
  <si>
    <t>OB_Epic729011_AK_ORU_WS-REST</t>
  </si>
  <si>
    <t>OB_ChangeHealthcare-RAD_AKCC_SPHH_ADT_ORM_ORU</t>
  </si>
  <si>
    <t>IB_ChangeHealthcare-RAD_AKCC_SPHH_ORM</t>
  </si>
  <si>
    <t>IB_AGFA_AKCC_CPH_ORM</t>
  </si>
  <si>
    <t>OB_AGFA_AKCC_CPH_ADT</t>
  </si>
  <si>
    <t>OB_AGFA_AKCC_CPH_ORM</t>
  </si>
  <si>
    <t>OB_AGFA_AKCC_CPH_ORU</t>
  </si>
  <si>
    <t>IB_PowerScribeOne_AKCC_CPH_ORU</t>
  </si>
  <si>
    <t>IB_Epic729806_AK_OMS</t>
  </si>
  <si>
    <t>CP4</t>
  </si>
  <si>
    <t>OB_RIMA_SCA_PSJMC_ADT_ORM_ORU_Legacy</t>
  </si>
  <si>
    <t>vendor requested 16489 for both test and prod ports</t>
  </si>
  <si>
    <t>IB_InteleSharePACS_AKCC_ANC_ORU</t>
  </si>
  <si>
    <t>OB_InteleSharePACS_AKCC_ANC_ADT_ORM_ORU</t>
  </si>
  <si>
    <t>IB_C4_Epic772700_ORCA_ADT</t>
  </si>
  <si>
    <t>IB_C4_Epic772604_ORCA_RDE</t>
  </si>
  <si>
    <t>IB_C4_Epic772344_ORCA_ORU-FLOW</t>
  </si>
  <si>
    <t>IB_C4_Cerner_OR_ORU</t>
  </si>
  <si>
    <t>IB_Epic729712_AK_ADT</t>
  </si>
  <si>
    <t>IB_C3_Epic771700_WAMT_ADT</t>
  </si>
  <si>
    <t>IB_C3_Epic771604_WAMT_RDE</t>
  </si>
  <si>
    <t>IB_C3_Epic771342_WAMT_ORU-FLOW</t>
  </si>
  <si>
    <t>IB_C3_Epic771320_WAMT_ORU</t>
  </si>
  <si>
    <t>OB_NaviCareNurseCall_AKCC_SPHH_ADT</t>
  </si>
  <si>
    <t>OB_PowerScribeOne_AKCC_SPHH_ADT</t>
  </si>
  <si>
    <t>IB_PowerScribeOne_AKCC_SPHH_ORU</t>
  </si>
  <si>
    <t>OB_PowerScribeOne_AKCC_SPHH_ORM_ORU</t>
  </si>
  <si>
    <t>OB_Unifier_AK_AKCC_ORM</t>
  </si>
  <si>
    <t>OB_CentricityEMR_AK_AHI_ORU</t>
  </si>
  <si>
    <t>OB_WellBeam_AK_ORM</t>
  </si>
  <si>
    <t>IB_WellBeam_AK_ADT_DFT_MDM</t>
  </si>
  <si>
    <t>OB_VaultStream_AK_PAMC_ORM</t>
  </si>
  <si>
    <t>IB_VaultStream_AK_PAMC_ORU</t>
  </si>
  <si>
    <t>IB_CadenceRPM_AK_ORU</t>
  </si>
  <si>
    <t xml:space="preserve"> </t>
  </si>
  <si>
    <t>OB_360Encompass_AK_MDM-LNKS</t>
  </si>
  <si>
    <t>OB_Computrition_AKCC_SESH_ADT_ORM</t>
  </si>
  <si>
    <t>IB_NextGen_AK_OPA_ORM</t>
  </si>
  <si>
    <t>OB_NextGen_AK_OPA_ORU-LAB</t>
  </si>
  <si>
    <t>OB_NextGen_AK_OPA_MDM_ORU</t>
  </si>
  <si>
    <t>OB_CompassRCM_AK_OBHG_MDM_ORU</t>
  </si>
  <si>
    <t>OB_Radia_AKCC_ANC_ADT</t>
  </si>
  <si>
    <t>554951627001</t>
  </si>
  <si>
    <t>OB_Radia_AKCC_ANC_ORM</t>
  </si>
  <si>
    <t>IB_Radia_AKCC_ANC_ORU</t>
  </si>
  <si>
    <t>OB_GE-PACS_AKCC_ANC_ADT_ORM_ORU</t>
  </si>
  <si>
    <t>OB_BambooHealth_AK_ADT</t>
  </si>
  <si>
    <t>OB_Appriss_AK_ADT</t>
  </si>
  <si>
    <t>Per vendor request</t>
  </si>
  <si>
    <t>PRJ0056229</t>
  </si>
  <si>
    <t>IB_AthenaHealth_AK_ORM</t>
  </si>
  <si>
    <t xml:space="preserve">The numbers were designated by the vendor and it was confirmed that they are not currently in use.  </t>
  </si>
  <si>
    <t>OB_AthenaHealth_AK_MDM_ORU</t>
  </si>
  <si>
    <t>OB_AxisPats_AK_ADT</t>
  </si>
  <si>
    <t>OB_DataInnovations_AK_AKCC_ORM</t>
  </si>
  <si>
    <t>OB_LabCorp_AK_ORM-REFLAB</t>
  </si>
  <si>
    <t>OB_LabCorp_AKCC_ANC_ORM</t>
  </si>
  <si>
    <t>OB_LynxePoint_AKCC_CPH_ADT</t>
  </si>
  <si>
    <t>OB_ARUP_AK_ORM</t>
  </si>
  <si>
    <t>Name of an org - "AeHN" is how it is listed on their website (http://www.ak-ehealth.org/). Alaska eHealth Network. Vendor is unable to use any ports within out range.</t>
  </si>
  <si>
    <t>CP3</t>
  </si>
  <si>
    <t>IB_Temporary</t>
  </si>
  <si>
    <t>OB_Temporary</t>
  </si>
  <si>
    <t>OB_DocLinks_SWR_MDM</t>
  </si>
  <si>
    <t>OB_Availity_MT_WA_ADT</t>
  </si>
  <si>
    <t>OB_CipherHealth_WA_ADT</t>
  </si>
  <si>
    <t>OB_MedMined_MT_ORU</t>
  </si>
  <si>
    <t>OB_MedMined_MT_ADT</t>
  </si>
  <si>
    <t>OB_QS1_WWA_ADT</t>
  </si>
  <si>
    <t>non-std port due to vendor req</t>
  </si>
  <si>
    <t>224951721035</t>
  </si>
  <si>
    <t>OB_Atlas_WACC_OMC_ADT</t>
  </si>
  <si>
    <t>OB_TotalTriage_WA_ORM</t>
  </si>
  <si>
    <t>OB_TotalTriage_WA_ADT</t>
  </si>
  <si>
    <t>OB_T-System_PHC_PSHMC_ADT</t>
  </si>
  <si>
    <t xml:space="preserve">Vendor cannot use our port range and request both test an prod be 7421 specifically. </t>
  </si>
  <si>
    <t>OB_EDMDProFee_PHC_HFH_ADT</t>
  </si>
  <si>
    <t>OB_EDMDProFee_NWR_PRMCE_ADT</t>
  </si>
  <si>
    <t>CPWM</t>
  </si>
  <si>
    <t>OB_CapsLink_SWE_RDE</t>
  </si>
  <si>
    <t>OB_R1-Clear_SWE_ADT</t>
  </si>
  <si>
    <t>Vendor request</t>
  </si>
  <si>
    <t>OB_Interpath_ORCC_WMH_ORM</t>
  </si>
  <si>
    <t>Although facility is in Oregon, it is on Epic WAMT instance</t>
  </si>
  <si>
    <t>OB_PolysmithSleepLab_EWA_PSMMC_ADT_ORM</t>
  </si>
  <si>
    <t>OB_MedMined_SWR_ADT_ORU</t>
  </si>
  <si>
    <t>OB_Medline_WA_ADT</t>
  </si>
  <si>
    <t>OB_Radia_WACC_OMC_ORM</t>
  </si>
  <si>
    <t>OB_Radia_WACC_JHH_ORM</t>
  </si>
  <si>
    <t>OB_gGastro_MTCC_WMC_ORU</t>
  </si>
  <si>
    <t>POL101918_IS</t>
  </si>
  <si>
    <t>OB_eScription_MT_ORCC_SWE_WA_ADT_Legacy</t>
  </si>
  <si>
    <t>OB_eScription_MT_WA_ORM_ORU_Legacy</t>
  </si>
  <si>
    <t>OB_Viasys_MT_MSP_ADT</t>
  </si>
  <si>
    <t>OB_QS1_SWE_ADT</t>
  </si>
  <si>
    <t>21077102</t>
  </si>
  <si>
    <t>OB_Mayo_MTCC_WMC_ORM</t>
  </si>
  <si>
    <t>Mayo is requesting the use of port 9656. That port is the key component for orders going into the correct master account/environment. Both test and Prod. IP different on Mayo side for test and prod.</t>
  </si>
  <si>
    <t>OB_R1-Clear_MT_WA_ADT</t>
  </si>
  <si>
    <t>OB_QS1_EWA_ADT</t>
  </si>
  <si>
    <t>OB_Onbase_PHS_ADT_MFN_ORM_ORU</t>
  </si>
  <si>
    <t xml:space="preserve">This port is in use on CP4 for another connection, no conflict.  This port was assigned to Onbase long ago. 6/24/2014 Rgetz. </t>
  </si>
  <si>
    <t>OB_Aledade_WACC_NOHN_SIU</t>
  </si>
  <si>
    <t>49584938</t>
  </si>
  <si>
    <t>OB_Vision_WAMT_ADT_ORM</t>
  </si>
  <si>
    <t>OB_Mayo_MTCC_DLMC_ORM</t>
  </si>
  <si>
    <t>OB_NuanceCDE_MT_WA_ADT</t>
  </si>
  <si>
    <t>114952029844</t>
  </si>
  <si>
    <t>OB_NuanceCDE_MT_WA_ORU_RDE</t>
  </si>
  <si>
    <t>OB_NuanceCDE_MT_WA_MFN</t>
  </si>
  <si>
    <t>OB_CentricityEMR_PHC_NHC_ORU</t>
  </si>
  <si>
    <t>OB_CentricityEMR_PHC_NHC_MDM</t>
  </si>
  <si>
    <t>OB_DAX_WA_ADT_SIU</t>
  </si>
  <si>
    <t>49584148</t>
  </si>
  <si>
    <t>OB_Appriss_ORCC_ADT</t>
  </si>
  <si>
    <t>Vendor requests same IP for Test, Staging, and Prod</t>
  </si>
  <si>
    <t>Temp_OB_Pyxis_WA_SG2_ADT_RDE</t>
  </si>
  <si>
    <t>OB_eClinicalWorks_SWE_EFC_ORU</t>
  </si>
  <si>
    <t>OB_eScription_MTCC_WMC_ADT</t>
  </si>
  <si>
    <t>Production port requested by the vendor. John Hanson</t>
  </si>
  <si>
    <t>Ports used: Test - 11827, Prod - 11830</t>
  </si>
  <si>
    <t>OB_Incyte_EWA_WAMT_ORM</t>
  </si>
  <si>
    <t>POL103461_IS</t>
  </si>
  <si>
    <t>OB_Bardy_SWE_ADT_ORM</t>
  </si>
  <si>
    <t>vendor requires a custom port</t>
  </si>
  <si>
    <t>OB_C4_OnBase_PHS_MDM_ORU</t>
  </si>
  <si>
    <t>OB_QTel_MT_ADT</t>
  </si>
  <si>
    <t>OB_NurseCall_MT_ADT</t>
  </si>
  <si>
    <t>No Test environment for this.</t>
  </si>
  <si>
    <t>IB_Epic771700_WM_ADT</t>
  </si>
  <si>
    <t>This port is also used in the Azure migration for _CPWM_ and _C3_ temp pass-through connections.</t>
  </si>
  <si>
    <t>OB_IntelliDesk_EWA_PSMMC_ADT</t>
  </si>
  <si>
    <t>OB_SoundConnect_PHC_ADT</t>
  </si>
  <si>
    <t>Owned by Sound Physicians</t>
  </si>
  <si>
    <t>IB_Epic771300_WM_ORU</t>
  </si>
  <si>
    <t>OB_Epic771313_WAMT_ORU</t>
  </si>
  <si>
    <t>Note: This port is in use on ORCA tab CP4 cnx IB_LabCorp_CA_ORU
This port is also used in the Azure migration for _CPWM_ and _C3_ temp pass-through connections.</t>
  </si>
  <si>
    <t>OB_Epic771751_WAMT_DFT</t>
  </si>
  <si>
    <t>OB_Epic771351_WAMT_ORU_SSU</t>
  </si>
  <si>
    <t>IB_BabySteps_MT_MSP_MDM</t>
  </si>
  <si>
    <t>46074000</t>
  </si>
  <si>
    <t>OB_IntelliSpacePACS_SWE_WACC_ADT_ORM_ORU</t>
  </si>
  <si>
    <t>OB_Epic771301_WAMT_ORM_ORU</t>
  </si>
  <si>
    <t>OB_Epic771305_WAMT_ORU</t>
  </si>
  <si>
    <t>OB_Epic771311_WAMT_ORM_ORU</t>
  </si>
  <si>
    <t>OB_Epic771309_WAMT_ORM_ORU</t>
  </si>
  <si>
    <t>Not in CPWM PROD</t>
  </si>
  <si>
    <t>IB_MedImagingAssoc_IDCC_ORU</t>
  </si>
  <si>
    <t>OB_MedImagingAssoc_IDCC_ADT_ORM_ORU</t>
  </si>
  <si>
    <t>OB_Epic771303_WAMT_ORU</t>
  </si>
  <si>
    <t>OB_Radia_SWE_WACC_WWA_ADT</t>
  </si>
  <si>
    <t>31676800</t>
  </si>
  <si>
    <t>IB_Epic771402_WM_ORM</t>
  </si>
  <si>
    <t>IB_Epic771430_WM_ORM</t>
  </si>
  <si>
    <t>Reserved for Epic Connections</t>
  </si>
  <si>
    <t>OB_Cervello_SWE_ADT</t>
  </si>
  <si>
    <t>Instance Alignment - Existing</t>
  </si>
  <si>
    <t>OB_OBIX_MT_SWE_WA_ADT_ORU</t>
  </si>
  <si>
    <t>IB_Epic400_WM_ORM_ORR</t>
  </si>
  <si>
    <t>OB_Radimetrics_ORCC_GRH_ADT</t>
  </si>
  <si>
    <t>IB_Epic771404_WM_ORM</t>
  </si>
  <si>
    <t>OB_GMED_PHC_SDDC_MDM_ORU</t>
  </si>
  <si>
    <t>OB_Apollo_WWA_PRMCE_ADT</t>
  </si>
  <si>
    <t>OB_PolysmithSleepLab_MT_SPH_ADT_ORM</t>
  </si>
  <si>
    <t>OB_Epic771367_WAMT_ORU</t>
  </si>
  <si>
    <t>OB_Epic771363_WAMT_ORU</t>
  </si>
  <si>
    <t>IB_Epic771360_WAMT_ORU</t>
  </si>
  <si>
    <t>IB_Epic757320_KRMC_QBP</t>
  </si>
  <si>
    <t>OB_360Encompass_MT_SWE_WA_MFN</t>
  </si>
  <si>
    <t>OB_OnBase_ORCA_ADT_MDM-2</t>
  </si>
  <si>
    <t>KTLO</t>
  </si>
  <si>
    <t>OB_Muse_SWE_WA_WACC_ADT_ORM</t>
  </si>
  <si>
    <t>OB_Epic771611_WAMT_DFT_ZPM</t>
  </si>
  <si>
    <t>IB_OBIX_NWR_PRMCE_ORU</t>
  </si>
  <si>
    <t>224951722516</t>
  </si>
  <si>
    <t>OB_RealRadiology_WACC_PMHC_ORM</t>
  </si>
  <si>
    <t>Being replaced by IA connections on CP3</t>
  </si>
  <si>
    <t>IB_RealRadiology_WACC_PMHC_ORU</t>
  </si>
  <si>
    <t>IB_Epic771322_WM_VXU</t>
  </si>
  <si>
    <t>OB_Mosaiq_WWA_PRMCE_ADT</t>
  </si>
  <si>
    <t>IB_C6_Epic757700_KRMC_ADT</t>
  </si>
  <si>
    <t>OB_C3_Epic757700_KRMC_ADT</t>
  </si>
  <si>
    <t>IB_OBIX_MTCC_CHA_ORU</t>
  </si>
  <si>
    <t>PRJ0181489</t>
  </si>
  <si>
    <t>IB_RALS_SWE_ORU</t>
  </si>
  <si>
    <t>OB_RALS_SWE_ADT</t>
  </si>
  <si>
    <t>IB_Epic771704_WM_ADT</t>
  </si>
  <si>
    <t>OB_ProVation_WA_ADT_MFN_ORM</t>
  </si>
  <si>
    <t>Updated Test port from 11160 to 11048 to match pord port value 15048. Requesed by Lorna Norby 10/17/2014. Rgetz.</t>
  </si>
  <si>
    <t>OB_BloodworksNW_SWE_FH_ORM</t>
  </si>
  <si>
    <t>Instance Alignment</t>
  </si>
  <si>
    <t>224951823185</t>
  </si>
  <si>
    <t>IB_BloodworksNW_SWE_FH_ORU</t>
  </si>
  <si>
    <t>OB_CIEMonitoring_NWR_PRMCE_ADT</t>
  </si>
  <si>
    <t>Test port on CP3 should be updated to 11051. 10051 is in use on CP4 by a ORCA interface. 6/24/2014 Rgetz.</t>
  </si>
  <si>
    <t>IB_Epic771320_WM_ORU</t>
  </si>
  <si>
    <t>IB_Epic771002_WM_MFN</t>
  </si>
  <si>
    <t>IB_Epic771502_WM_SIU</t>
  </si>
  <si>
    <t>IB_Epic771806_WM_OMS</t>
  </si>
  <si>
    <t>IB_Muse_SWE_WA_WACC_DFT_ORU</t>
  </si>
  <si>
    <t>IB_PowerPath_SER_KRMC_DFT</t>
  </si>
  <si>
    <t>Instance Alignment
Email to Cora, name probably should be EWA_KRMC</t>
  </si>
  <si>
    <t>OB_PowerPath_SER_KRMC_ORM</t>
  </si>
  <si>
    <t>IB_Epic771310_WM_ORM_ORU</t>
  </si>
  <si>
    <t>OB_1Call_EWA_PSMMC_ADT</t>
  </si>
  <si>
    <t xml:space="preserve">224951620513 / PRJ0219815 </t>
  </si>
  <si>
    <t>IB_Mosaiq_WWA_PRMCE_DFT</t>
  </si>
  <si>
    <t>OB_Compulink_SWECC_ICHS_ADT</t>
  </si>
  <si>
    <t>PRJ0050304</t>
  </si>
  <si>
    <t>OB_GE-DMS_NWR_ADT</t>
  </si>
  <si>
    <t>OB_GE-DMS_SWR_PSPH_ADT</t>
  </si>
  <si>
    <t>OB_Epic771033_WAMT_ORU</t>
  </si>
  <si>
    <t>OB_Epic771361_WAMT_ORU</t>
  </si>
  <si>
    <t>OB_Aceso_SWE_ADT_Legacy</t>
  </si>
  <si>
    <t>Being replaced by ports 31443/35443</t>
  </si>
  <si>
    <t>OB_Cerner_SWE_WA_ORM_ORU-REFLAB</t>
  </si>
  <si>
    <t>IB_Cerner_SWE_WA_ORM_ORU-REFLAB</t>
  </si>
  <si>
    <t>IB_Epic771500_WM_SIU</t>
  </si>
  <si>
    <t>IB_Radia_SWE_WACC_WWA_ORU</t>
  </si>
  <si>
    <t>OB_Radia_SWE_WACC_WWA_ORM</t>
  </si>
  <si>
    <t>OB_GE-Carescape_EWA_EASC_ADT</t>
  </si>
  <si>
    <t>IB_CVIS_SWR_DFT</t>
  </si>
  <si>
    <t>OB_Spacelabs_EWA_PSHMC_ADT</t>
  </si>
  <si>
    <t>IB_OnBase_PHS_MDM_ORU</t>
  </si>
  <si>
    <t>Note: This port is in use on ORCA tab CP4 cnx IB_LabCorp_CA_ORM</t>
  </si>
  <si>
    <t>OB_Epic771105_WAMT_MDM</t>
  </si>
  <si>
    <t>Note: This port is in use on ORCA tab CP4 cnx IB_LabCorp_CA_ORM
This port is also used in the Azure migration for _CPWM_ and _C3_ temp pass-through connections.</t>
  </si>
  <si>
    <t>OB_PyxisMedstation_WACC_PMHC_ADT_RDE_Legacy</t>
  </si>
  <si>
    <t>Will be decomissioned after the upgrade.</t>
  </si>
  <si>
    <t>POL102341_IS</t>
  </si>
  <si>
    <t>IB_PyxisMedstation_WACC_PMHC_DFT_ZPM_Legacy</t>
  </si>
  <si>
    <t>IB_C4_SunquestLCM_CA_LCMSP_ORM_ORU</t>
  </si>
  <si>
    <t>IB_C4_SunquestLCM_CA_LCMT_ORM_ORU</t>
  </si>
  <si>
    <t>OB_Pyxis_MT_SPH_RDE</t>
  </si>
  <si>
    <t>OB_SPM_WACC_OMC_SIU</t>
  </si>
  <si>
    <t>OB_Epic771101_WAMT_MDM</t>
  </si>
  <si>
    <t>IB_OBIX_WACC_SHML_ORU</t>
  </si>
  <si>
    <t>PRJ0223927</t>
  </si>
  <si>
    <t>IB_C3_Epic771402_WAMT_ORM</t>
  </si>
  <si>
    <t>49584102</t>
  </si>
  <si>
    <t>OB_C6_Epic771402_WAMT_ORM</t>
  </si>
  <si>
    <t>OB_HealthConnect_MT_WA_SIU</t>
  </si>
  <si>
    <t>48984104-769410</t>
  </si>
  <si>
    <t>IB_Epic771104_WM_MDM</t>
  </si>
  <si>
    <t>OB_Epic771103_WAMT_ZBI</t>
  </si>
  <si>
    <t>IB_OnBase_PHS_ZBI</t>
  </si>
  <si>
    <t>IB_Epic771604_WM_RDE</t>
  </si>
  <si>
    <t>OB_CBORD_ORCC_WMH_ADT_ORM</t>
  </si>
  <si>
    <t>984951412841028</t>
  </si>
  <si>
    <t>OB_Epic771725_WAMT_X12-278</t>
  </si>
  <si>
    <t>IB_iSirona_NWR_SWR_ORU</t>
  </si>
  <si>
    <t>OB_HCLL_ORCC_WA_ADT_ORM</t>
  </si>
  <si>
    <t>OB_PatientSafetyNet_EWA_ADT</t>
  </si>
  <si>
    <t>IB_HCLL_ORCC_WA_ORU</t>
  </si>
  <si>
    <t>OB_PyxisMedstation_WACC_CBH_MFN</t>
  </si>
  <si>
    <t>PRJ0365377</t>
  </si>
  <si>
    <t>IB_HCLL_ORCC_WA_DFT</t>
  </si>
  <si>
    <t>OB_Omnicell_MTCC_SCH_ADT_RDE</t>
  </si>
  <si>
    <t>IB_Omnicell_MTCC_SCH_DFT_ZPM</t>
  </si>
  <si>
    <t>IB_VitalSync_SWR_PSPH_ORU</t>
  </si>
  <si>
    <t>OB_Theradoc_SWE_ADT</t>
  </si>
  <si>
    <t>OB_Theradoc_SWE_RDE</t>
  </si>
  <si>
    <t>OB_Theradoc_SWE_ORU-RAD</t>
  </si>
  <si>
    <t>OB_Theradoc_SWE_ORU-LAB</t>
  </si>
  <si>
    <t>OB_Trace_MT_WA_ADT</t>
  </si>
  <si>
    <t>IB_Epic771356_WM_QBP</t>
  </si>
  <si>
    <t>OB_Epic771357_WAMT_RSP</t>
  </si>
  <si>
    <t>OB_EDIE_MT_SWE_WA_WACC_ADT</t>
  </si>
  <si>
    <t>OB_Epic771705_WAMT_ADT</t>
  </si>
  <si>
    <t>OB_Amalga_MT_WA_ADT</t>
  </si>
  <si>
    <t>IB_Pyxis_MTCC_CHA_DFT_ZPM</t>
  </si>
  <si>
    <t>OB_Pyxis_MTCC_CHA_ADT_RDE</t>
  </si>
  <si>
    <t>OB_Epic771333_WAMT_ORU</t>
  </si>
  <si>
    <t>IB_LynxePoint_IDCC_MT_MTCC_WA_WACC_DFT</t>
  </si>
  <si>
    <t>OB_TeleTracking_NWR_PRMCE_ADT</t>
  </si>
  <si>
    <t>OB_Teletracking_NWR_PRMCE_ORM</t>
  </si>
  <si>
    <t>OB_Orchard_WACC_FH-SC_ADT</t>
  </si>
  <si>
    <t>IB_Epic771416_WM_ORM_ORR</t>
  </si>
  <si>
    <t xml:space="preserve">OB_Orchard_WACC_FH-SC_ORM </t>
  </si>
  <si>
    <t>IB_Orchard_WACC_FH-SC_ORU</t>
  </si>
  <si>
    <t>OB_Epic771343_WAMT_ORU</t>
  </si>
  <si>
    <t>IB_Epic771362_WM_ORU</t>
  </si>
  <si>
    <t>IB_Epic771342_WM_ORU</t>
  </si>
  <si>
    <t>OB_PyxisMedstation_EWA_KRMC_ADT_RDE</t>
  </si>
  <si>
    <t>IB_PyxisMedstation_EWA_KRMC_DFT_ZPM</t>
  </si>
  <si>
    <t>OB_PyxisLogistics_EWA_KRMC_RDE</t>
  </si>
  <si>
    <t>IB_Epic771102_WM_MDM</t>
  </si>
  <si>
    <t xml:space="preserve">OB_TELCOR_WACC_JHH_ADT </t>
  </si>
  <si>
    <t>Epic DOW: CC Jefferson Telcor Interface POC Devices (NWR)
PRJ0190113</t>
  </si>
  <si>
    <t>IB_TELCOR_WACC_JHH_ORU</t>
  </si>
  <si>
    <t>IB_CareFusion_WA_ORM</t>
  </si>
  <si>
    <t>OB_RapidComm_NWR_SWR_ADT</t>
  </si>
  <si>
    <t>IB_RapidComm_NWR_SWR_ORU</t>
  </si>
  <si>
    <t xml:space="preserve">OB_PyxisMedstation_MT_MTCC_ADT_RDE </t>
  </si>
  <si>
    <t>49584152/224951721280</t>
  </si>
  <si>
    <t xml:space="preserve">IB_PyxisMedstation_MT_MTCC_DFT_ZPM </t>
  </si>
  <si>
    <t>IB_BreezeConnect_MT_WA_ORU</t>
  </si>
  <si>
    <t>OB_Computrition_MT_SPH_ADT_ORM</t>
  </si>
  <si>
    <t>PRJ0272683</t>
  </si>
  <si>
    <t>IB_Epic410_WAMT_ORM</t>
  </si>
  <si>
    <t>OB_MRS_NWR_ADT_ORM</t>
  </si>
  <si>
    <t>IB_MRS_NWR_PRMCE_ORU</t>
  </si>
  <si>
    <t>IB_PyxisMedstation_WACC_CBH_DFT_ZPM</t>
  </si>
  <si>
    <t>554951626202</t>
  </si>
  <si>
    <t>OB_PyxisMedstation_WACC_CBH_ADT_RDE</t>
  </si>
  <si>
    <t>IB_Mosaiq_MT_SPH_DFT</t>
  </si>
  <si>
    <t>IB_ProVation_NWR_SWR_ORU</t>
  </si>
  <si>
    <t>IB_Mosaiq_MT_SPH_MDM</t>
  </si>
  <si>
    <t>OB_PowerScribeReporting_SWE_WA_ORM_ORU</t>
  </si>
  <si>
    <t>224952028574</t>
  </si>
  <si>
    <t>OB_Mosaiq_MT_SPH_ADT</t>
  </si>
  <si>
    <t>IB_OBIX_MT_PSJH_ORU</t>
  </si>
  <si>
    <t>IB_OBIX_EWA_PSMMC_ORU</t>
  </si>
  <si>
    <t>IB_OBIX_SWR_PSPH_ORU</t>
  </si>
  <si>
    <t>IB_OBIX_SWR_PCH_ORU</t>
  </si>
  <si>
    <t>IB_OBIX_PHC_PSHMC_ORU</t>
  </si>
  <si>
    <t>IB_OBIX_PHC_HFH_ORU</t>
  </si>
  <si>
    <t>IB_OBIX_PHC_PMCH_ORU</t>
  </si>
  <si>
    <t>IB_OBIX_MT_SPH_ORU</t>
  </si>
  <si>
    <t>OB_Epic30877101501_WM_X12-277</t>
  </si>
  <si>
    <t>Professional Billing</t>
  </si>
  <si>
    <t>OB_Epic30877101503_WM_X12-277</t>
  </si>
  <si>
    <t>Hospital Billing</t>
  </si>
  <si>
    <t>OB_Epic771011_WAMT_ORU_WS-REST</t>
  </si>
  <si>
    <t>OB_1Call_EWA_ADT</t>
  </si>
  <si>
    <t>PRJ0253268 // RPLN0015261</t>
  </si>
  <si>
    <t>IB_OBIX_MTCC_BHH_ORU</t>
  </si>
  <si>
    <t>OB_GE-Carescape_EWA_TCRSC_ADT</t>
  </si>
  <si>
    <t>OB_GE-Carescape_EWA_SASC_ADT</t>
  </si>
  <si>
    <t>OB_GE-Carescape_EWA_FSED_ADT</t>
  </si>
  <si>
    <t>OB_Carescape_EWA_KRMC_ADT</t>
  </si>
  <si>
    <t>Replacing Cloverleaf Connections</t>
  </si>
  <si>
    <t>Kadlec Instance Alignment</t>
  </si>
  <si>
    <t>OB_OnBase_WAMT_ADT_MDM-1</t>
  </si>
  <si>
    <t>PRJ0045389</t>
  </si>
  <si>
    <t>OB_OnBase_WAMT_ADT_MDM-2</t>
  </si>
  <si>
    <t>OB_OnBase_WAMT_ORM_ORU</t>
  </si>
  <si>
    <t>OB_OnBase_WAMT_MFN</t>
  </si>
  <si>
    <t>IB_Epic771418_WM_ORM</t>
  </si>
  <si>
    <t>IB_Quest_MTCC_SCH_ORU</t>
  </si>
  <si>
    <t>554951627101</t>
  </si>
  <si>
    <t>OB_Epic771419_WAMT_ORU</t>
  </si>
  <si>
    <t>OB_GE-Carescape_WWA_PSPH_ADT</t>
  </si>
  <si>
    <t>OB_GE-Carescape_WWA_PCH_ADT</t>
  </si>
  <si>
    <t>IB_GE-Carescape_WWA_PSPH_ORU</t>
  </si>
  <si>
    <t>Remove when CP3 is retired</t>
  </si>
  <si>
    <t>IB_GE-Carescape_WWA_PCH_ORU</t>
  </si>
  <si>
    <t>OB_AQURE_EWA_PSMMC_ADT</t>
  </si>
  <si>
    <t>PRJ0204442</t>
  </si>
  <si>
    <t>IB_AQURE_EWA_PSMMC_ORU</t>
  </si>
  <si>
    <t>OB_LynxePoint_WACC_OMC_ADT</t>
  </si>
  <si>
    <t>OB_LynxePoint_IDCC_MTCC_WACC_ADT</t>
  </si>
  <si>
    <t>IB Optiflex EWA MT DFT</t>
  </si>
  <si>
    <t>114601926181</t>
  </si>
  <si>
    <t>OB Optiflex EWA MT ADT</t>
  </si>
  <si>
    <t>OB_IntelliBridge_ORCC_GRH_ADT</t>
  </si>
  <si>
    <t>OB_PolysmithSleepLab_SWE_ADT_ORM</t>
  </si>
  <si>
    <t>IB_PolysmithSleepLab_SWE_ORU</t>
  </si>
  <si>
    <t>OB_TEGManager_WWA_PRMCE_ADT</t>
  </si>
  <si>
    <t>22076208</t>
  </si>
  <si>
    <t>OB_Experian_WAMT_X12-270</t>
  </si>
  <si>
    <t>IB_Experian_WAMT_X12-271</t>
  </si>
  <si>
    <t>OB_GE-CommandCenter_SWE_ORU-FLOW</t>
  </si>
  <si>
    <t>20583602</t>
  </si>
  <si>
    <t>OB_GE-CommandCenter_SWE_ORU-FLOW_Replica</t>
  </si>
  <si>
    <t>IB_Cerner_SWE_WA_DFT_ORM_ORU</t>
  </si>
  <si>
    <t>OB_Cerner_SWE_WA_WACC_ADT_ORM_ORR_ORU</t>
  </si>
  <si>
    <t>IB_C3_Epic771322_WAMT_VXU</t>
  </si>
  <si>
    <t>OB_C6_Epic771322_WAMT_VXU</t>
  </si>
  <si>
    <t>IB_OBIX-ASI_WACC_NHHS_ORU</t>
  </si>
  <si>
    <t>98484203</t>
  </si>
  <si>
    <t>IB_Epic771408_WM_ORM</t>
  </si>
  <si>
    <t>IB_Epic772402_ORCA_ORM</t>
  </si>
  <si>
    <t>Temp test only direct from Epic, WAMT range as an exception / Xealth</t>
  </si>
  <si>
    <t>IB_Epic772704_ORCA_ADT</t>
  </si>
  <si>
    <t>IB_Epic772500_ORCA_SIU</t>
  </si>
  <si>
    <t>IB_Epic772502_ORCA_SIU</t>
  </si>
  <si>
    <t>IB_DataInnovations_IDCC_MT_WA_ORU_SSU</t>
  </si>
  <si>
    <t>OB_DataInnovations_IDCC_MT_WA_ORM</t>
  </si>
  <si>
    <t>IB_Epic771106_WM_MDM</t>
  </si>
  <si>
    <t>IB_Epic771350_WM_ORM</t>
  </si>
  <si>
    <t>IB_ARIA_WACC_OMC_SIU</t>
  </si>
  <si>
    <t>IB_ARIA_WACC_OMC_MDM  </t>
  </si>
  <si>
    <t xml:space="preserve">IB_ARIA_WACC_OMC_DFT </t>
  </si>
  <si>
    <t xml:space="preserve">IB_ARIA_WACC_OMC_ORU </t>
  </si>
  <si>
    <t>OB_CentricityEMR_PHC_RWC_ORU</t>
  </si>
  <si>
    <t>OB_CentricityEMR_PHC_RWC_MDM-TRAN</t>
  </si>
  <si>
    <t>OB_CentricityEMR_PHC_RWC_MDM-RAD</t>
  </si>
  <si>
    <t>OB_Vigilance_SWE_ORU</t>
  </si>
  <si>
    <t>OB_Vigilance_SWE_ADT</t>
  </si>
  <si>
    <t>IB_Vigilance_SWE_ORU</t>
  </si>
  <si>
    <t>IB_InlandImaging_EWA_SWE_ORU-Radiant</t>
  </si>
  <si>
    <t>OB_InlandImaging_EWA_SWE_ORM_ORU-Radiant</t>
  </si>
  <si>
    <t>IB_InlandImaging_EWA_SWE_ORM_ORU</t>
  </si>
  <si>
    <t>OB_InlandImaging_EWA_SWE_ORM</t>
  </si>
  <si>
    <t xml:space="preserve">OB_Epic771029_WAMT_ORU </t>
  </si>
  <si>
    <t>IB_PolysmithSleepLab_MT_SPH_ORU</t>
  </si>
  <si>
    <t>OB_ARIA_WACC_OMC_ADT  </t>
  </si>
  <si>
    <t>OB_ARIA_WACC_OMC_SIU</t>
  </si>
  <si>
    <t xml:space="preserve">OB_ARIA_WACC_OMC_MDM </t>
  </si>
  <si>
    <t>OB_ESO_SWE_WA_MDM</t>
  </si>
  <si>
    <t>220-71877</t>
  </si>
  <si>
    <t>OB_Theradoc_EWA_ORU-Vitals</t>
  </si>
  <si>
    <t>OB_Theradoc_EWA_MDM</t>
  </si>
  <si>
    <t>OB_VersaCare_WACC_SHML_ADT</t>
  </si>
  <si>
    <t>554951628301-49584203</t>
  </si>
  <si>
    <t>IB_VersaCare_WACC_SHML_MDM</t>
  </si>
  <si>
    <t>IB_Pyxis_MTCC_DLMC_DFT_ZPM</t>
  </si>
  <si>
    <t>OB_Pyxis_MTCC_DLMC_ADT_RDE</t>
  </si>
  <si>
    <t>OB_GE-CommandCenter_SWE_ORM</t>
  </si>
  <si>
    <t>OB_Xealth_PHS_ADT_ORM_SIU</t>
  </si>
  <si>
    <t>IB_Epic773344_ORCA_VXU</t>
  </si>
  <si>
    <t>Replaces pass thru connection</t>
  </si>
  <si>
    <t>OB_BreezeConnect_MT_WA_ORM</t>
  </si>
  <si>
    <t>OB_Epic771353_WAMT_ORU</t>
  </si>
  <si>
    <t>IB_Paceart_MT_SWE_WA_ORU</t>
  </si>
  <si>
    <t>OB_HorizonDiet_MT_SPH_ADT_ORM</t>
  </si>
  <si>
    <t>IB_Ambra_MT_WA_ORM</t>
  </si>
  <si>
    <t>OB_ChangeHealthcare-CARD_MT_MTCC_ADT</t>
  </si>
  <si>
    <t>OB_ChangeHealthcare-CARD_MT_MTCC_ORM</t>
  </si>
  <si>
    <t>OB_ChangeHealthcare-CARD_MT_MTCC_ORU</t>
  </si>
  <si>
    <t>OB_PyxisMedstation_WACC_SHML_ADT_RDE_Legacy</t>
  </si>
  <si>
    <t>554951628301</t>
  </si>
  <si>
    <t>IB_PyxisMedstation_WACC_SHML_DFT_ZPM</t>
  </si>
  <si>
    <t>OB_Computrition_WWA_PSPH_ADT_ORM</t>
  </si>
  <si>
    <t>Only Test port is used</t>
  </si>
  <si>
    <t>PRJ0212957</t>
  </si>
  <si>
    <t>OB_IntelliSpacePACS_EWA_PSMMC_ADT_ORM_ORU</t>
  </si>
  <si>
    <t>IB_eScription_MT_ORCC_SWE_WA_MDM_Legacy</t>
  </si>
  <si>
    <t>IB_Pyxis_MTCC_CFVH_DFT_ZPM</t>
  </si>
  <si>
    <t>OB_Pyxis_MTCC_CFVH_ADT_RDE</t>
  </si>
  <si>
    <t>IB_C4_Epic772310_ORCA_ORM</t>
  </si>
  <si>
    <t>OB_Versus_WACC_TTHC_ADT</t>
  </si>
  <si>
    <t>IB_eScription_MT_ORU_Legacy</t>
  </si>
  <si>
    <t>OB_Versus_WA_ADT</t>
  </si>
  <si>
    <t>Taken by OB_Epic771803_WAMT_MFN</t>
  </si>
  <si>
    <t>OB_Epic771803_WAMT_MFN</t>
  </si>
  <si>
    <t>OB_Quantros_WACC_SHML_ADT</t>
  </si>
  <si>
    <t>OB_Epic771331_WAMT_ORM</t>
  </si>
  <si>
    <t>OB_CNExT-CAS_WACC_JHH_ADT_ORU</t>
  </si>
  <si>
    <t>984951412841004</t>
  </si>
  <si>
    <t>OB_Epic771377_WAMT_ORM</t>
  </si>
  <si>
    <t>OB_NurseCall_WACC_SHML_ADT</t>
  </si>
  <si>
    <t>OB_SectraPACS_MTCC_BHH_ADT_ORM_ORU</t>
  </si>
  <si>
    <t>IB_Epic771326_WM_VXU</t>
  </si>
  <si>
    <t>IB_Epic771420_WM_ORM</t>
  </si>
  <si>
    <t>IB_C3_Epic771310_WAMT_ORM_ORU</t>
  </si>
  <si>
    <t>OB_C6_Epic771310_WAMT_ORM_ORU</t>
  </si>
  <si>
    <t>OB_MyRounding_WACC_PMHC_ADT</t>
  </si>
  <si>
    <t>PRJ0448286</t>
  </si>
  <si>
    <t>IB_C3_Epic771102_WAMT_MDM</t>
  </si>
  <si>
    <t>OB_C6_Epic771102_WAMT_MDM</t>
  </si>
  <si>
    <t>IB_C3_Epic771500_WAMT_SIU</t>
  </si>
  <si>
    <t>OB_C6_Epic771500_WAMT_SIU</t>
  </si>
  <si>
    <t>IB_Telcor_MT_WA_ORU</t>
  </si>
  <si>
    <t>IB_Epic771348_WM_ORU</t>
  </si>
  <si>
    <t>OB_ProVation_EWA_PSMMC_ADT_ORM</t>
  </si>
  <si>
    <t>IB_ProVation_EWA_PSMMC_ORU</t>
  </si>
  <si>
    <t>OB_HospitalOvercrowding_MT_WA_ORU</t>
  </si>
  <si>
    <t>St. Joseph Health</t>
  </si>
  <si>
    <t>IB_Quest_WACC_SHML_ORU</t>
  </si>
  <si>
    <t>OB_Epic771359_WAMT_ORU</t>
  </si>
  <si>
    <t>IB_C3_Epic771704_WAMT_ADT</t>
  </si>
  <si>
    <t>OB_C6_Epic771704_WAMT_ADT</t>
  </si>
  <si>
    <t>OB_PyxisMedstation_WACC_NHHS_ADT_RDE_Legacy</t>
  </si>
  <si>
    <t>PRJ0336821</t>
  </si>
  <si>
    <t>IB_PyxisMedstation_WACC_NHHS_DFT_ZPM_Legacy</t>
  </si>
  <si>
    <t>OB_Telcor_WACC_NHHS_ADT</t>
  </si>
  <si>
    <t>559841611016</t>
  </si>
  <si>
    <t>IB_Telcor_WACC_NHHS_ORU</t>
  </si>
  <si>
    <t>OB_MDReports_WACC_NHHS_ADT</t>
  </si>
  <si>
    <t>IB_MDReports_WACC_NHHS_ORU</t>
  </si>
  <si>
    <t>IB_OBIX_WACC_NHHS_ORU</t>
  </si>
  <si>
    <t>IB_Pyxis_WA_DFT_ZPM</t>
  </si>
  <si>
    <t>OB_Pyxis_WA_ADT_RDE</t>
  </si>
  <si>
    <t>OB_eScription_MT_ORCC_SWE_WA_ADT</t>
  </si>
  <si>
    <t>OB_eScription_MT_WA_ORM_ORU</t>
  </si>
  <si>
    <t>IB_eScription_MT_ORCC_SWE_WA_MDM</t>
  </si>
  <si>
    <t>IB_eScription_MT_ORU</t>
  </si>
  <si>
    <t xml:space="preserve">OB_Telcor_WACC_CBH_ADT       </t>
  </si>
  <si>
    <t>Cost Center: 98484203 
Activity Number: 559841611018</t>
  </si>
  <si>
    <t xml:space="preserve">IB_Telcor_WACC_CBH_ORU                       </t>
  </si>
  <si>
    <t>IB_Epic773342_OC_QBP</t>
  </si>
  <si>
    <t>OB_Epic773343_ORCA_RSP</t>
  </si>
  <si>
    <t>IB_eScription_MTCC_WMC_MDM</t>
  </si>
  <si>
    <t>IB_PowerScribe_EWA_PSMMC_ORU</t>
  </si>
  <si>
    <t>IB_Epic771340_WM_ORU</t>
  </si>
  <si>
    <t>IB_Viewpoint_WACC_OMC_ORU</t>
  </si>
  <si>
    <t>21086105</t>
  </si>
  <si>
    <t>OB_Viewpoint_WACC_OMC_ADT_ORM</t>
  </si>
  <si>
    <t>OB_GE-CommandCenter_SWE_ORM_Replica</t>
  </si>
  <si>
    <t>OB_GE-CommandCenter_SWE_ADT_Replica</t>
  </si>
  <si>
    <t>OB_MIPACS_WACC_JHH_ADT</t>
  </si>
  <si>
    <t>POL102169_IS</t>
  </si>
  <si>
    <t>IB_Epic771288_WM_BAR</t>
  </si>
  <si>
    <t>IB_Epic771332_WM_ORU</t>
  </si>
  <si>
    <t>IB_Epic771286_WM_MDM_WS-REST</t>
  </si>
  <si>
    <t>OB_Epic771287_WAMT_ADT</t>
  </si>
  <si>
    <t>IB_Mosaiq_NWR_TEC_DFT</t>
  </si>
  <si>
    <t>IB_Mosaiq_NWR_TEC_MDM</t>
  </si>
  <si>
    <t>OB_Iodine_MT_WA_ADT</t>
  </si>
  <si>
    <t>OB_Iodine_MT_WA_MDM</t>
  </si>
  <si>
    <t>OB_Iodine_MT_WA_ORM</t>
  </si>
  <si>
    <t>OB_Iodine_MT_WA_ORU</t>
  </si>
  <si>
    <t>OB_Iodine_MT_WA_RAS</t>
  </si>
  <si>
    <t>OB_Iodine_MT_WA_RDE</t>
  </si>
  <si>
    <t>OB_SPM_EWA_PSMMC_SIU</t>
  </si>
  <si>
    <t>117201722503</t>
  </si>
  <si>
    <t>IB_Quest_MTCC_WMC_ORU</t>
  </si>
  <si>
    <t>IB_C4_Epic773400_ORCA_ORM_ORR</t>
  </si>
  <si>
    <t>IB_Epic771270_WM_X12-270</t>
  </si>
  <si>
    <t>OB_Epic771271_WAMT_X12-271</t>
  </si>
  <si>
    <t>OB_VersaCare_EWA_SLRI_ADT</t>
  </si>
  <si>
    <t>PRJ0409300</t>
  </si>
  <si>
    <t>IB_VersaCare_EWA_SLRI_MDM</t>
  </si>
  <si>
    <t>OB_Quest_MTCC_WMC_ORM</t>
  </si>
  <si>
    <t>OB_Epic771317_WAMT_ORM_ORU</t>
  </si>
  <si>
    <t>OB_GE-CommandCenter_SWE_ADT</t>
  </si>
  <si>
    <t>PRJ0444768</t>
  </si>
  <si>
    <t>IB_Pyxis_MT_SPH_DFT_ZPM</t>
  </si>
  <si>
    <t>IB_Pyxis_MT_PSJH_DFT_ZPM</t>
  </si>
  <si>
    <t>OB_Pyxis_MT_SPH_ADT_RDE</t>
  </si>
  <si>
    <t>OB_Pyxis_MT_PSJH_ADT_RDE</t>
  </si>
  <si>
    <t>OB_NuanceCDE_MT_WA_MDM</t>
  </si>
  <si>
    <t>OB_NuanceCDE_MT_WA_DFT</t>
  </si>
  <si>
    <t>IB_NuanceCDE_MT_WA_MDM-PCI</t>
  </si>
  <si>
    <t>OB_NuanceCDE_MT_WA_MDM-PCI</t>
  </si>
  <si>
    <t>IB_NuanceCDE_MT_WA_ADT</t>
  </si>
  <si>
    <t>OB_PyxisMedstation_WACC_SHML_ADT_RDE</t>
  </si>
  <si>
    <t>IB_Epic771610_WM_MFN</t>
  </si>
  <si>
    <t>OB_Pyxis_WA_MFN</t>
  </si>
  <si>
    <t>OB_PyxisLogistics_WACC_OMC_RDE</t>
  </si>
  <si>
    <t>49584203</t>
  </si>
  <si>
    <t>OB_PyxisMedStation_WACC_OMC_MFN</t>
  </si>
  <si>
    <t>OB_CardioServer_MT_MTCC_ORM</t>
  </si>
  <si>
    <t>IB_CardioServer_MT_MTCC_DFT_ORU</t>
  </si>
  <si>
    <t>IB_PowerScribeReporting_WA_ORU</t>
  </si>
  <si>
    <t>OB_PowerScribeReporting_WA_ADT_ORM_ORU</t>
  </si>
  <si>
    <t>OB_PowerScribeReporting_WACC_PMHC_ADT_ORM_ORU</t>
  </si>
  <si>
    <t>55495161004/ 49584203</t>
  </si>
  <si>
    <t>IB_PowerScribeReporting_WACC_PMHC_ORU</t>
  </si>
  <si>
    <t>IB_PowerScribe_MTCC_BHH_ORU</t>
  </si>
  <si>
    <t>OB_PowerScribe_MTCC_BHH_ADT_ORM_ORU</t>
  </si>
  <si>
    <t>OB_Omnicare_MTCC_BHH_ORU</t>
  </si>
  <si>
    <t>OB_Omnicare_MTCC_BHH_ORM</t>
  </si>
  <si>
    <t>IB_Vincari_MT_WA_MDM</t>
  </si>
  <si>
    <t>OB_Vincari_MT_WA_SIU</t>
  </si>
  <si>
    <t>OB_Vincari_MT_WA_ADT</t>
  </si>
  <si>
    <t>OB_Epic771325_WAMT_ORM_ORU</t>
  </si>
  <si>
    <t>OB_WELL_ORCC_WACC_SIU</t>
  </si>
  <si>
    <t>POL102674</t>
  </si>
  <si>
    <t>OB_FormFast_MT_ADT</t>
  </si>
  <si>
    <t>OB_WELL_ORCC_WACC_ADT</t>
  </si>
  <si>
    <t>IB_WELL_ORCC_WACC_SIU</t>
  </si>
  <si>
    <t>OB_Epic771319_WAMT_ORM_ORU</t>
  </si>
  <si>
    <t>IB_Optiflex_MT_MSP_DFT</t>
  </si>
  <si>
    <t>OB_PyxisMedstation_WACC_SHML_MFN</t>
  </si>
  <si>
    <t>IB_ProVation_MT_SPH_ORU</t>
  </si>
  <si>
    <t>OB_ProVation_MT_SPH_ADT_ORM</t>
  </si>
  <si>
    <t>OB_VaultStream_WA_ORM</t>
  </si>
  <si>
    <t>32070730/PRJ0302041</t>
  </si>
  <si>
    <t>IB_VaultStream_WA_ORU</t>
  </si>
  <si>
    <t>OB_Optiflex_MT_MSP_ADT</t>
  </si>
  <si>
    <t>Prod port used by OB_Optiflex_MT_MSP_ADT</t>
  </si>
  <si>
    <t>WM Bridges AIP 52000 DICOM</t>
  </si>
  <si>
    <t>IB_PyxisMedstation_ORCC_GRH_DFT_ZPM</t>
  </si>
  <si>
    <t>POL102620_IS</t>
  </si>
  <si>
    <t>OB_Pyxis_PHC_PSHMC_RDE</t>
  </si>
  <si>
    <t>for pharmacy carousel orders for Sacred Heart and Holy Family in Spokane</t>
  </si>
  <si>
    <t>OB_PyxisMedstation_WACC_NHHS_ADT_RDE</t>
  </si>
  <si>
    <t>IB_PyxisMedstation_WACC_NHHS_DFT_ZPM</t>
  </si>
  <si>
    <t>IB_Lawson_WACC_MFN</t>
  </si>
  <si>
    <t>OB_Telcor_MT_WA_ADT</t>
  </si>
  <si>
    <t>OB_Pyxis_WACC_OMC_ADT_RDE_Legacy</t>
  </si>
  <si>
    <t>IB_Pyxis_WACC_OMC_DFT_ZPM_Legacy</t>
  </si>
  <si>
    <t>OB_CBORD_WACC_OMC_ADT_ORM</t>
  </si>
  <si>
    <t>OB_PyxisMedstation_WACC_OMC_ADT_RDE</t>
  </si>
  <si>
    <t>POL102781_IS</t>
  </si>
  <si>
    <t>IB_Epic771412_WM_ORM</t>
  </si>
  <si>
    <t>OB_Epic771327_WAMT_ORU</t>
  </si>
  <si>
    <t>OB_TeamHealth_WA_ADT</t>
  </si>
  <si>
    <t>IB_PyxisMedstation_WACC_OMC_DFT_ZPM</t>
  </si>
  <si>
    <t>IB_HCLL_WACC_OMC_ORU</t>
  </si>
  <si>
    <t>IB_HCLL_WACC_OMC_DFT</t>
  </si>
  <si>
    <t>OB_HCLL_WACC_OMC_ADT_ORM</t>
  </si>
  <si>
    <t>OB_DRPACS_WACC_OMC_ADT_ORM</t>
  </si>
  <si>
    <t>OB_iQueue_WACC_JHH_SIU</t>
  </si>
  <si>
    <t>POL103627_IS</t>
  </si>
  <si>
    <t>OB_OBIX_WACC_OMC_ADT_ORU</t>
  </si>
  <si>
    <t>IB_OBIX_WACC_OMC_ORU</t>
  </si>
  <si>
    <t>OB_CellNetix_SWE_SWECC_WWA_ORM_ORR</t>
  </si>
  <si>
    <t>OB_Epic771389_WAMT_ORU</t>
  </si>
  <si>
    <t>IB_Epic771390_WM_RGV</t>
  </si>
  <si>
    <t>OB_Epic771391_WAMT_RRG</t>
  </si>
  <si>
    <t>OB_Talyst_PHC_PSHMC_RDE</t>
  </si>
  <si>
    <t>IB_Epic771602_WM_RDE</t>
  </si>
  <si>
    <t>OB_MiPACS_SWECC_ICHS_ADT</t>
  </si>
  <si>
    <t>IB_Epic771804_WM_OMS</t>
  </si>
  <si>
    <t>OB_Lawson_WACC_OMC_OMS</t>
  </si>
  <si>
    <t>OB_Epic771501_WAMT_SIU</t>
  </si>
  <si>
    <t>IB_DRPACS_MTCC_CFV_ORU</t>
  </si>
  <si>
    <t>IB_Mosaiq_WACC_OMC_DFT</t>
  </si>
  <si>
    <t>OB_NextGen_PHC_CSS_MDM_ORU</t>
  </si>
  <si>
    <t>OB_Atlas_WACC_OMC_ORU</t>
  </si>
  <si>
    <t>OB_OBIX_MTCC_BHH_ADT_ORU</t>
  </si>
  <si>
    <t>Only Test value is used</t>
  </si>
  <si>
    <t>IB_Omnicell_WACC_JHH_DFT_ZPM</t>
  </si>
  <si>
    <t>OB_Omnicell_WACC_JHH_ADT_RDE</t>
  </si>
  <si>
    <t>OB_Mosaiq_WACC_OMC_ADT</t>
  </si>
  <si>
    <t>IB_Epic771614_WM_RAS</t>
  </si>
  <si>
    <t>OB_AveroDX_WACC_ORM</t>
  </si>
  <si>
    <t>OB_Appriss_IDCC_MT_MTCC_ADT</t>
  </si>
  <si>
    <t>49584144</t>
  </si>
  <si>
    <t>OB_Quest_WACC_JHH_ORM</t>
  </si>
  <si>
    <t>IB_Quest_WACC_JHH_ORU</t>
  </si>
  <si>
    <t>IB_AveroDX_WACC_ORU</t>
  </si>
  <si>
    <t>IB_AveroDX_WACC_JHH_DFT</t>
  </si>
  <si>
    <t>OB_Lumedic_WAMT_X12-270_X12-271</t>
  </si>
  <si>
    <t>93386300</t>
  </si>
  <si>
    <t>IB_Lumedic_WAMT_X12-271</t>
  </si>
  <si>
    <t>OB_OBIX_WACC_JHH_ADT_ORU</t>
  </si>
  <si>
    <t>IB_OBIX_WACC_JHH_ORU</t>
  </si>
  <si>
    <t>IB_Radia_WACC_JHH_ORU</t>
  </si>
  <si>
    <t>OB_ResponderEnterprise_WWA_ADT</t>
  </si>
  <si>
    <t>St. Joseph</t>
  </si>
  <si>
    <t>OB_ProVation_WACC_SHML_ADT_ORM</t>
  </si>
  <si>
    <t>IB_ProVation_WACC_SHML_ORU</t>
  </si>
  <si>
    <t>OB_AthenaPractice_EWA_MLCHC_MDM_ORU</t>
  </si>
  <si>
    <t>POL101923_IS</t>
  </si>
  <si>
    <t>OB_PyxisMedstation_WACC_PMHC_ADT_RDE</t>
  </si>
  <si>
    <t>IB_PyxisMedstation_WACC_PMHC_DFT_ZPM</t>
  </si>
  <si>
    <t>IB_Lawson_WACC_JHH_MFN</t>
  </si>
  <si>
    <t>OB_Greenway_PHC_MDM_ORU</t>
  </si>
  <si>
    <t>OB_Alaris_SWE_WWA_RGV</t>
  </si>
  <si>
    <t>IB_Alaris_SWE_WWA_RRG</t>
  </si>
  <si>
    <t>IB_Alaris_SWE_WWA_ORU</t>
  </si>
  <si>
    <t>OB_Vocera_EWA_ADT</t>
  </si>
  <si>
    <t>OB_Vocera_MT_WA_ORM</t>
  </si>
  <si>
    <t>OB_SPM_MT_WA_SIU</t>
  </si>
  <si>
    <t>OB_PyxisMedstation_WACC_NHHS_MFN</t>
  </si>
  <si>
    <t>POL103155_IS</t>
  </si>
  <si>
    <t>OB_Theradoc_EWA_ADT</t>
  </si>
  <si>
    <t>OB_HCLL_PHC_ORM</t>
  </si>
  <si>
    <t>OB_Theradoc_EWA_ORU-FLOW</t>
  </si>
  <si>
    <t>OB_Theradoc_EWA_RDE</t>
  </si>
  <si>
    <t>OB_Theradoc_EWA_ORU-LAB</t>
  </si>
  <si>
    <t>OB_Theradoc_EWA_ORU-RAD</t>
  </si>
  <si>
    <t>IB_Epic771380_WM_ORM</t>
  </si>
  <si>
    <t>OB_Epic771381_WAMT_ORU</t>
  </si>
  <si>
    <t>IB_Incyte_EWA_WAMT_ORU</t>
  </si>
  <si>
    <t>OB_GE-PACS_MTCC_BHH_ADT_ORM</t>
  </si>
  <si>
    <t>IB_DaVita_PHC_ORU</t>
  </si>
  <si>
    <t>IB_Epic771504_WM_SIU</t>
  </si>
  <si>
    <t>OB_Responder5NurseCall_ORCC_GRH_ADT</t>
  </si>
  <si>
    <t>OB_CentralLogic_PHC_ADT</t>
  </si>
  <si>
    <t>OB_Computrition_SWR_PCH_ADT_ORM</t>
  </si>
  <si>
    <t>IB_Optiflex_PHC_PSHMC_DFT</t>
  </si>
  <si>
    <t>OB_Optiflex_PHC_PSHMC_ADT</t>
  </si>
  <si>
    <t>OB_ARIA_WWA_SIU</t>
  </si>
  <si>
    <t>IB_ARIA_WWA_DFT</t>
  </si>
  <si>
    <t>IB_ARIA_WWA_ORU</t>
  </si>
  <si>
    <t>OB_Epic771507_WAMT_ORU</t>
  </si>
  <si>
    <t>IB_ARIA_WWA_SIU</t>
  </si>
  <si>
    <t>OB_PyxisMedstation_MTCC_BHH_MFN</t>
  </si>
  <si>
    <t>OB_OncoChart_SWR_ADT</t>
  </si>
  <si>
    <t>IB_OncoChart_SWR_DFT</t>
  </si>
  <si>
    <t>OB_SPM_ORCC_GRH_SIU</t>
  </si>
  <si>
    <t>IB_OncoChart_SWR_MDM-PDF</t>
  </si>
  <si>
    <t>IB_Transfusion_WA_DFT</t>
  </si>
  <si>
    <t>224951822926/49510000</t>
  </si>
  <si>
    <t>OB_ARIA_WWA_ADT</t>
  </si>
  <si>
    <t>OB_Liaison_NWR_WWMG_MDM_ORU</t>
  </si>
  <si>
    <t>IB_Transfusion_WA_ORU</t>
  </si>
  <si>
    <t>OB_Transfusion_WA_ADT_ORM</t>
  </si>
  <si>
    <t>OB_Healthtouch_WA_ADT_ORM</t>
  </si>
  <si>
    <t>OB_IntelliSpaceECG_ORCC_GRH_ORM</t>
  </si>
  <si>
    <t>IB_IntelliSpaceECG_ORCC_GRH_ORU</t>
  </si>
  <si>
    <t>OB_Apollo_EWA_PSHMC_ADT</t>
  </si>
  <si>
    <t>OB_Epic771401_WAMT_ORU</t>
  </si>
  <si>
    <t>OB_Epic771383_WAMT_ORU</t>
  </si>
  <si>
    <t>OB_Epic771385_WAMT_ORU</t>
  </si>
  <si>
    <t>OB_Epic771387_WAMT_ORU</t>
  </si>
  <si>
    <t>OB_IntelliSpacePACS_WWA_PCH_ADT_ORM_ORU</t>
  </si>
  <si>
    <t>IB_Experian_PHS_X12-271</t>
  </si>
  <si>
    <t>OB_Experian_PHS_X12-270</t>
  </si>
  <si>
    <t>IB_Lumedic_PHS_X12-271</t>
  </si>
  <si>
    <t>OB_Lumedic_PHS_X12-270</t>
  </si>
  <si>
    <t>IB_HCLL_PHC_ORU</t>
  </si>
  <si>
    <t>OB_IntelliSpacePACS_WWA_PSPH_ADT_ORM_ORU</t>
  </si>
  <si>
    <t>OB_Epic771027_WM_ORU</t>
  </si>
  <si>
    <t>OB_PostAcuteAnalytics_WAMT_ADT</t>
  </si>
  <si>
    <t>4896125</t>
  </si>
  <si>
    <t>IB_Cerner_WA_ORM_ORU-LAB_MIC</t>
  </si>
  <si>
    <t>Port 15485 uased by IB_Cerner_WA_ORM_ORU-LAB_MIC in Prod.</t>
  </si>
  <si>
    <t>OB_NextGen_PHC_CSS_ORU-LAB</t>
  </si>
  <si>
    <t>OB_Pyxis_PHC_HFH_RDE</t>
  </si>
  <si>
    <t>OB_Ventana_EWA_PSHMC_OML</t>
  </si>
  <si>
    <t>IB_Ventana_EWA_PSHMC_OML_OUL</t>
  </si>
  <si>
    <t>IB_CORA_ORCC_WMH_MDM_ORU</t>
  </si>
  <si>
    <t>OB_CORA_ORCC_WMH_ORM</t>
  </si>
  <si>
    <t>OB_GE-CommandCenter_SWE_SIU</t>
  </si>
  <si>
    <t>OB_GE-CommandCenter_SWE_SIU_Replica</t>
  </si>
  <si>
    <t>OB_HCLL_MT_ADT_ORM</t>
  </si>
  <si>
    <t>IB_HCLL_MT_ORU</t>
  </si>
  <si>
    <t>IB_HCLL_MT_DFT</t>
  </si>
  <si>
    <t>OB_Emergin_NWR_PRMCE_ADT</t>
  </si>
  <si>
    <t>OB_1Call_ORCC_GRH_ADT</t>
  </si>
  <si>
    <t>OB_ESO_SWE_WA_ADT</t>
  </si>
  <si>
    <t>IB_C4_GE-DMS_CA_ORU</t>
  </si>
  <si>
    <t>IB_OnBase_PHS_MDM-LNKS</t>
  </si>
  <si>
    <t>OB_DatixWeb_PHS_ADT</t>
  </si>
  <si>
    <t>Cost Center # 495-84126-224951619988</t>
  </si>
  <si>
    <t>IB_Antrim_SWE_ORU</t>
  </si>
  <si>
    <t>OB_Quest_ORCC_GRH_ORM</t>
  </si>
  <si>
    <t>984951412841046</t>
  </si>
  <si>
    <t>IB_Quest_ORCC_GRH_ORU</t>
  </si>
  <si>
    <t>OB_EverettClinic_NWR_PRMCE_DFT</t>
  </si>
  <si>
    <t>OB_EverettClinic_NWR_PRMCE_MDM</t>
  </si>
  <si>
    <t>OB_IngeniousMed_PHC_ADT</t>
  </si>
  <si>
    <t>IB_iSirona_EWA_IDCC_MT_ORU</t>
  </si>
  <si>
    <t>OB_Epic771335_WAMT_ORU</t>
  </si>
  <si>
    <t>OB_C6_Epic771314_WAMT_ORM_ORU</t>
  </si>
  <si>
    <t>OB_Telcor_MTCC_BHH_ADT</t>
  </si>
  <si>
    <t>IB_Telcor_MTCC_BHH_ORU</t>
  </si>
  <si>
    <t>OB_GE-PACS_MTCC_BHH_ADT_ORM_ORU</t>
  </si>
  <si>
    <t>OB_MarcusDaly_MT_ORU</t>
  </si>
  <si>
    <t>OB_Velos_PHS_ADT</t>
  </si>
  <si>
    <t>OB_Paceart_MT_SWE_WA_SIU</t>
  </si>
  <si>
    <t>OB_Novarad_WACC_JHH_ADT_ORM_ORU</t>
  </si>
  <si>
    <t>IB_LabCorp_MT_MTCC_WA_WACC_ORU-REFLAB</t>
  </si>
  <si>
    <t>OB_Epic771373_WAMT_ORU</t>
  </si>
  <si>
    <t>IB_Epic771410_WM_ORM</t>
  </si>
  <si>
    <t>OB_Epic771753_WAMT_DFT</t>
  </si>
  <si>
    <t>OB_PatientKeeper_SWR_OBHG_ADT</t>
  </si>
  <si>
    <t>IB_RapidComm_MT_ORU</t>
  </si>
  <si>
    <t>IB_ESO_WA_ORU</t>
  </si>
  <si>
    <t>OB_ChangeHealthcare-CARD_WA_WACC_ADT</t>
  </si>
  <si>
    <t>OB_ChangeHealthcare-CARD_WA_WACC_ORM</t>
  </si>
  <si>
    <t>IB_ChangeHealthcare-CARD_WA_WACC_ORU</t>
  </si>
  <si>
    <t>OB_PATSTSI_SWE_WA_ADT</t>
  </si>
  <si>
    <t>OB_RapidComm_MT_ADT</t>
  </si>
  <si>
    <t>OB_Incyte_EWA_ORCC_WACC_ADT</t>
  </si>
  <si>
    <t>IB_Incyte_EWA_ORCC_WACC_ORU</t>
  </si>
  <si>
    <t>OB_PowerScribe_EWA_PSMMC_ADT_ORM_ORU</t>
  </si>
  <si>
    <t>OB_InterConnect_Epic924303_SWE_ORM_ORU</t>
  </si>
  <si>
    <t>OB_InterConnect_Epic924353_SWE_ORM_ORU</t>
  </si>
  <si>
    <t>OB_OnBase_IDCC_MT_MTCC_WA_WACC_ADT_MDM-1</t>
  </si>
  <si>
    <t>interface split for OnBase - we’ll be migrating the interfaces off the OB_Onbase_PHS_ADT_MFN_ORM_ORU - conn for cc also</t>
  </si>
  <si>
    <t>OB_OnBase_ORCA_ADT_MDM-1</t>
  </si>
  <si>
    <t>OB_OnBase_ORCA_ADT_MFN_ORM_ORU</t>
  </si>
  <si>
    <t>OB_Vitalant-HLA_EWA_PSHMC_ORM</t>
  </si>
  <si>
    <t>IB_Vitalant-HLA_EWA_PSHMC_ORU</t>
  </si>
  <si>
    <t>OB_InfinittPACS_WACC_OMC_ADT_ORM_ORU</t>
  </si>
  <si>
    <t>IB_InfinittPACS_WACC_OMC_ORM_ORU</t>
  </si>
  <si>
    <t>IB_Radia_WACC_OMC_ORU</t>
  </si>
  <si>
    <t>IB_Interpath_ORCC_GRH_WMH_ORU</t>
  </si>
  <si>
    <t>OB_IntelliSpaceECG_PHC_ADT</t>
  </si>
  <si>
    <t>OB_IntelliSpaceECG_PHC_ORM</t>
  </si>
  <si>
    <t>IB_IntelliSpaceECG_PHC_ORU</t>
  </si>
  <si>
    <t>OB_BabySteps_PHC_PSHMC_ADT</t>
  </si>
  <si>
    <t>OB_BabySteps_PHC_PSHMC_ORU</t>
  </si>
  <si>
    <t>IB_BabySteps_PHC_PSHMC_MDM</t>
  </si>
  <si>
    <t>OB_PracticePartner_PHS_TTI_MDM_ORU</t>
  </si>
  <si>
    <r>
      <t>IB_BreezeConnect_</t>
    </r>
    <r>
      <rPr>
        <sz val="11"/>
        <color rgb="FF1F497D"/>
        <rFont val="Calibri"/>
        <family val="2"/>
        <scheme val="minor"/>
      </rPr>
      <t>WACC_</t>
    </r>
    <r>
      <rPr>
        <sz val="11"/>
        <color theme="1"/>
        <rFont val="Calibri"/>
        <family val="2"/>
        <scheme val="minor"/>
      </rPr>
      <t>OMC_ORU</t>
    </r>
  </si>
  <si>
    <r>
      <t>OB_BreezeConnect_</t>
    </r>
    <r>
      <rPr>
        <sz val="11"/>
        <color rgb="FF1F497D"/>
        <rFont val="Calibri"/>
        <family val="2"/>
        <scheme val="minor"/>
      </rPr>
      <t>WACC_</t>
    </r>
    <r>
      <rPr>
        <sz val="11"/>
        <color theme="1"/>
        <rFont val="Calibri"/>
        <family val="2"/>
        <scheme val="minor"/>
      </rPr>
      <t>OMC_ORM</t>
    </r>
  </si>
  <si>
    <t>OB_ChangeHealthcare-CARD_SWE_WWA_ADT</t>
  </si>
  <si>
    <t>OB_ChangeHealthcare-CARD_SWE_WWA_ORM</t>
  </si>
  <si>
    <t>IB_ChangeHealthcare-CARD_SWE_WWA_ORU</t>
  </si>
  <si>
    <t>IB_C4_Epic772712_ORCA_ADT</t>
  </si>
  <si>
    <t>OB_C3_Epic772712_ORCA_ADT</t>
  </si>
  <si>
    <t>IB_Omnicell_ORCC_WMH_DFT_ZPM</t>
  </si>
  <si>
    <t>OB_Omnicell_ORCC_WMH_ADT_RDE</t>
  </si>
  <si>
    <t>IB_BabySteps_PHC_HFH_MDM</t>
  </si>
  <si>
    <t>OB_BabySteps_PHC_HFH_ADT</t>
  </si>
  <si>
    <t>OB_BabySteps_PHC_HFH_ORU</t>
  </si>
  <si>
    <t>OB_Epic771315_WAMT_ORU</t>
  </si>
  <si>
    <t>OB_Epic771801_WAMT_MFN</t>
  </si>
  <si>
    <t>IB_Epic771414_WM_ORM</t>
  </si>
  <si>
    <t>IB_LabCorp_MT_SWE_SWECC_WA_ORU</t>
  </si>
  <si>
    <t>OB_Epic771375_WAMT_ORM_ORU</t>
  </si>
  <si>
    <t>OB_IRIS_MT_SWE_WA_ORM</t>
  </si>
  <si>
    <t>IB_IRIS_MT_SWE_WA_ORU</t>
  </si>
  <si>
    <t>IB_IRIS_MT_SWE_WA_DFT</t>
  </si>
  <si>
    <t>OB_DICOMatics_WAMT_ADT</t>
  </si>
  <si>
    <t>OB_Viewpoint_NWR_ADT_ORM</t>
  </si>
  <si>
    <t>IB_Viewpoint_NWR_ORU</t>
  </si>
  <si>
    <t>OB_Epic771371_WAMT_ORM</t>
  </si>
  <si>
    <t>IB_C6_Outreach_MT_WA_ADT</t>
  </si>
  <si>
    <t>OB_C3_Outreach_MT_WA_ADT</t>
  </si>
  <si>
    <t>OB_Kyruus_MT_SWE_WA_SIU</t>
  </si>
  <si>
    <t>OB_Epic771703_WAMT_ADT</t>
  </si>
  <si>
    <t>IB_Epic771306_WM_ORU</t>
  </si>
  <si>
    <t>IB_C3_Epic771306_WAMT_ORU</t>
  </si>
  <si>
    <t>OB_C6_Epic771306_WAMT_ORU</t>
  </si>
  <si>
    <t>IB_PolysmithSleepLab_EWA_ORU</t>
  </si>
  <si>
    <t>OB_PolysmithSleepLab_EWA_ADT_ORM</t>
  </si>
  <si>
    <t>IB_AthenaHealth_ORCC_ORM</t>
  </si>
  <si>
    <t>eMail to Sean and John for the capital project or department cost center and activity code to charge these interfaces against. 8/31/2016</t>
  </si>
  <si>
    <t>OB_AthenaHealth_ORCC_PHC_ORU</t>
  </si>
  <si>
    <t>OB_SouthSoundRad_SWR_ORM</t>
  </si>
  <si>
    <t>IB_SouthSoundRad_SWR_ORU</t>
  </si>
  <si>
    <t>OB_iBedWireless_WACC_SHML_ADT_ORU</t>
  </si>
  <si>
    <t>OB_AthenaHealth_ORCC_OBFH_ORU (15865 Test)</t>
  </si>
  <si>
    <t>OB_McKessonCardiology_ORCC_GRH_ADT</t>
  </si>
  <si>
    <t>OB_McKessonCardiology_ORCC_GRH_ORM</t>
  </si>
  <si>
    <t>IB_McKessonCardiology_ORCC_GRH_ORU</t>
  </si>
  <si>
    <t>OB_PyxisMedstation_ORCC_GRH_MFN</t>
  </si>
  <si>
    <t>IB_Epic771314_WM_ORM_ORU_WS-REST</t>
  </si>
  <si>
    <t>OB_VaultStream_ORCC_GRH_ORM</t>
  </si>
  <si>
    <t>IB_VaultStream_ORCC_GRH_ORU</t>
  </si>
  <si>
    <t>OB_Pyxis_ORCC_GRH_ADT_RDE</t>
  </si>
  <si>
    <t>OB_Sleepware_WACC_OMC_ORM</t>
  </si>
  <si>
    <t>IB_Sleepware_WACC_OMC_ORU</t>
  </si>
  <si>
    <t>IB_Vision_WA_MDM</t>
  </si>
  <si>
    <t>226212131062</t>
  </si>
  <si>
    <t>IB_Epic771424_WM_ORM</t>
  </si>
  <si>
    <t>OB_Fluency_ORCC_GRH_ADT</t>
  </si>
  <si>
    <t>OB_Fluency_ORCC_GRH_ORM_ORU</t>
  </si>
  <si>
    <t>IB_Fluency_ORCC_GRH_ORU</t>
  </si>
  <si>
    <t>OB_ChangeHealthcareRad_ORCC_GRH_ADT_ORM_ORU</t>
  </si>
  <si>
    <t>OB_McKessonRadiology _ORCC_GRH_ORM</t>
  </si>
  <si>
    <t>OB_McKessonRadiology _ORCC_GRH_ORU</t>
  </si>
  <si>
    <t>IB_McKessonRadiology _ORCC_GRH_ORU</t>
  </si>
  <si>
    <t>OB_Epic771613_WAMT_ZPM</t>
  </si>
  <si>
    <t>IB_Epic771398_WM_ORM_ORU</t>
  </si>
  <si>
    <t>OB_Epic771635_WAMT_RDS</t>
  </si>
  <si>
    <t>OB_Epic771339_WAMT_ORU</t>
  </si>
  <si>
    <t>IB_ISCV_WACC_SHML_ORU</t>
  </si>
  <si>
    <t>REQ2101960</t>
  </si>
  <si>
    <t>IB_Novarad_WACC_JHH_ORU</t>
  </si>
  <si>
    <t>IB_PyxisMedstation_MTCC_BHH_DFT_ZPM_Legacy</t>
  </si>
  <si>
    <t>OB_PyxisMedstation_MTCC_BHH_ADT_RDE_Legacy</t>
  </si>
  <si>
    <t>IB_ProVationApex_WACC_OMC_ORU</t>
  </si>
  <si>
    <t>OB_ProVationApex_WACC_OMC_ADT_ORM</t>
  </si>
  <si>
    <t>OB_Epic771337_WAMT_ORM</t>
  </si>
  <si>
    <t>The immediate use is for Montana orders, but the intention is to move the771321 data to this newer interface design per Epic TS</t>
  </si>
  <si>
    <t>IB_QTel_MT_DFT</t>
  </si>
  <si>
    <t>IB_Epic771312_WM_ORU</t>
  </si>
  <si>
    <t>IB_QTel_MT_MDM</t>
  </si>
  <si>
    <t>OB_NuanceSCAPD_ MT_SWE_WA _ADT</t>
  </si>
  <si>
    <t>POL102093_IS</t>
  </si>
  <si>
    <t>OB_NuanceSCAPD_ MT_SWE_WA _SIU</t>
  </si>
  <si>
    <t>IB_Mayo_MTCC_DLMC_ORU</t>
  </si>
  <si>
    <t>IB_Mayo_MTCC_WMC_ORU</t>
  </si>
  <si>
    <t>OB_DFM_WACC_SHML_ADT_ORM</t>
  </si>
  <si>
    <t>OB_mPower_MT_SWE_WA_ORU</t>
  </si>
  <si>
    <t>IB_C4_SunquestSFV_CA_PHCMC_ORM_ORU</t>
  </si>
  <si>
    <t>OB_Epic771229_WM_RSP</t>
  </si>
  <si>
    <t>OB_HCLL_PHC_ORM-Validation</t>
  </si>
  <si>
    <t>IB_HCLL_PHC_ORU-Validation</t>
  </si>
  <si>
    <t>OB_HCLL_SWE_WA_ADT_ORM</t>
  </si>
  <si>
    <t>IB_HCLL_SWE_WA_ORU</t>
  </si>
  <si>
    <t>IB_HCLL_SWE_WA_DFT</t>
  </si>
  <si>
    <t>IB_ARIA_EWA_PSMMC_DFT</t>
  </si>
  <si>
    <t>OB_Epic771275_WAMT_X12-271</t>
  </si>
  <si>
    <t>OB_ARIA_EWA_PSMMC_ADT</t>
  </si>
  <si>
    <t>IB_Epic771712_WM_ADT</t>
  </si>
  <si>
    <t>IB_Epic771308_WAMT_ORU</t>
  </si>
  <si>
    <t>224811925593</t>
  </si>
  <si>
    <t>IB_C4_SunquestSFV_CA_PTMC_ORM_ORU</t>
  </si>
  <si>
    <t>OB_Epic771289_WAMT_ADT</t>
  </si>
  <si>
    <t>OB_360Encompass_MT_SWE_WA_ADT</t>
  </si>
  <si>
    <t>OB_Synapse_MTCC_CHA_ADT_ORM_ORU</t>
  </si>
  <si>
    <t>OB_360Encompass_MT_SWE_WA_MDM</t>
  </si>
  <si>
    <t>OB_Epic771349_WAMT_ORU</t>
  </si>
  <si>
    <t>IB_Cerner_SWE_WA_ORM_ORU-LAB_MIC</t>
  </si>
  <si>
    <t>OB_Epic770013_WAMT_ORU</t>
  </si>
  <si>
    <t>OB_Epic771015_WAMT_ORU</t>
  </si>
  <si>
    <t>OB_Epic771997_WAMT_ADT</t>
  </si>
  <si>
    <t>IB_Pyxis_IDCC_SMMC_DFT_ZPM</t>
  </si>
  <si>
    <t>OB_Pyxis_IDCC_SMMC_ADT_RDE</t>
  </si>
  <si>
    <t>OB_360Encompass_MT_SWE_WA_MDM-LNKS</t>
  </si>
  <si>
    <t>IB_DeviceConX_SWE_ORU-1</t>
  </si>
  <si>
    <t>OB_Quest_IDCC_SMMC_ORM</t>
  </si>
  <si>
    <t>OB_NRCConnect_SWR_ADT</t>
  </si>
  <si>
    <t>IB_Quest_IDCC_SMMC_ORU</t>
  </si>
  <si>
    <t>OB_Computrition_EWA_PSMMC_ADT_ORM</t>
  </si>
  <si>
    <t>PRJ0288654/49584163</t>
  </si>
  <si>
    <t>IB_DRPACS_MTCC_CFV_ORM</t>
  </si>
  <si>
    <t>OB_IntelliSpacePACS_WWA_PRMCE_ADT_ORM_ORU</t>
  </si>
  <si>
    <t>IB_DIG_WAMT_ADT</t>
  </si>
  <si>
    <t>OB_DIG_WAMT_SIU</t>
  </si>
  <si>
    <t>OB_Epic771003_WAMT_ORM</t>
  </si>
  <si>
    <t>OB_Epic771227_WM_ACK</t>
  </si>
  <si>
    <t>IB_Epic771204_WM_RAS</t>
  </si>
  <si>
    <t>IB_C4_SunquestSFV_CA_ORM_ORU</t>
  </si>
  <si>
    <t>OB_Computrition_SWR_PSPH_ADT_ORM</t>
  </si>
  <si>
    <t>IB_HCLL_PHC_DFT</t>
  </si>
  <si>
    <t>IB_Cerner_SWE_WA_ORU</t>
  </si>
  <si>
    <t>OB_360Encompass_MT_SWE_WA_ORU-LAB</t>
  </si>
  <si>
    <t>OB_360Encompass_MT_SWE_WA_ORU-GI</t>
  </si>
  <si>
    <t>OB_360Encompass_MT_SWE_WA_ORU-RAD</t>
  </si>
  <si>
    <t>OB_360Encompass_MT_SWE_WA_ORU-CARDIO</t>
  </si>
  <si>
    <t>OB_iQueue_MT_WA_SIU</t>
  </si>
  <si>
    <t>IB_HCLL_PHC_DFT-Validation</t>
  </si>
  <si>
    <t>OB_Murj_MT_SWE_WA_WACC_ORU</t>
  </si>
  <si>
    <t>IB_Murj_MT_SWE_WA_WACC_DFT_ORM_ORU</t>
  </si>
  <si>
    <t>OB_Telcor_IDCC_SMMC_ADT</t>
  </si>
  <si>
    <t>IB_Telcor_IDCC_SMMC_ORU</t>
  </si>
  <si>
    <t>OB_BreezeConnect_ORCC_GRH_ORM</t>
  </si>
  <si>
    <t>PRJTASK0198095</t>
  </si>
  <si>
    <t>IB_BreezeConnect_ORCC_GRH_ORU</t>
  </si>
  <si>
    <t>IB_Mosaiq_SWE_DFT</t>
  </si>
  <si>
    <t>IB_Mosaiq_SWE_MDM</t>
  </si>
  <si>
    <t>IB_Mosaiq_SWE_SIU</t>
  </si>
  <si>
    <t>OB_Mosaiq_SWE_ADT</t>
  </si>
  <si>
    <t>OB_Mosaiq_SWE_MDM</t>
  </si>
  <si>
    <t>OB_Epic771009_WAMT_ORU</t>
  </si>
  <si>
    <t>OB_Mosaiq_SWE_SIU</t>
  </si>
  <si>
    <t>OB_Epic771503_WAMT_DFT</t>
  </si>
  <si>
    <t>OB_Epic771505_WAMT_SIU</t>
  </si>
  <si>
    <t>IB_CellNetix_SWE_SWECC_WWA_ORM_ORU</t>
  </si>
  <si>
    <t>IB_CellNetix_SWE_SWECC_WWA_DFT</t>
  </si>
  <si>
    <t>OB_CellNetix_SWE_SWECC_WWA_ADT</t>
  </si>
  <si>
    <t>OB_Epic771341_WAMT_ORU</t>
  </si>
  <si>
    <t>IB_Epic771346_WM_QBP</t>
  </si>
  <si>
    <t>OB_Epic771347_WAMT_RSP</t>
  </si>
  <si>
    <t>IB_Epic771344_WM_QBP</t>
  </si>
  <si>
    <t>OB_Epic771345_WAMT_RSP</t>
  </si>
  <si>
    <t>IB_C3_Epic771502_WAMT_SIU</t>
  </si>
  <si>
    <t>OB_C6_Epic771502_WAMT_SIU</t>
  </si>
  <si>
    <t>Xealth Twistle</t>
  </si>
  <si>
    <t>IB_DeviceConX_SWE_ORU-3</t>
  </si>
  <si>
    <t>OB_PBSWest_ORCC_GRH_ADT</t>
  </si>
  <si>
    <t>OB_PBSWest_ORCC_GRH_ORU</t>
  </si>
  <si>
    <t>IB_Telcor_ORCC_GRH_ORU</t>
  </si>
  <si>
    <t>OB_Telcor_ORCC_GRH_ADT</t>
  </si>
  <si>
    <t>IB_TraceMasterVue_ORCC_GRH_ORU</t>
  </si>
  <si>
    <t>OB_TraceMasterVue_ORCC_GRH_ORM</t>
  </si>
  <si>
    <t>IB_DeviceConX_WACC_WWA_ORU-1</t>
  </si>
  <si>
    <t>OB_Meditech_PSRH_WACC_ADT</t>
  </si>
  <si>
    <t>OB_Meditech_PSRH_WACC_DFT</t>
  </si>
  <si>
    <t>OB_DRPACS_MTCC_CFV_ADT</t>
  </si>
  <si>
    <t>OB_DRPACS_MTCC_CFV_ORM</t>
  </si>
  <si>
    <t>OB_C5_Epic771700_WAMT_ADT</t>
  </si>
  <si>
    <t>OB_C5_Epic771604_WAMT_RDE</t>
  </si>
  <si>
    <t>OB_C5_Epic771342_WAMT_ORU-FLOW</t>
  </si>
  <si>
    <t>OB_C5_Epic771320_WAMT_ORU</t>
  </si>
  <si>
    <t>OB_C7_LabCorp_SWE_ORU</t>
  </si>
  <si>
    <t>Restoring terminated interface</t>
  </si>
  <si>
    <t>IB_BabySteps_SWE_EDM_MDM</t>
  </si>
  <si>
    <t>OB_IntelliSpaceECG_WACC_SHML_ORM</t>
  </si>
  <si>
    <t>Activity code: 554951628301 
Cost center: 49584203</t>
  </si>
  <si>
    <t>IB_IntelliSpaceECG_WACC_SHML_ORU</t>
  </si>
  <si>
    <t>OB_LabCorp_MT_MTCC_WA_WACC_ORM-REFLAB</t>
  </si>
  <si>
    <t>LabCorp has no ports available in the 11nnn and 15nnn series</t>
  </si>
  <si>
    <t>OB_CadLink_SWE_ORM</t>
  </si>
  <si>
    <t>IB_CadLink_SWE_ORU</t>
  </si>
  <si>
    <t>OB_HBS_SWE_ADT</t>
  </si>
  <si>
    <t>Vendor requires custom port</t>
  </si>
  <si>
    <t>OB_LabCorp_MT_SWE_SWECC_WA_ORM</t>
  </si>
  <si>
    <t>OB_BabySteps_MT_MSP_ORU</t>
  </si>
  <si>
    <t>OB_BabySteps_MT_MSP_ADT</t>
  </si>
  <si>
    <t>OB_ClinicalPath_MT_SWE_ADT_SIU</t>
  </si>
  <si>
    <t>OB_TransferCenter_SWE_ADT</t>
  </si>
  <si>
    <t>OB_MyDining_CA_NM_OR_WTX_ADT_ORM</t>
  </si>
  <si>
    <t>Vendor requested ports</t>
  </si>
  <si>
    <t>OB_MyDining_MT_WA_ADT_ORM</t>
  </si>
  <si>
    <t>OB_Iodine_EWA_KRMC_ADT</t>
  </si>
  <si>
    <t>IB_Epic773324_ORCA_QBP</t>
  </si>
  <si>
    <t>OB_Iodine_EWA_KRMC_MDM</t>
  </si>
  <si>
    <t>IB_Epic773326_ORCA_VXU</t>
  </si>
  <si>
    <t>OB_Iodine_EWA_KRMC_ORU</t>
  </si>
  <si>
    <t>OB_Iodine_EWA_KRMC_RDE</t>
  </si>
  <si>
    <t>IB_LabCorp_SWE_WA_ORM</t>
  </si>
  <si>
    <t>IB_MDIT_SWECC_OPA_MDM</t>
  </si>
  <si>
    <t>Moved from CP7 to CP3</t>
  </si>
  <si>
    <t>OB_MDIT_SWECC_OPA_ADT</t>
  </si>
  <si>
    <t>IB_NextGen_SWE_PSI_ORM</t>
  </si>
  <si>
    <t>Moved from CP7 to CP6</t>
  </si>
  <si>
    <t>OB_NextGen_SWE_PSI_ORU</t>
  </si>
  <si>
    <t>OB_eClinical_SWE_EFC_ORU</t>
  </si>
  <si>
    <t xml:space="preserve">OB_Cloverleaf_Epic757751_KRMC_DFT </t>
  </si>
  <si>
    <t>temporary connection for IA</t>
  </si>
  <si>
    <t>OB_PyxisMedstation_SWE_ADT_RDE</t>
  </si>
  <si>
    <t>OB_PyxisMedstation_SWE_MFN</t>
  </si>
  <si>
    <t>IB_PyxisMedstation_SWE_DFT_ZPM</t>
  </si>
  <si>
    <t>IB_Thriveworks_MT_SWE_WA_REF</t>
  </si>
  <si>
    <t>OB_ProVation_WACC_PC_ADT_ORM_SIU</t>
  </si>
  <si>
    <t>IB_ProVation_WACC_PC_ORU</t>
  </si>
  <si>
    <t>OB_PowerScribeOneCriticalReporting_SWE_MFN</t>
  </si>
  <si>
    <t>IB_BreezeConnect_WACC_PC_ORU</t>
  </si>
  <si>
    <t>OB_BreezeConnect_WACC_PC_ORM</t>
  </si>
  <si>
    <t>OB_PowerScribeReporting_SWE_WA_ADT</t>
  </si>
  <si>
    <t>IB_PowerScribeReporting_SWE_ORU</t>
  </si>
  <si>
    <t>OB_Thriveworks_MT_SWE_WA_REF</t>
  </si>
  <si>
    <t>OB_Quadax_SWE_ADT</t>
  </si>
  <si>
    <t>Instance Alignment - New</t>
  </si>
  <si>
    <t>IB_Cerner_SWE_WA_DFT</t>
  </si>
  <si>
    <t>OB_1CALL_WWA_PRMCE_ADT</t>
  </si>
  <si>
    <t>POL104054_IS</t>
  </si>
  <si>
    <t>OB_Sleep_SWE_ADT</t>
  </si>
  <si>
    <t>OB_Sleep_SWE_SIU</t>
  </si>
  <si>
    <t>OB_Apollo_SWE_ADT</t>
  </si>
  <si>
    <t>OB_Apollo_EWA_KRMC_ADT</t>
  </si>
  <si>
    <t>OB_BoneStation_SWE_ORM</t>
  </si>
  <si>
    <t>PRJ0013784</t>
  </si>
  <si>
    <t>IB_BoneStation_SWE_ORU</t>
  </si>
  <si>
    <t>IB_ProVation_SWE_ORU</t>
  </si>
  <si>
    <t>OB_ProVation_SWE_ADT_MFN_ORM</t>
  </si>
  <si>
    <t>OB_EZCareNurseCall_SWE_CH_ADT</t>
  </si>
  <si>
    <t>OB_Axis_SWE_ADT_ORM</t>
  </si>
  <si>
    <t>IB_Axis_SWE_ORU</t>
  </si>
  <si>
    <t>OB_Versus_SWE_PMCCP_ADT</t>
  </si>
  <si>
    <t>OB_Versus_SWE_PMCFH_ADT</t>
  </si>
  <si>
    <t>OB_Versus_SWE_PMCTL_ADT</t>
  </si>
  <si>
    <t>IB_LSI_EWA_KRMC_ORU</t>
  </si>
  <si>
    <t>OB_eCareManager_SWE_ADT</t>
  </si>
  <si>
    <t>OB_eCaremanager_SWE_RDE</t>
  </si>
  <si>
    <t>OB_eCareManager_SWE_ORU-FLOW</t>
  </si>
  <si>
    <t>OB_eCaremanager_SWE_ORU</t>
  </si>
  <si>
    <t>OB_eCareManager_SWE_CH-2C-ICU_ORU</t>
  </si>
  <si>
    <t>OB_eCareManager_SWE_CH-NeuroICU_ORU</t>
  </si>
  <si>
    <t>OB_PolysmithSleepLab_WWA_PRMCE_ADT_ORM</t>
  </si>
  <si>
    <t>OB_PyxisMedstation_SWE_FH-SC_ADT</t>
  </si>
  <si>
    <t>OB_PyxisSupply_SWE_ADT</t>
  </si>
  <si>
    <t>OB_PyxisSupply_SWE_SIU</t>
  </si>
  <si>
    <t>IB_PyxisSupply_SWE_DFT</t>
  </si>
  <si>
    <t>IB_PyxisSupply_SWE_DFT_ZPA</t>
  </si>
  <si>
    <t>OB_NurseCall_SWE_FH-ICU_ADT</t>
  </si>
  <si>
    <t>OB_EZCareNurseCall_SWE_FH_ADT</t>
  </si>
  <si>
    <t>OB_CentricityBusiness_WACC_PC_ADT</t>
  </si>
  <si>
    <t>OB_CentricityBusiness_SWE_FH-SC_ADT_Legacy</t>
  </si>
  <si>
    <t>OB_CentricityBusiness_WACC_PC_DFT</t>
  </si>
  <si>
    <t>OB_CentricityBusiness_SWE_FH-SC_DFT_Legacy</t>
  </si>
  <si>
    <t>IB_Epic771750_WM_DFT</t>
  </si>
  <si>
    <t>OB_NurseCall_SWE_CH_ADT</t>
  </si>
  <si>
    <t>OB_NurseCall_SWE_FH_ADT</t>
  </si>
  <si>
    <t>OB_CNExt-CAS_SWE_ADT</t>
  </si>
  <si>
    <t>IB_Viewpoint_SWE_ORU</t>
  </si>
  <si>
    <t>OB_NurseCall_SWE_ISS_ADT</t>
  </si>
  <si>
    <t>OB_Viewpoint_SWE_ADT_ORM</t>
  </si>
  <si>
    <t>OB_HealthTouch_WA_ADT_ORM</t>
  </si>
  <si>
    <t>PRJ0047236</t>
  </si>
  <si>
    <t>OB_NurseCall_SWE_SOI_ADT</t>
  </si>
  <si>
    <t>OB_Versus_SWE_ADT</t>
  </si>
  <si>
    <t>OB_Medmined_EWA_KRMC_ADT</t>
  </si>
  <si>
    <t>OB_Medmined_EWA_KRMC_RDE</t>
  </si>
  <si>
    <t>OB_CNExt-CAS_SWE_ORU</t>
  </si>
  <si>
    <t>IB_RadNet_SWE_WA_ORU</t>
  </si>
  <si>
    <t>OB_RadNet_SWE_WA_ORM</t>
  </si>
  <si>
    <t>OB_PatientSafetyNet_WACC_PMHC_ADT</t>
  </si>
  <si>
    <t>OB_eCareManager_SWE_ISS_ORU</t>
  </si>
  <si>
    <t>OB_DocQRoute_SWE_FH-SC_ADT</t>
  </si>
  <si>
    <t>IB_DocQRoute_SWE_FH-SC_MDM</t>
  </si>
  <si>
    <t>OB_Computrition_SWE_ADT</t>
  </si>
  <si>
    <t>OB_Inhome_SWE_WA_ADT</t>
  </si>
  <si>
    <t>OB_Spacelabs_SWE_ADT</t>
  </si>
  <si>
    <t>IB_OBIX_SWE_BAL_ORU</t>
  </si>
  <si>
    <t>IB_OBIX_SWE_EDM_ORU</t>
  </si>
  <si>
    <t>IB_OBIX_SWE_FH-L&amp;D_ORU</t>
  </si>
  <si>
    <t>IB_OBIX_SWE_ISS_ORU</t>
  </si>
  <si>
    <t>OB_EndoTool_EWA_KRMC_ADT</t>
  </si>
  <si>
    <t>Instance Alignment - Existing.</t>
  </si>
  <si>
    <t>IB_EndoTool_EWA_KRMC_ORU</t>
  </si>
  <si>
    <t>OB_Sunquest_EWA_KRMC_ADT_ORM_ORR_MFN</t>
  </si>
  <si>
    <t>OB_Sunquest_EWA_KRMC_MFN</t>
  </si>
  <si>
    <t>IB_Sunquest_EWA_KRMC_ORM_ORU</t>
  </si>
  <si>
    <t>IB_Sunquest_EWA_KRMC_DFT</t>
  </si>
  <si>
    <t>OB_LSI_EWA_KRMC_ADT</t>
  </si>
  <si>
    <t>OB_Trace_EWA_KRMC_ADT</t>
  </si>
  <si>
    <t>OB_Viewpoint_EWA_KRMC_ADT_ORM</t>
  </si>
  <si>
    <t>IB_Viewpoint_EWA_KRMC_ORU</t>
  </si>
  <si>
    <t>OB_Radimetrics_EWA_KRMC_ADT</t>
  </si>
  <si>
    <t>OB_Radimetrics_EWA_KRMC_ORM</t>
  </si>
  <si>
    <t>IB_Radimetrics_EWA_KRMC_ORU</t>
  </si>
  <si>
    <t>OB_Brainlab_SWE_ADT_SIU</t>
  </si>
  <si>
    <t>OB_ProVation_EWA_KRMC_ADT_ORM</t>
  </si>
  <si>
    <t>IB_ProVation_EWA_KRMC_ORU</t>
  </si>
  <si>
    <t>OB_MedMined_EWA_KRMC_ORU</t>
  </si>
  <si>
    <t>OB_PyxisMedStation_WACC_PMHC_MFN</t>
  </si>
  <si>
    <t>OB_PyxisMedStation_EWA_KRMC_MFN</t>
  </si>
  <si>
    <t>IB_OBIX_EWA_KRMC_ORU</t>
  </si>
  <si>
    <t>IB_OBIX_WACC_PMHC_ORU</t>
  </si>
  <si>
    <t>OB_VersaCare_WACC_WHMC_ADT</t>
  </si>
  <si>
    <t>IB_VersaCare_WACC_WHMC_MDM</t>
  </si>
  <si>
    <t>IB_C6_Epic771371_WM_ORM</t>
  </si>
  <si>
    <t>IB_Incyte_EWA_KRMC_DFT</t>
  </si>
  <si>
    <t>OB_Incyte_EWA_KRMC_ORM</t>
  </si>
  <si>
    <t>OB_Computrition_EWA_KRMC_ADT_ORM</t>
  </si>
  <si>
    <t>OB_VitalityIQ_EWA_KRMC_ORM_ORU</t>
  </si>
  <si>
    <t>OB_VitalityIQ_EWA_KRMC_ADT</t>
  </si>
  <si>
    <t>OB_Synapse_WACC_PMHC_ADT</t>
  </si>
  <si>
    <t>OB_Synapse_WACC_PMHC_ORM_ORU</t>
  </si>
  <si>
    <t>OB_SynapseVNA_WAMT_ADT</t>
  </si>
  <si>
    <t>Instance Alignment Replacing Existing Connections</t>
  </si>
  <si>
    <t>IB_Trace_EWA_KRMC_MDM</t>
  </si>
  <si>
    <t>IB_Cerner_SWE_WA_DFT_Temp</t>
  </si>
  <si>
    <t>uses Test port only - for Cerner's transition to Kansas City data center</t>
  </si>
  <si>
    <t>IB_Cerner_SWE_WA_DFT_ORM_ORU_Temp</t>
  </si>
  <si>
    <t>IB_Cerner_SWE_WA_ORM_ORU-LAB_MIC_Temp</t>
  </si>
  <si>
    <t>IB_Cerner_SWE_WA_ORM_ORU-REFLAB_Temp</t>
  </si>
  <si>
    <t>IB_Cerner_SWE_WA_ORU_Temp</t>
  </si>
  <si>
    <t>OB_Cerner_SWE_WA_ORM_ORU-REFLAB_Temp</t>
  </si>
  <si>
    <t>OB_Cerner_SWE_WA_WACC_ADT_ORM_ORR_ORU_Temp</t>
  </si>
  <si>
    <t>IB_Medline_WA_DFT</t>
  </si>
  <si>
    <t>OB_SafeNSound_SWE_ORU</t>
  </si>
  <si>
    <t>OB_ParataMax_WWA_RDE</t>
  </si>
  <si>
    <t>PRJ0271531</t>
  </si>
  <si>
    <t>IB_TrensCenter_MTCC_DLMC_MDM</t>
  </si>
  <si>
    <t>OB_TrensCenter_MTCC_DLMC_ADT</t>
  </si>
  <si>
    <t>IB_Epic771634_WM_RDE</t>
  </si>
  <si>
    <t>This connection may be deleted after the passthrough between Corepoint 3 and Corepoint WM Azure has been removed. This connection is using different ports between Corepoint and Epic because they were updated because of the Ephemeral Port issue.</t>
  </si>
  <si>
    <t xml:space="preserve">IB_ ParataMax_WWA_RDS	</t>
  </si>
  <si>
    <t>OB_Muse_MT_MTCC_ADT_ORM</t>
  </si>
  <si>
    <t>224952028564</t>
  </si>
  <si>
    <t>IB_Muse_MT_MTCC_DFT_ORU</t>
  </si>
  <si>
    <t>IB_DeviceConX_EWA_ORCC_WACC_ORU-1</t>
  </si>
  <si>
    <t>IB_DeviceConX_IDCC_MT_MTCC_ORU-1</t>
  </si>
  <si>
    <t>IB_DeviceConX_SWE_ORU-4</t>
  </si>
  <si>
    <t>OB_Hologic_SWE_ADT_ORM</t>
  </si>
  <si>
    <t>112101721939</t>
  </si>
  <si>
    <t>IB_OBIX-ASI_EWA_HFH_ORU</t>
  </si>
  <si>
    <t>IB_OBIX-ASI_EWA_KRMC_ORU</t>
  </si>
  <si>
    <t>IB_OBIX-ASI_EWA_PMCH_ORU</t>
  </si>
  <si>
    <t>IB_OBIX-ASI_EWA_PSHMC_ORU</t>
  </si>
  <si>
    <t>IB_OBIX-ASI_EWA_PSMMC_ORU</t>
  </si>
  <si>
    <t>IB_OBIX-ASI_MT_PSJH_ORU</t>
  </si>
  <si>
    <t>IB_OBIX-ASI_MT_SPH_ORU</t>
  </si>
  <si>
    <t>IB_OBIX-ASI_MTCC_BHH_ORU</t>
  </si>
  <si>
    <t>IB_OBIX-ASI_MTCC_CHA_ORU</t>
  </si>
  <si>
    <t>IB_OBIX-ASI_SWE_BAL_ORU</t>
  </si>
  <si>
    <t>IB_OBIX-ASI_SWE_EDM_ORU</t>
  </si>
  <si>
    <t>IB_OBIX-ASI_SWE_FH-L&amp;D_ORU</t>
  </si>
  <si>
    <t>IB_OBIX-ASI_SWE_ISS_ORU</t>
  </si>
  <si>
    <t>IB_OBIX-ASI_WACC_JHH_ORU</t>
  </si>
  <si>
    <t>IB_OBIX-ASI_WACC_OMC_ORU</t>
  </si>
  <si>
    <t>IB_OBIX-ASI_WACC_PMHC_ORU</t>
  </si>
  <si>
    <t>IB_OBIX-ASI_WACC_SHML_ORU</t>
  </si>
  <si>
    <t>IB_OBIX-ASI_WWA_PCH_ORU</t>
  </si>
  <si>
    <t>IB_OBIX-ASI_WWA_PRMCE_ORU</t>
  </si>
  <si>
    <t>IB_OBIX-ASI_WWA_PSPH_ORU</t>
  </si>
  <si>
    <t>OB_ARIA_WWA_MDM</t>
  </si>
  <si>
    <t>IB_Lumedic_MT_QBP_WS-REST</t>
  </si>
  <si>
    <t>93386200</t>
  </si>
  <si>
    <t>OB_Lumedic_MT_RSP_WS-REST</t>
  </si>
  <si>
    <t>OB_Kronos_WACC_OMC_ADT</t>
  </si>
  <si>
    <t>IB_AcuoVNA_WAMT_ORM</t>
  </si>
  <si>
    <t>49584166</t>
  </si>
  <si>
    <t>OB_AcuoVNA_WAMT_ORM</t>
  </si>
  <si>
    <t>OB_AcuoVNA_WAMT_ADT</t>
  </si>
  <si>
    <t>OB_NuanceCDE_MT_WA_WACC_ORU-CARD_RAD</t>
  </si>
  <si>
    <t>IB_PolysmithSleepLab_WWA_PSPH_ORU</t>
  </si>
  <si>
    <t>OB_PolysmithSleepLab_WWA_PSPH_ADT_ORM</t>
  </si>
  <si>
    <t>IB_Vitalant_EWA_DFT</t>
  </si>
  <si>
    <t>IB_Vitalant_EWA_ORU</t>
  </si>
  <si>
    <t>OB_Vitalant_EWA_ORM</t>
  </si>
  <si>
    <t>IB_Vitalant_EWA_DFT-Validation</t>
  </si>
  <si>
    <t>IB_Vitalant_EWA_ORU-Validation</t>
  </si>
  <si>
    <t>OB_Vitalant_EWA_ORM-Validation</t>
  </si>
  <si>
    <t>OB_Omnicell_IDCC_SMMC_ADT_RDE</t>
  </si>
  <si>
    <t>POL103158_IS</t>
  </si>
  <si>
    <t>IB_Omnicell_IDCC_SMMC_DFT_ZPM</t>
  </si>
  <si>
    <t>OB_ISCV_WACC_SHML_ADT_ORM</t>
  </si>
  <si>
    <t>IB_ISCV_WACC_SHML_MDM</t>
  </si>
  <si>
    <t>OB_ARIA_EWA_ADT</t>
  </si>
  <si>
    <t>OB_ARIA_EWA_MDM</t>
  </si>
  <si>
    <t>OB_ARIA_EWA_ORU</t>
  </si>
  <si>
    <t>OB_ARIA_EWA_SIU</t>
  </si>
  <si>
    <t>IB_ARIA_EWA_DFT</t>
  </si>
  <si>
    <t>IB_ARIA_EWA_MDM</t>
  </si>
  <si>
    <t>IB_ARIA_EWA_ORU</t>
  </si>
  <si>
    <t>IB_ARIA_EWA_SIU</t>
  </si>
  <si>
    <t>IB_Epic771426_WM_ORM</t>
  </si>
  <si>
    <t>OB_WellBeam_WA_ORM</t>
  </si>
  <si>
    <t>IB_WellBeam_WA_ADT_DFT_MDM</t>
  </si>
  <si>
    <t>OB_SynapsePACS_MT_MTCC_SWE_WA_WACC_ADT</t>
  </si>
  <si>
    <t>OB_Responder5NurseCall_WACC_SHML_ADT</t>
  </si>
  <si>
    <t>OB_Novarad_MTCC_DLMC_ADT_ORM_ORU</t>
  </si>
  <si>
    <t>IB_Novarad_MTCC_DLMC_ORM</t>
  </si>
  <si>
    <t>IB_CharlieHealth_MT_SWE_WA_REF</t>
  </si>
  <si>
    <t>OB_CharlieHealth_MT_SWE_WA_REF</t>
  </si>
  <si>
    <t>IB_Epic771640_WM_ORM</t>
  </si>
  <si>
    <t>IB_TotalTriage_WA_MDM</t>
  </si>
  <si>
    <t>IB_Epic771366_WM_ORU</t>
  </si>
  <si>
    <t>OB_DocASAP_MT_WA_ADT_SIU</t>
  </si>
  <si>
    <t>489-84156</t>
  </si>
  <si>
    <t>OB_NeuroWorkbench_WWA_PRMCE_ORM</t>
  </si>
  <si>
    <t>OB_HospitalOvercrowding_MT_WA_MDM</t>
  </si>
  <si>
    <t>POL101046_IS</t>
  </si>
  <si>
    <t>OB_HospitalOvercrowding_MT_WA_SIU</t>
  </si>
  <si>
    <t>OB_BioMerieux_MT_SWE_WA_ORU</t>
  </si>
  <si>
    <t>POL104442</t>
  </si>
  <si>
    <t>IB_Epic771352_WM_ORU</t>
  </si>
  <si>
    <t>OB_GE-MissionControl_WA_ORU</t>
  </si>
  <si>
    <t>POL104336_IS // 62386159</t>
  </si>
  <si>
    <t>OB_ProVation_WACC_PMHC_ADT_ORM</t>
  </si>
  <si>
    <t>IB_ProVation_WACC_PMHC_ORU</t>
  </si>
  <si>
    <t>IB_PolysmithSleepLab_EWA_PSMMC_ORU</t>
  </si>
  <si>
    <t>OB_PowerScribeOne_SWE_WWA_ADT</t>
  </si>
  <si>
    <t>PRJ438493</t>
  </si>
  <si>
    <t>OB_PowerScribeOne_SWE_WWA_ORM_ORU</t>
  </si>
  <si>
    <t>IB_PowerScribeOne_SWE_WWA_ORU</t>
  </si>
  <si>
    <t>OB_SkagitRadiology_WACC_JHH_ADT</t>
  </si>
  <si>
    <t>POL104713_IS</t>
  </si>
  <si>
    <t>OB_SkagitRadiology_WACC_JHH_ORM_ORU</t>
  </si>
  <si>
    <t>IB_SkagitRadiology_WACC_JHH_ORU</t>
  </si>
  <si>
    <t>OB_TEGManager_EWA_KRMC_ADT</t>
  </si>
  <si>
    <t>POL104269_IS</t>
  </si>
  <si>
    <t>OB_CentricityBusiness_SWE_FH-SC_ADT</t>
  </si>
  <si>
    <t>POL104710_IS</t>
  </si>
  <si>
    <t>OB_CentricityBusiness_SWE_FH-SC_DFT</t>
  </si>
  <si>
    <t>OB_emsCHARTS_ORCC_WMH_ADT</t>
  </si>
  <si>
    <t>POL104598_IS</t>
  </si>
  <si>
    <t>IB_emsCHARTS_ORCC_WMH_MDM</t>
  </si>
  <si>
    <t>OB_PatientSafetyNet_WA_ADT</t>
  </si>
  <si>
    <t>IB_ClinicalPath_MT_SWE_MDM</t>
  </si>
  <si>
    <t>OB_HospitalOvercrowding_MT_WA_MTCC_WACC_RDE</t>
  </si>
  <si>
    <t>IB_Epic771200_WM_PPR</t>
  </si>
  <si>
    <t>OB_HospitalOvercrowding_MT_WA_MTCC_WACC_PPR</t>
  </si>
  <si>
    <t>OB_HealthShareIE_MT_MTCC_ADT</t>
  </si>
  <si>
    <t>POL104666_IS</t>
  </si>
  <si>
    <t>OB_HealthShareIE_MT_MTCC_ORU-LAB</t>
  </si>
  <si>
    <t>OB_HealthShareIE_MT_MTCC_ORU</t>
  </si>
  <si>
    <t>OB_HealthShareIE_MT_MTCC_MDM</t>
  </si>
  <si>
    <t>IB_PyxisMedstation_MTCC_DLMC_DFT_ZPM</t>
  </si>
  <si>
    <t>POL104472_IS</t>
  </si>
  <si>
    <t>OB_PyxisMedstation_MTCC_DLMC_ADT_RDE</t>
  </si>
  <si>
    <t>OB_MortaraELI_WACC_KPC_ORM</t>
  </si>
  <si>
    <t>651684835065001</t>
  </si>
  <si>
    <t>IB_MortaraELI_WACC_KPC_ORU</t>
  </si>
  <si>
    <t>OB_Telcor_WACC_PRH_ADT</t>
  </si>
  <si>
    <t>POL104926_IS</t>
  </si>
  <si>
    <t>IB_Telcor_WACC_PRH_ORU</t>
  </si>
  <si>
    <t>OB_TEGManager_SWE_CH_ADT</t>
  </si>
  <si>
    <t>OB_PyxisMedstation_WACC_SPMC_ADT_RDE</t>
  </si>
  <si>
    <t>POL105130_IS</t>
  </si>
  <si>
    <t>IB_PyxisMedstation_WACC_SPMC_DFT_ZPM</t>
  </si>
  <si>
    <t>OB_PyxisMedstation_WACC_SPMC_MFN</t>
  </si>
  <si>
    <t>OB_PolysmithSleepLab_SWE_PMCNG_ADT_ORM</t>
  </si>
  <si>
    <t>IB_PolysmithSleepLab_SWE_PMCNG_ORU</t>
  </si>
  <si>
    <t>OB_PyxisSupply_WACC_PRH_ADT</t>
  </si>
  <si>
    <t>IB_PyxisSupply_WACC_PRH_DFT</t>
  </si>
  <si>
    <t>OB_Mindray_WACC_SPMC_ADT</t>
  </si>
  <si>
    <t>OB_ProVationApex_WACC_SPMC_ADT_ORM</t>
  </si>
  <si>
    <t>IB_ProVationApex_WACC_SPMC_ORU</t>
  </si>
  <si>
    <t>IB_OBIX_WACC_PRH_ORU</t>
  </si>
  <si>
    <t>IB_OBIX-ASI_WACC_PRH_ORU</t>
  </si>
  <si>
    <t>OB_PolysmithSleepLab_WACC_PRH_ADT_ORM</t>
  </si>
  <si>
    <t>IB_PolysmithSleepLab_WACC_PRH_ORU</t>
  </si>
  <si>
    <t>OB_PyxisMedstation_WACC_PRH_ADT_RDE</t>
  </si>
  <si>
    <t>CT Pullman Acute</t>
  </si>
  <si>
    <t>OB_PyxisMedstation_WACC_PRH_MFN</t>
  </si>
  <si>
    <t>IB_PyxisMedstation_WACC_PRH_DFT_ZPM</t>
  </si>
  <si>
    <t>IB_Epic771274_WM_X12-270</t>
  </si>
  <si>
    <t>OB_Mindray_WACC_LH_ADT</t>
  </si>
  <si>
    <t>IB_Experian_WAMT_X12-275</t>
  </si>
  <si>
    <t>IB_OBIX-ASI_ORCC_WMH_ORU</t>
  </si>
  <si>
    <t>Operational</t>
  </si>
  <si>
    <t>OB_SoftScript_WACC_PRH_ADT</t>
  </si>
  <si>
    <t>IB_SoftScript_WACC_PRH_ORU</t>
  </si>
  <si>
    <t>OB_IntelliSpacePACS_WACC_SPMC_ADT_ORM_ORU</t>
  </si>
  <si>
    <t>IB_IntelliSpacePACS_WACC_SPMC_ORM</t>
  </si>
  <si>
    <t>IB_Studycast_WACC_PRH_ORU</t>
  </si>
  <si>
    <t>OB_Studycast_WACC_PRH_ORM</t>
  </si>
  <si>
    <t>OB_PyxisLogistics_EWA_SWE_RDE</t>
  </si>
  <si>
    <t>OB_PyxisLogistics_WA_RDE</t>
  </si>
  <si>
    <t>OB_PyxisLogistics_MT_MTCC_RDE</t>
  </si>
  <si>
    <t>OB_DatixWeb_WACC_PRH_ADT</t>
  </si>
  <si>
    <t>OB_Hicuity_WACC_SPMC_ADT</t>
  </si>
  <si>
    <t>IB_VersaCare_MTCC_MBH_MDM</t>
  </si>
  <si>
    <t>OB_VersaCare_MTCC_BHH_ADT</t>
  </si>
  <si>
    <t>OB_Responder5NurseCall_SWE_FH_ADT</t>
  </si>
  <si>
    <t>OB_BreezeConnect_WACC_JHH_ORM</t>
  </si>
  <si>
    <t>IB_BreezeConnect_WACC_JHH_ORU</t>
  </si>
  <si>
    <t>OB_PyxisMedstation_MTCC_BHH_ADT_RDE</t>
  </si>
  <si>
    <t>IB_PyxisMedstation_MTCC_BHH_DFT_ZPM</t>
  </si>
  <si>
    <t>OB_PyxisMedstation_WACC_LH_ADT_RDE_Legacy</t>
  </si>
  <si>
    <t>IB_PyxisMedstation_WACC_LH_DFT_ZPM_Legacy</t>
  </si>
  <si>
    <t>IB_Epic771228_WM_QBP</t>
  </si>
  <si>
    <t>IB_Epic771226_WM_VXU</t>
  </si>
  <si>
    <t>OB_VersaCare_WACC_JHH_ADT</t>
  </si>
  <si>
    <t>IB_VersaCare_WACC_JHH_MDM</t>
  </si>
  <si>
    <t>IB_PolysmithSleepLab_WWA_PRMCE_ORU</t>
  </si>
  <si>
    <t>IB_Epic771202_WAMT_ORM</t>
  </si>
  <si>
    <t>OB_Zotec_WACC_OMC_ADT</t>
  </si>
  <si>
    <t>IB_CadenceRPM_MT_WA_DFT</t>
  </si>
  <si>
    <t>IB_CadenceRPM_MT_WA_MDM-PDF</t>
  </si>
  <si>
    <t>IB_CadenceRPM_MT_WA_MDM</t>
  </si>
  <si>
    <t>OB_CadenceRPM_MT_WA_ORM</t>
  </si>
  <si>
    <t>IB_ARIA_EWA_PSMMC_MDM</t>
  </si>
  <si>
    <t>OB_TrensCenter_WACC_WHMC_ADT</t>
  </si>
  <si>
    <t>IB_ TrensCenter_WACC_WHMC_MDM</t>
  </si>
  <si>
    <t>IB_PyxisMedstation_WACC_WHMC_DFT_ZPM</t>
  </si>
  <si>
    <t>OB_PyxisMedstation_WACC_WHMC_ADT_RDE</t>
  </si>
  <si>
    <t>OB_PyxisMedstation_WACC_WHMC_MFN</t>
  </si>
  <si>
    <t>OB_Telcor_WACC_WHMC_ADT</t>
  </si>
  <si>
    <t>IB_Telcor_WACC_WHMC_ORU</t>
  </si>
  <si>
    <t>IB_Studycast_WACC_WHMC_ORU</t>
  </si>
  <si>
    <t>OB_Studycast_WACC_WHMC_ORM</t>
  </si>
  <si>
    <t>OB_Stella_WACC_WHMC_ADT_ORM</t>
  </si>
  <si>
    <t>OB_Experian_WAMT_X12-274</t>
  </si>
  <si>
    <t>IB_NGSReporter_WAMT_ORU</t>
  </si>
  <si>
    <t>IB_OBIX_ORCC_WMH_ORU</t>
  </si>
  <si>
    <t>OB_Stella_WACC_PRH_ADT</t>
  </si>
  <si>
    <t>OB_Stella_WACC_PRH_ORM</t>
  </si>
  <si>
    <t>OB_Omnicell_IDCC_SMMC_RAS</t>
  </si>
  <si>
    <t>OB_Omnicell_IDCC_SMMC_SIU</t>
  </si>
  <si>
    <t>OB_Responder5NurseCall_WACC_WHMC_ADT</t>
  </si>
  <si>
    <t>IB_C4_Epic773344_ORCA_VXU</t>
  </si>
  <si>
    <t>OB_Stella_WACC_PRH_ADT_ORM</t>
  </si>
  <si>
    <t>IB_PowerScribeOneEssentials_WACC_WHMC_ORU</t>
  </si>
  <si>
    <t>OB_PowerScribeOneEssentials_WACC_WHMC_ADT_ORM</t>
  </si>
  <si>
    <t>OB_vRad_WACC_WHMC_ORM</t>
  </si>
  <si>
    <t>OB_vRad_WACC_WHMC_ORU</t>
  </si>
  <si>
    <t>OB_vRad_WACC_WHMC_ADT </t>
  </si>
  <si>
    <t>IB_vRad_WACC_WHMC_ORU</t>
  </si>
  <si>
    <t>IB_OBIX_WACC_WHMC_ORU</t>
  </si>
  <si>
    <t>IB_OBIX-ASI_WACC_WHMC_ORU</t>
  </si>
  <si>
    <t>OB_BabySteps_EWA_SWE_MDM</t>
  </si>
  <si>
    <t>OB_PatientSafetyNet_MT_ADT</t>
  </si>
  <si>
    <t>IB_HealthshareIE_WAMT_ADT</t>
  </si>
  <si>
    <t>IB_HealthshareIE_WAMT_ORM</t>
  </si>
  <si>
    <t>OB_1Call_MT_MTCC_ADT</t>
  </si>
  <si>
    <t>IB_Mosaiq_WACC_CCNW_DFT</t>
  </si>
  <si>
    <t>IB_Mosaiq_WACC_CCNW_MDM</t>
  </si>
  <si>
    <t>IB_Mosaiq_WACC_CCNW_SIU</t>
  </si>
  <si>
    <t>OB_CadLink_SWE_PMC_ORM</t>
  </si>
  <si>
    <t>IB_CadLink_SWE_PMC_ORU</t>
  </si>
  <si>
    <t>OB_Cortex_WACC_WHMC_ADT</t>
  </si>
  <si>
    <t>OB_HRP_MT_SWE_WA_ADT</t>
  </si>
  <si>
    <t>OB_HRP_WACC_PRH_ADT</t>
  </si>
  <si>
    <t>OB_iHeal_WACC_PMHC_SIU</t>
  </si>
  <si>
    <t>OB_iHeal_WACC_PMHC_ADT</t>
  </si>
  <si>
    <t>IB_iHeal_WACC_PMHC_DFT</t>
  </si>
  <si>
    <t>IB_iHeal_WACC_PMHC_ORU</t>
  </si>
  <si>
    <t>OB_NeuroWorkbench_EWA_PSMMC_ORM</t>
  </si>
  <si>
    <t>OB_NeuroWorkbench_MT_SPH_ORM</t>
  </si>
  <si>
    <t>OB_Telcor_WACC_PMHC_ADT</t>
  </si>
  <si>
    <t>IB_Telcor_WACC_PMHC_ORU</t>
  </si>
  <si>
    <t>OB_PyxisMedstation_WACC_LH_ADT_RDE</t>
  </si>
  <si>
    <t>IB_PyxisMedstation_WACC_LH_DFT_ZPM</t>
  </si>
  <si>
    <t>IB_Epic771318_WAMT_ORM_ORR</t>
  </si>
  <si>
    <t>IA New
Not in CPWM PROD</t>
  </si>
  <si>
    <t>OB_FollowUpManager_MT_SWE_WA_ADT</t>
  </si>
  <si>
    <t>OB_FollowUpManager_MT_SWE_WA_ORM_ORU</t>
  </si>
  <si>
    <t>OB_FollowUpManager_MT_SWE_WA_MFN</t>
  </si>
  <si>
    <t>OB_YellowstonePath_MTCC_DLMC_ORM</t>
  </si>
  <si>
    <t>IB_YellowstonePath_MTCC_DLMC_DFT_ORU</t>
  </si>
  <si>
    <t>OB_PyxisMedstation_WACC_LH_MFN</t>
  </si>
  <si>
    <t>OB_Cortex_WACC_WHMC_MDM</t>
  </si>
  <si>
    <t>OB_Cortex_WACC_WHMC_ORM</t>
  </si>
  <si>
    <t>OB_Cortex_WACC_WHMC_ ORU</t>
  </si>
  <si>
    <t>OB_Cortex_WACC_WHMC_RAS</t>
  </si>
  <si>
    <t>IB_Sentri7_WACC_PRH_MDM</t>
  </si>
  <si>
    <t>OB_ProVationApex_WACC_NHHS_ADT_ORM</t>
  </si>
  <si>
    <t>IB_ProVationApex_WACC_NHHS_ORU</t>
  </si>
  <si>
    <t>OB_Mosaiq_EWA_WACC_ADT</t>
  </si>
  <si>
    <t>OB_Mosaiq_WACC_CCNW_MDM</t>
  </si>
  <si>
    <t>OB_Mosaiq_WACC_CCNW_SIU</t>
  </si>
  <si>
    <t>OB_Zotec_WWA_PSPH_ADT</t>
  </si>
  <si>
    <t>IB_Epic771004_WM_ORM</t>
  </si>
  <si>
    <t>IB_Epic771006_WM_ORM</t>
  </si>
  <si>
    <t>OB_C4_Epic771004_WAMT_ORM</t>
  </si>
  <si>
    <t>OB_C4_Epic771006_WAMT_ORM</t>
  </si>
  <si>
    <t>IB_GE-CCW_WA_ORU</t>
  </si>
  <si>
    <t>OB_GE-CCW_WA_ADT</t>
  </si>
  <si>
    <t>OB_GE-CCW_WA_ORM</t>
  </si>
  <si>
    <t>OB_Continuum_WACC_PRH_ADT</t>
  </si>
  <si>
    <t>OB_Continuum_WACC_PRH_ORM</t>
  </si>
  <si>
    <t>IB_Prevention4Me_WWA_PRMCE_ORM</t>
  </si>
  <si>
    <t>IB_Prevention4Me_WWA_PRMCE_MDM</t>
  </si>
  <si>
    <t>IB_DeviceConX_IDCC_MT_MTCC_ORU-2</t>
  </si>
  <si>
    <t>IB_DeviceConX_EWA_ORCC_WACC_ORU-2</t>
  </si>
  <si>
    <t>IB_DeviceConX_SWE_ORU-2</t>
  </si>
  <si>
    <t>IB_DeviceConX_WACC_WWA_ORU-2</t>
  </si>
  <si>
    <t>OB_Sentri7_WACC_PRH_ADT</t>
  </si>
  <si>
    <t>OB_Sentri7_WACC_PRH_RDE</t>
  </si>
  <si>
    <t>OB_Sentri7_WACC_PRH_RAS</t>
  </si>
  <si>
    <t>IB_Epic771616_WM_RDE</t>
  </si>
  <si>
    <t>IB_Viewpoint_SWE_WA_WACC_ORU</t>
  </si>
  <si>
    <t>OB_Viewpoint_SWE_WA_WACC_ADT_ORM</t>
  </si>
  <si>
    <t>OB_Nucleus _WACC_CCNW_ADT_RDE</t>
  </si>
  <si>
    <t>OB_Sentri7_WACC_PRH_ORU</t>
  </si>
  <si>
    <t>OB_ONCOLog_MT_SWE_WA_ORU</t>
  </si>
  <si>
    <t>IB_GenomicsNow_WWA_PRMCE_ORU</t>
  </si>
  <si>
    <t>OB_Preventice_SWE_ORM</t>
  </si>
  <si>
    <t>IB_Omnicell_WACC_PSRH_DFT_ZPM</t>
  </si>
  <si>
    <t>OB_Omnicell_WACC_PSRH_ADT_RDE</t>
  </si>
  <si>
    <t>IB_Mosaiq_WWA_PRMCE_MDM</t>
  </si>
  <si>
    <t>IB_Mosaiq_WWA_PRMCE_SIU</t>
  </si>
  <si>
    <t>OB_Mosaiq_WWA_PRMCE_MDM</t>
  </si>
  <si>
    <t>OB_Mosaiq_WWA_PRMCE_SIU</t>
  </si>
  <si>
    <t>OB_360Encompass_MT_SWE_WA_ORU-FLOW</t>
  </si>
  <si>
    <t>OB_Dragonfly_MT_SWE_WA_WACC_ORU-FLOW</t>
  </si>
  <si>
    <t>OB_iQueue_MT_SWE_WA_ORU</t>
  </si>
  <si>
    <t>OB_iQueue_MT_SWE_WA_RDE</t>
  </si>
  <si>
    <t>OB_iQueue_MT_SWE_WA_RAS</t>
  </si>
  <si>
    <t>IB_Epic771608_WM_RDE</t>
  </si>
  <si>
    <t>OB_HealthShareIE_WAMT_DFT</t>
  </si>
  <si>
    <t>OB_Zio_SWE_ADT_ORM</t>
  </si>
  <si>
    <t>OB_IntelliBridge_SWE_WA_ADT</t>
  </si>
  <si>
    <t>IB_IntelliBridge_SWE_WA_MDM</t>
  </si>
  <si>
    <t>IB_CadenceRPM_MT_WA_ORM</t>
  </si>
  <si>
    <t>OB_SentrySuite_ORCC_GRH_ORM</t>
  </si>
  <si>
    <t>IB_SentrySuite_ORCC_GRH_ORU</t>
  </si>
  <si>
    <t>OB_ARIA_MT_SPH_ADT</t>
  </si>
  <si>
    <t>OB_ARIA_MT_SPH_SIU</t>
  </si>
  <si>
    <t>OB_ARIA_MT_SPH_MDM</t>
  </si>
  <si>
    <t>IB_ARIA_ARIA_MT_SPH_DFT</t>
  </si>
  <si>
    <t>IB_ARIA_MT_SPH_MDM</t>
  </si>
  <si>
    <t>IB_ARIA_MT_SPH_ORU</t>
  </si>
  <si>
    <t>IB_ARIA_MT_SPH_SIU</t>
  </si>
  <si>
    <t>OB_IntelliBridge_MT _ADT</t>
  </si>
  <si>
    <t>IB_IntelliBridge_MT _MDM</t>
  </si>
  <si>
    <t>OB_360Encompass_MT_SWE_WA_ORU-CARD</t>
  </si>
  <si>
    <t>OB_VersaCare_WACC_PMHC_ADT</t>
  </si>
  <si>
    <t>IB_VersaCare_WACC_PMHC_MDM</t>
  </si>
  <si>
    <t>OB_Aceso_SWE_ADT</t>
  </si>
  <si>
    <t>OB_Dragonfly_MT_SWE_WA_WACC_SIU</t>
  </si>
  <si>
    <t>IB_Epic771708_WAMT_ADT</t>
  </si>
  <si>
    <t>IB_Dragonfly_MT_SWE_WA_WACC_ADT</t>
  </si>
  <si>
    <t>OB_Studycast_WACC_SPMC_ORM</t>
  </si>
  <si>
    <t>IB_Studycast_WACC_SPMC_ORU</t>
  </si>
  <si>
    <t>IB_Xealth_MT_SWE_WA_ORU</t>
  </si>
  <si>
    <t>IB_NeoGenomics_WAMT_ORU</t>
  </si>
  <si>
    <t>OB_NeoGenomics_WAMT_ORM</t>
  </si>
  <si>
    <t>IB_OBIX_ORCC_GRH_ORU</t>
  </si>
  <si>
    <t>IB_OBIX-ASI_ORCC_GRH_ORU</t>
  </si>
  <si>
    <t>IB_ARIA_WACC_JHH_DFT</t>
  </si>
  <si>
    <t>IB_ARIA_WACC_JHH_MDM</t>
  </si>
  <si>
    <t>IB_ARIA_WACC_JHH_ORU</t>
  </si>
  <si>
    <t>IB_ARIA_WACC_JHH_SIU</t>
  </si>
  <si>
    <t>OB_ARIA_WACC_JHH_MDM</t>
  </si>
  <si>
    <t>OB_ARIA_WACC_JHH_SIU</t>
  </si>
  <si>
    <t>OB_ARIA_WACC_JHH_ADT</t>
  </si>
  <si>
    <t>IB_iBedWireless_WACC_SHML_ORU</t>
  </si>
  <si>
    <t>IB_CadLink_WACC_SHML_ORU</t>
  </si>
  <si>
    <t>OB_CadLink_WACC_SHML_ORM</t>
  </si>
  <si>
    <t>Temp ports</t>
  </si>
  <si>
    <t>OB_VascuPro_SWE_ORM</t>
  </si>
  <si>
    <t>IB_VascuPro_SWE_ORU</t>
  </si>
  <si>
    <t>OB_iQueue_WA_ADT</t>
  </si>
  <si>
    <t>OB_Artera_WACC_PMHC_SIU</t>
  </si>
  <si>
    <t>OB_Unifier_WAMT_ORM</t>
  </si>
  <si>
    <t>OB_Telcor_WACC_SPMC_ADT</t>
  </si>
  <si>
    <t>IB_Telcor_WACC_SPMC_ORU</t>
  </si>
  <si>
    <t>OB_MyDining_AK_ADT_ORM_ORU</t>
  </si>
  <si>
    <t>vendor requested port 31499 for test and 32281 for prod</t>
  </si>
  <si>
    <t>OB_BambooHealth_WM_ADT</t>
  </si>
  <si>
    <t>Vendor Requested port 31509 for test</t>
  </si>
  <si>
    <t>Vendor Requested port 31510 for test</t>
  </si>
  <si>
    <t>OB_TheraNow_MT_SWE_WA_REF</t>
  </si>
  <si>
    <t>IB_TheraNow_MT_SWE_WA_REF</t>
  </si>
  <si>
    <t>OB_TheraNow_MT_SWE_WA_SIU</t>
  </si>
  <si>
    <t>IB_TheraNow_MT_SWE_WA_SIU</t>
  </si>
  <si>
    <t>OB_TheraNow_MT_SWE_WA_ADT</t>
  </si>
  <si>
    <t>IB_TheraNow_MT_SWE_WA_ORU</t>
  </si>
  <si>
    <t>IB_TheraNow_MT_SWE_WA_MDM</t>
  </si>
  <si>
    <t>IB_TheraNow_MT_SWE_WA_DFT</t>
  </si>
  <si>
    <t>IB_CadenceRPM_MT_WA_ORU</t>
  </si>
  <si>
    <t>OB_OneView_WACC_SPMC_ADT_ORM_ORU</t>
  </si>
  <si>
    <t>OB_Telcor_WACC_SHML_ADT</t>
  </si>
  <si>
    <t>IB_Telcor_WACC_SHML_ORU</t>
  </si>
  <si>
    <t>OB_ARIA_EWA_PSMMC_SIU</t>
  </si>
  <si>
    <t>OB_ARIA_EWA_PSMMC_MDM</t>
  </si>
  <si>
    <t>IB_ARIA_EWA_PSMMC_SIU</t>
  </si>
  <si>
    <t>IB_ARIA_EWA_PSMMC_ORU</t>
  </si>
  <si>
    <t>Corepoint_Alerts_Monitor</t>
  </si>
  <si>
    <t>OB_Quest_MTCC_SCH_ORM</t>
  </si>
  <si>
    <t>Prod IP is non-standard at vendor's request</t>
  </si>
  <si>
    <t>OB_Quest_WACC_SHML_ORM</t>
  </si>
  <si>
    <t>Prod port is non-standard at vendor's request</t>
  </si>
  <si>
    <t>OB_MorriseyCCM_ORCC_GRH_ADT</t>
  </si>
  <si>
    <t>OB_Experian_WAMT_ADT</t>
  </si>
  <si>
    <t xml:space="preserve">STAGING </t>
  </si>
  <si>
    <t>Comments</t>
  </si>
  <si>
    <t>OB_Kaiser_OR_MDM</t>
  </si>
  <si>
    <t>OB_Kaiser_OR_ORU</t>
  </si>
  <si>
    <t>OB_Kaiser_OR_ADT</t>
  </si>
  <si>
    <t>OB_CipherHealth_CA_OR_WTX_ADT</t>
  </si>
  <si>
    <t>OB_AdventistHealth_OR_ORU</t>
  </si>
  <si>
    <t>OB_QS1_CA_ADT</t>
  </si>
  <si>
    <t>Vendor insists on these ports</t>
  </si>
  <si>
    <t>OB_Vituity_SCA_SMMCAV_ADT</t>
  </si>
  <si>
    <t>OB_Vituity_SCA_PSJHC_ADT</t>
  </si>
  <si>
    <t>OB_TotalTriage_CA_OR_WTX_RDE</t>
  </si>
  <si>
    <t>Vendor moving to AWS</t>
  </si>
  <si>
    <t>OB_TotalTriage_CA_OR_WTX_ADT</t>
  </si>
  <si>
    <t>OB_CapsLink_SCA_RDE</t>
  </si>
  <si>
    <t>OB_Medline_OR_SCA_ADT</t>
  </si>
  <si>
    <t>IB_AdminProto01</t>
  </si>
  <si>
    <t>IB_AdminProto02</t>
  </si>
  <si>
    <t>IB_AdminProto03</t>
  </si>
  <si>
    <t>IB_AdminProto04</t>
  </si>
  <si>
    <t>IB_AdminProto05</t>
  </si>
  <si>
    <t>OB_Computrition_OR_ADT_ORM</t>
  </si>
  <si>
    <t>OB_QS1_SCA_SJHO_ADT</t>
  </si>
  <si>
    <t xml:space="preserve">CP4 </t>
  </si>
  <si>
    <t>OB_Mayo_CA_OR_ORM</t>
  </si>
  <si>
    <t>Based on request from vendor for non-standard port on CP6</t>
  </si>
  <si>
    <t>OB_R1-Clear_OR_WTX_ADT</t>
  </si>
  <si>
    <t>OB_DAX_SCA_ADT_SIU</t>
  </si>
  <si>
    <t>IB_Vision_OR_MDM</t>
  </si>
  <si>
    <t>Vendor requested</t>
  </si>
  <si>
    <t>621-74801 PRJ0073241</t>
  </si>
  <si>
    <t>OB_Vision_OR_ADT_ORM</t>
  </si>
  <si>
    <t>OB_OHSU_OR_PO_ORU</t>
  </si>
  <si>
    <t>OB_Vision_ORCC_SIU</t>
  </si>
  <si>
    <t>POL105244_IS</t>
  </si>
  <si>
    <t>OB_EpiCenter_CACC_CMHC_ADT</t>
  </si>
  <si>
    <t>created non standard ports based on vendor request</t>
  </si>
  <si>
    <t>OB_Interpath_ORCC_CGFM_ORM</t>
  </si>
  <si>
    <t>Vendor requires non-std port</t>
  </si>
  <si>
    <t>OB_R1-Clear_CA_NM_ADT</t>
  </si>
  <si>
    <t>Vendor supported ports</t>
  </si>
  <si>
    <t>OB_AthenaHealth_OR_MDM_ORU</t>
  </si>
  <si>
    <t>OB_Agility_WTX_ORU</t>
  </si>
  <si>
    <t>OB_Agility_CACC_FMC_ORU-Lab</t>
  </si>
  <si>
    <t>POL104256_IS</t>
  </si>
  <si>
    <t>OB_Agility_CACC_FMC _ORU-Rad</t>
  </si>
  <si>
    <t>IB_C3_OnBase_PHS_MDM_ORU</t>
  </si>
  <si>
    <t>OB_DocASAP_CA_OR_ADT_SIU</t>
  </si>
  <si>
    <t>OB_Greenway_OR_ORU</t>
  </si>
  <si>
    <t>OB_Epic772107_ORCA_MDM</t>
  </si>
  <si>
    <t>OB_Epic773305_ORCA_ORU</t>
  </si>
  <si>
    <t>OB_Epic772315_ORCA_ORM</t>
  </si>
  <si>
    <t>OB_Quest-WH_CA_ORM</t>
  </si>
  <si>
    <t>IB_Quest-WH_CA_ORU</t>
  </si>
  <si>
    <t>IB_NGS_OR_ORU</t>
  </si>
  <si>
    <t>OB_Epic772305_ORCA_ORU</t>
  </si>
  <si>
    <t>OB_Epic772751_ORCA_DFT</t>
  </si>
  <si>
    <t>OB_NextGen_OR_MCMC_ORU</t>
  </si>
  <si>
    <t>OB_Epic772301_ORCA_ORM_ORU</t>
  </si>
  <si>
    <t>OB_Quest_ORCC_STFP_ORM</t>
  </si>
  <si>
    <t>Activity #: 55495161003</t>
  </si>
  <si>
    <t>OB_Epic772303_ORCA_ORU</t>
  </si>
  <si>
    <t>IB_Quest_ORCC_STFP_ORU</t>
  </si>
  <si>
    <t>IB_Epic772300_ORCA_ORU</t>
  </si>
  <si>
    <t>55495161001</t>
  </si>
  <si>
    <t>OB_Epic772103_ORCA_ZBI</t>
  </si>
  <si>
    <t>OB_PATS_OR_ADT</t>
  </si>
  <si>
    <t>49584161</t>
  </si>
  <si>
    <t>OB_Epic772803_ORCA_MFN</t>
  </si>
  <si>
    <t>OB_Appriss_OR_ADT</t>
  </si>
  <si>
    <t>OB_NurseCall_OR_PPMC_ADT</t>
  </si>
  <si>
    <t>OB_Epic772317_ORCA_ORU</t>
  </si>
  <si>
    <t>IB_Epic772408_ORCA_ORM</t>
  </si>
  <si>
    <t>OB_HCLL_CA_PSJHC_ADT</t>
  </si>
  <si>
    <t>OB_HCLL_CA_PSJHC_ORM</t>
  </si>
  <si>
    <t>IB_HCLL_CA_PSJHC_ORU</t>
  </si>
  <si>
    <t>IB_HCLL_CA_PSJHC_DFT</t>
  </si>
  <si>
    <t>IB_Epic772700_ORCA_ADT</t>
  </si>
  <si>
    <t>OB_HospitalOvercrowding_SCA_ADT_ORM</t>
  </si>
  <si>
    <t>5/13/20 - Aaron Dayton will provide the activity code</t>
  </si>
  <si>
    <t>OB_CERNER_OR_ORCC_ADT_MFN_ORM</t>
  </si>
  <si>
    <t>OB_Cerner_OR_ORCC_ADT_MFN_ORM</t>
  </si>
  <si>
    <t>Prod port 14032 used with Test/Staging port 10009.</t>
  </si>
  <si>
    <t>IB_NextGen_OR_WFMC_ORM</t>
  </si>
  <si>
    <t>OB_NextGen_OR_WFMC_ORU</t>
  </si>
  <si>
    <t>OB_Epic772611_ORCA_DFT_ZPM</t>
  </si>
  <si>
    <t>OB_AgfaConnectivityMgr_OR_WACC_ADT_ORM</t>
  </si>
  <si>
    <t>OB_PyxisMedstation_WTX_CHGSHL_MFN</t>
  </si>
  <si>
    <t>PRJ0293131</t>
  </si>
  <si>
    <t>IB_AS-OBGYN_OR_ORU</t>
  </si>
  <si>
    <t>OB_Pyxis_OR_PSVMC_ADT_RDE</t>
  </si>
  <si>
    <t>OC Bridges AIP 52000 DICOM</t>
  </si>
  <si>
    <t>IB_SunquestLCM_CA_LCMT_ORM_ORU</t>
  </si>
  <si>
    <t>OB_ProVation_HOAG_OR_SCA_ADT_ORM</t>
  </si>
  <si>
    <t>IB_ProVation_HOAG_OR_SCA_ORU</t>
  </si>
  <si>
    <t>OB_SunquestLCM_CA_LCMT_ADT_ORM_ORR</t>
  </si>
  <si>
    <t>IB_NextGen_OR_WVPHA_ORM</t>
  </si>
  <si>
    <t>OB_SoundConnect_CA_PSJHC_ADT</t>
  </si>
  <si>
    <t>73586100</t>
  </si>
  <si>
    <t>IB_DIG_ORCA_ADT</t>
  </si>
  <si>
    <t>OB_DIG_ORCA_SIU</t>
  </si>
  <si>
    <t>OB_PowerScribeReporting_CA_ADT</t>
  </si>
  <si>
    <t>OB_PowerScribeReporting_CA_ORM_ORU</t>
  </si>
  <si>
    <t>IB_PowerScribeReporting_CA_ORU</t>
  </si>
  <si>
    <t>OB_ImageStream_OR_SIU</t>
  </si>
  <si>
    <t>IB_ImageStream_OR_ORU</t>
  </si>
  <si>
    <t>OB_Apollo_NCA_QVMCN_ADT</t>
  </si>
  <si>
    <t>OB_Apollo_NCA_SRMH_ADT</t>
  </si>
  <si>
    <t>OB_Apollo_NCA_SJHE_ADT</t>
  </si>
  <si>
    <t>OB_PassagePoint_SCA_PSJHC_ADT</t>
  </si>
  <si>
    <t>OB_Swisslog_SCA_SMMCAV_RDE</t>
  </si>
  <si>
    <t>OB_Epic772501_ORCA_SIU</t>
  </si>
  <si>
    <t>IB_Epic772028_ORCA_ORM</t>
  </si>
  <si>
    <t>IB_Epic772104_ORCA_MDM</t>
  </si>
  <si>
    <t xml:space="preserve">PRJ206891 </t>
  </si>
  <si>
    <t>OB_CVUTracker_OR_SIU</t>
  </si>
  <si>
    <t>OB_ORTracker_OR_PSVMC_SIU</t>
  </si>
  <si>
    <t>OB_RADTracker_OR_ADT_ORM_ORU_SIU</t>
  </si>
  <si>
    <t>IB_Cerner-XIFIN_OR_ORCC_DFT</t>
  </si>
  <si>
    <t>IB_Cerner-MOCK_OR_ORCC_ORU_Temp</t>
  </si>
  <si>
    <t>temporary ports to receive data from Cerner OR Lab (their MOCK) then to send on Epic OCREL environment. We’ll remove the connection from CP4 TEST when testing is done for this project.</t>
  </si>
  <si>
    <t>OB_Epic772301-REL_ORCA_ORU_Temp</t>
  </si>
  <si>
    <t>IB_Orchard_OR_NWRE_ORM</t>
  </si>
  <si>
    <t>52275090-769000</t>
  </si>
  <si>
    <t>OB_Orchard_OR_NWRE_ORU</t>
  </si>
  <si>
    <t>OB_Mosaiq_SCA_ADT</t>
  </si>
  <si>
    <t>IB_Mosaiq_SCA_DFT</t>
  </si>
  <si>
    <t>IB_Mosaiq_SCA_MDM</t>
  </si>
  <si>
    <t>OB_Synapse_CA_PSJHC_ADT_ORM_ORU</t>
  </si>
  <si>
    <t>OB_OnBase_CA_HOAG_OR_ADT_MDM-2</t>
  </si>
  <si>
    <t>OB_360Encompass_CA_HOAG_NM_OR_WTX_MFN_Legacy</t>
  </si>
  <si>
    <t>IB_Epic772610_ORCA_MFN</t>
  </si>
  <si>
    <t>224951721280</t>
  </si>
  <si>
    <t>OB_Epic772703_ORCA_ADT</t>
  </si>
  <si>
    <t>OB_Synapse_NMCC_NLHD_ADT_ORM_ORU</t>
  </si>
  <si>
    <t>55495163012</t>
  </si>
  <si>
    <t>OB_TeleTracking_OR_PPMC_ADT</t>
  </si>
  <si>
    <t>OB_Q-Centrix_SCA_ADT_MDM_ORU</t>
  </si>
  <si>
    <t xml:space="preserve">70587400 </t>
  </si>
  <si>
    <t>OB_TeleTracking_OR_PSVMC_ADT</t>
  </si>
  <si>
    <t>OB_HealthShareIE_SCA_DFT</t>
  </si>
  <si>
    <t>OB_IngeniousMed_CA_OR_ADT</t>
  </si>
  <si>
    <t>IB_HenryMayo_CA_ORU</t>
  </si>
  <si>
    <t>OB_Epic773335_ORCA_ORU</t>
  </si>
  <si>
    <t>BAD PORT</t>
  </si>
  <si>
    <t>BAD PORT - DON'T ASSIGN OUT. - CJR</t>
  </si>
  <si>
    <t>OB_ChildrensHospitalLA_CA_ADT</t>
  </si>
  <si>
    <t>OB_Theradoc_CA_OR_ADT</t>
  </si>
  <si>
    <t>OB_Epic772725_ORCA_X12-278</t>
  </si>
  <si>
    <t>OB_Epic772341_ORCA_ORU</t>
  </si>
  <si>
    <t>IB_iSirona_OR_ORU</t>
  </si>
  <si>
    <t>Isirona has different ports in Test and Prod.</t>
  </si>
  <si>
    <t>OB_Epic772331_ORCA_ORU</t>
  </si>
  <si>
    <t>OB_PATSTSI_OR_ADT</t>
  </si>
  <si>
    <t>IB_Epic400_ORCA_ORM_ORR</t>
  </si>
  <si>
    <t>OB_PATS_CA_PSJMC_ADT</t>
  </si>
  <si>
    <t>OB_Amalga_OR_ADT</t>
  </si>
  <si>
    <t>IB_Aprima_OR_TG_ORM</t>
  </si>
  <si>
    <t>IB_Aprima_OR_SSP_ORM</t>
  </si>
  <si>
    <t>OB_Aprima_OR_TG_ORU</t>
  </si>
  <si>
    <t>IB_Epic772200_ORCA_PPR</t>
  </si>
  <si>
    <t>224951721293</t>
  </si>
  <si>
    <t>OB_HealthShareIE_SCA_RAS</t>
  </si>
  <si>
    <t>OB_Theradoc_CA_OR_MDM</t>
  </si>
  <si>
    <t>OB_Epic772373_ORCA_ORM</t>
  </si>
  <si>
    <t>OB_Epic772339_ORCA_ORU</t>
  </si>
  <si>
    <t>224952028819</t>
  </si>
  <si>
    <t>IB_Epic772338_ORCA_ORU</t>
  </si>
  <si>
    <t>OB_Epic772361_ORCA_ORU</t>
  </si>
  <si>
    <t>IB_Epic772360_ORCA_ORU</t>
  </si>
  <si>
    <t>IB_SunquestLCM_CA_LCMSP_DFT</t>
  </si>
  <si>
    <t>IB_SunquestLCM_CA_LCMSP_ORM_ORU</t>
  </si>
  <si>
    <t>OB_SunquestLCM_CA_MFN</t>
  </si>
  <si>
    <t>OB_SunquestLCM_CA_LCMSP_ADT_ORM_ORR</t>
  </si>
  <si>
    <t>OB_Epic772105_ORCA_MDM</t>
  </si>
  <si>
    <t>IB_Epic773316_ORCA_ORU</t>
  </si>
  <si>
    <t>224951721511</t>
  </si>
  <si>
    <t>IB_Cerner_OR_ORM_ORU</t>
  </si>
  <si>
    <t>IB_Atlas_OR_ORU</t>
  </si>
  <si>
    <t>OB_Theradoc_CA_OR_ORU-FLOW</t>
  </si>
  <si>
    <t>OB_Atlas_OR_ADT</t>
  </si>
  <si>
    <t>IB_Atlas_OR_ORM</t>
  </si>
  <si>
    <t>OB_Cerner_OR_ORM</t>
  </si>
  <si>
    <t>IB_Epic772322_ORCA_VXU</t>
  </si>
  <si>
    <t>IB_Epic773750_ORCA_DFT</t>
  </si>
  <si>
    <t>554951627301</t>
  </si>
  <si>
    <t>IB_ImagingPartnersOC_CACC_CPPC_ORU</t>
  </si>
  <si>
    <t>OB_ImagingPartnersOC_CACC_CPPC_ADT_ORM</t>
  </si>
  <si>
    <t>OB_Cadlink_OR_ORM</t>
  </si>
  <si>
    <t>IB_Cadlink_OR_ORU</t>
  </si>
  <si>
    <t>OB_PatientKeeper_CA_OBHG_ADT</t>
  </si>
  <si>
    <t>OB_PracticeVision_CACC_ADT_DFT_MDM</t>
  </si>
  <si>
    <t>OB_Epic772363_ORCA_ORU</t>
  </si>
  <si>
    <t>IB_Epic772310_ORCA_ORM_ORU</t>
  </si>
  <si>
    <t>IB_Epic772604_ORCA_RDE</t>
  </si>
  <si>
    <t>OB_Epic772401_ORCA_ORU</t>
  </si>
  <si>
    <t>IB_Epic772102_ORCA_MDM</t>
  </si>
  <si>
    <t>OB_Epic773339_ORCA_ORU</t>
  </si>
  <si>
    <t>OB_Atlas_OR_ORU</t>
  </si>
  <si>
    <t>IB_ARUP_CA_ORU</t>
  </si>
  <si>
    <t>OB_Epic773315_ORCA_ORU</t>
  </si>
  <si>
    <t>IB_Epic773314_ORCA_ORM</t>
  </si>
  <si>
    <t>OB_ARUP_CA_ORM</t>
  </si>
  <si>
    <t>OB_Epic772333_ORCA_ORU</t>
  </si>
  <si>
    <t>IB_Epic773400_ORCA_ORM_ORR</t>
  </si>
  <si>
    <t>IB_Telcor_CA_ORU</t>
  </si>
  <si>
    <t>OB_TotalTriage_CA_OR_ADT</t>
  </si>
  <si>
    <t>IB_Pyxis_OR_PSVMC_DFT_ZPM</t>
  </si>
  <si>
    <t>OB_Mosaiq_OR_ADT</t>
  </si>
  <si>
    <t>IB_Mosaiq_OR_DFT</t>
  </si>
  <si>
    <t>IB_Mosaiq_OR_MDM</t>
  </si>
  <si>
    <t>IB_Muse_OR_DFT_ORU</t>
  </si>
  <si>
    <t>OB_Muse_OR_ADT_ORM</t>
  </si>
  <si>
    <t>OB_Xcelera_CA_PSJHC_ADT_ORM</t>
  </si>
  <si>
    <t>IB_Xcelera_CA_PSJHC_ORU</t>
  </si>
  <si>
    <t>OB_Epic772755_ORCA_DFT</t>
  </si>
  <si>
    <t>OB_Epic772709_ORCA_ORU</t>
  </si>
  <si>
    <t>IB_Epic772314_ORCA_ORM_ORU</t>
  </si>
  <si>
    <t>224951720737 / 49584142</t>
  </si>
  <si>
    <t>OB_IPSTelevision_CA_PSJHC_ADT</t>
  </si>
  <si>
    <t>OB_Mosaiq_NMCC_NLHD_ADT</t>
  </si>
  <si>
    <t>IB_Mosaiq_NMCC_NLHD_SIU</t>
  </si>
  <si>
    <t>IB_Mosaiq_NMCC_NLHD_DFT</t>
  </si>
  <si>
    <t>IB_OnBase_ORCA_ZBI</t>
  </si>
  <si>
    <t>IB_Epic772344_ORCA_ORU</t>
  </si>
  <si>
    <t>OB_Cardinal_OR_ADT</t>
  </si>
  <si>
    <t>Note: Port 10167 in use on AK tab. See connection OB_Canapy_AK_ADT</t>
  </si>
  <si>
    <t>See AK tab. 10168 in use CP5 cnx OB_Canapy_AK_ADT</t>
  </si>
  <si>
    <t>OB_Epic773337_ORCA_ORU</t>
  </si>
  <si>
    <t>OB_NurseCall_CA_PSJHC_ADT</t>
  </si>
  <si>
    <t>OB_PracticeVision_SCA_SJHO_ADT_ORU</t>
  </si>
  <si>
    <t>49510000</t>
  </si>
  <si>
    <t>OB_Xper_CA_PSJHC_ADT_ORM</t>
  </si>
  <si>
    <t>OB_SPM_CA_OR_SIU</t>
  </si>
  <si>
    <t>Project Activity Code = 117351504200</t>
  </si>
  <si>
    <t>OB_SPM_CA_PHCMC_SIU</t>
  </si>
  <si>
    <t>IB_LynxePoint_CA_HOAG_OR_WACC_OBH_DFT</t>
  </si>
  <si>
    <t>62184805</t>
  </si>
  <si>
    <t>IB_DeviceConX_HOAG_SCA_ORU_Legacy_5-14</t>
  </si>
  <si>
    <t>Renamed from IB_DeviceConX_HOAG_SCA_ORU_Legacy</t>
  </si>
  <si>
    <t>495-84163</t>
  </si>
  <si>
    <t>IB_DeviceConX_OR_ORU_Legacy_5-14</t>
  </si>
  <si>
    <t>IB_DeviceConX_OR_ORU_Legacy</t>
  </si>
  <si>
    <t>IB_Omnicell_CA_PSJHC_DFT_ZPM</t>
  </si>
  <si>
    <t>OB_Omnicell_CA_PSJHC_ADT_RDE</t>
  </si>
  <si>
    <t>IB_Epic772414_ORCA_ORM</t>
  </si>
  <si>
    <t>Operational Project, the cost center is 621-74801</t>
  </si>
  <si>
    <t>PRJ0073241</t>
  </si>
  <si>
    <t>OB_Envision_CA_PTMC_ADT</t>
  </si>
  <si>
    <t>117251823550</t>
  </si>
  <si>
    <t>OB_Envision_CA_PTMC_ORM</t>
  </si>
  <si>
    <t>IB_Envision_CA_PTMC_ORU</t>
  </si>
  <si>
    <t>OB_Envision_CA_PTMC_ORU</t>
  </si>
  <si>
    <t>DO NOT USE - CONFLICTS WITH CACHE</t>
  </si>
  <si>
    <t>OB_Orchard_OR_SMI_ORU</t>
  </si>
  <si>
    <t>IB_Epic772308_ORCA_ORU</t>
  </si>
  <si>
    <t>OB_PolysmithSleepLab_OR_ORM</t>
  </si>
  <si>
    <t>Replaces ADT conn, uses same ports</t>
  </si>
  <si>
    <t>IB_C4_Epic772308_ORCA_ORU</t>
  </si>
  <si>
    <t>OB_C6_Epic772308_ORCA_ORU</t>
  </si>
  <si>
    <t>OB_C6_Epic772502_ORCA_SIU</t>
  </si>
  <si>
    <t>IB_C4_Epic772502_ORCA_SIU</t>
  </si>
  <si>
    <t>IB_Epic772002_ORCA_MFN</t>
  </si>
  <si>
    <t>OB_Pyxis_OR_PHRMC_ADT_RDE</t>
  </si>
  <si>
    <t>IB_Pyxis_OR_PHRMC_DFT_ZPM</t>
  </si>
  <si>
    <t>OB_NextGen_OR_JK_MDM_ORU</t>
  </si>
  <si>
    <t>OB_Theradoc_CA_OR_ORU-VS</t>
  </si>
  <si>
    <t>IB_GE-DMS_CA_ORU</t>
  </si>
  <si>
    <t>OB_GE-DMS_CA_ADT</t>
  </si>
  <si>
    <t>OB_GE-DMS_CA_ORM</t>
  </si>
  <si>
    <t>IB_PowerScribeReporting_OR_ORU</t>
  </si>
  <si>
    <t>OB_PowerScribeReporting_OR_ADT_ORM_ORU</t>
  </si>
  <si>
    <t>OB_Epic772101_ORCA_MDM</t>
  </si>
  <si>
    <t xml:space="preserve">OB_Epic772101 - changed port to resolve port contention issue after Epic refresh in OCPRD envirnment 7/11/2015 at 5am. </t>
  </si>
  <si>
    <t>OB_Theradoc_CA_OR_ORU-LAB</t>
  </si>
  <si>
    <t>OB_Theradoc_CA_OR_ORU-RAD</t>
  </si>
  <si>
    <r>
      <t>IB_TELCOR_</t>
    </r>
    <r>
      <rPr>
        <sz val="10"/>
        <color theme="1"/>
        <rFont val="Segoe UI"/>
        <family val="2"/>
      </rPr>
      <t xml:space="preserve"> NMCC</t>
    </r>
    <r>
      <rPr>
        <sz val="11"/>
        <color theme="1"/>
        <rFont val="Calibri"/>
        <family val="2"/>
      </rPr>
      <t>_NLHD_ORU</t>
    </r>
  </si>
  <si>
    <r>
      <t>OB_TELCOR_</t>
    </r>
    <r>
      <rPr>
        <sz val="10"/>
        <color theme="1"/>
        <rFont val="Segoe UI"/>
        <family val="2"/>
      </rPr>
      <t xml:space="preserve"> NMCC</t>
    </r>
    <r>
      <rPr>
        <sz val="11"/>
        <color theme="1"/>
        <rFont val="Calibri"/>
        <family val="2"/>
      </rPr>
      <t>_NLHD_ADT</t>
    </r>
  </si>
  <si>
    <t>IB_Orchard_OR_WHA_ORM</t>
  </si>
  <si>
    <t>OB_Theradoc_CA_OR_RDE</t>
  </si>
  <si>
    <t>IB_SunquestLCM_CA_LCMT_DFT</t>
  </si>
  <si>
    <t>OB_PyxisMedstation_NMCC_NHLD_ADT_RDE</t>
  </si>
  <si>
    <t>OB_PyxisMedstation_NMCC_NLHD_MFN</t>
  </si>
  <si>
    <t>IB_PyxisMedstation_NMCC_NLHD_DFT_ZPM</t>
  </si>
  <si>
    <t>OB_LDR-InfinittPACS_NMCC_NLHD_ADT_ORM_ORU</t>
  </si>
  <si>
    <t>IB_LDR-InfinittPACS_NMCC_NLHD_ORU</t>
  </si>
  <si>
    <t>OB_Medstrat_ORCC_SOOGP_ORM</t>
  </si>
  <si>
    <t>984951412841047</t>
  </si>
  <si>
    <t>IB_Medstrat_ORCC_SOOGP_ORU</t>
  </si>
  <si>
    <t>IB_Cerner_OR_OML</t>
  </si>
  <si>
    <t>OB_Ventana_OR_OML</t>
  </si>
  <si>
    <t>OB_LabCycle_OR_ORL</t>
  </si>
  <si>
    <t>OB_Zotec_CA_ADT_ORU</t>
  </si>
  <si>
    <t>IB_SunquestSFV_CA_PHCMC_ORM_ORU</t>
  </si>
  <si>
    <t>IB_SunquestSFV_CA_PHCMC_DFT</t>
  </si>
  <si>
    <t>OB_SunquestSFV_CA_PHCMC_ADT_ORM_ORR</t>
  </si>
  <si>
    <t>OB_SunquestSFV_CA_MFN</t>
  </si>
  <si>
    <t>IB_Pyxis_CA_PHCMC_DFT_ZPM</t>
  </si>
  <si>
    <t>OB_Pyxis_CA_PHCMC_ADT_RDE</t>
  </si>
  <si>
    <t>OB_Talyst_CA_PHCMC_RDE</t>
  </si>
  <si>
    <t>OB_Muse_CA_CACC_ADT_ORM</t>
  </si>
  <si>
    <t>IB_Muse_CA_CACC_DFT_ORU</t>
  </si>
  <si>
    <t>OB_SmartExam_OR_ADT</t>
  </si>
  <si>
    <t>IB_SmartExam_OR_DFT_MDM</t>
  </si>
  <si>
    <t>IB_Cerner_OR_ORCC_ORM_ORU-1</t>
  </si>
  <si>
    <t>IB_Cerner_OR_ORCC_ORM_ORU-2</t>
  </si>
  <si>
    <t>IB_Cerner_OR_ORCC_ORM_ORU-3</t>
  </si>
  <si>
    <t>IB_Cerner_OR_ORCC_ORM_ORU-4</t>
  </si>
  <si>
    <t>IB_Cerner_OR_ORCC_ORM_ORU-5</t>
  </si>
  <si>
    <t>OB_SunquestSFV_CA_PTMC_ADT_ORM_ORR</t>
  </si>
  <si>
    <t>IB_SunquestSFV_CA_PTMC_ORM_ORU</t>
  </si>
  <si>
    <t>IB_Epic773322_ORCA_VXU</t>
  </si>
  <si>
    <t>IB_C4_Epic773322_ORCA_VXU</t>
  </si>
  <si>
    <t>OB_C6_Epic773322_ORCA_VXU</t>
  </si>
  <si>
    <t>IB_PyxisMedstation_OR_DFT_ZPM</t>
  </si>
  <si>
    <t>OB_PyxisMedstation_OR_ADT_RDE</t>
  </si>
  <si>
    <t>OB_Falcon_OR_OKH_MDM_ORU</t>
  </si>
  <si>
    <t>OB_CentricityEMR_OR_OHSU_MDM_ORU</t>
  </si>
  <si>
    <t>OB_CentricityEMR_OR_WHCO_MDM_ORU</t>
  </si>
  <si>
    <t>OB_HealthShareIE_SCA_RDE</t>
  </si>
  <si>
    <t>OB_HealthShareIE_SCA_SIU</t>
  </si>
  <si>
    <t>OB_MedMined_NMCC_NLHD_ADT</t>
  </si>
  <si>
    <t>OB_MedMined_NMCC_NLHD_ORU</t>
  </si>
  <si>
    <t>OB_MedMined_NMCC_NLHD_RAS_RDE</t>
  </si>
  <si>
    <t>OB_HealthShareIE_SCA_VXU</t>
  </si>
  <si>
    <t>OB_Mosaiq_NMCC_NLHD_MDM_ORU</t>
  </si>
  <si>
    <t>OB_Mosaiq_NMCC_NLHD_ORU</t>
  </si>
  <si>
    <t>OB_Mosaiq_NMCC_NLHD_SIU</t>
  </si>
  <si>
    <t>OB_Appriss_NMCC_NLHD_WTX_ADT</t>
  </si>
  <si>
    <t>IB_Ambra_ORCA_ORM</t>
  </si>
  <si>
    <t>OB_MRG_OR_ADT_ORM_ORU</t>
  </si>
  <si>
    <t>IB_MRG_OR_ORU</t>
  </si>
  <si>
    <t>IB_Orchard_OR_NWPC_ORM</t>
  </si>
  <si>
    <t>OB_Orchard_OR_NWPC_ORU</t>
  </si>
  <si>
    <t>IB_AcuoVNA_ORCA_ORM</t>
  </si>
  <si>
    <t>OB_Epic772003_ORCA_ORM</t>
  </si>
  <si>
    <t>OB_PACSgear_ORCA_ADT</t>
  </si>
  <si>
    <t>OB_PACSgear_ORCA_ORM</t>
  </si>
  <si>
    <t>OB_McKessonCardiology_CA_ADT</t>
  </si>
  <si>
    <t>OB_McKessonCardiology_CA_ORM</t>
  </si>
  <si>
    <t>IB_McKessonCardiology_CA_ORU</t>
  </si>
  <si>
    <t>IB_Epic772320_ORCA_QBP</t>
  </si>
  <si>
    <t>OB_Epic772321_ORCA_RSP</t>
  </si>
  <si>
    <t>OB_Medstrat_ORCC_SOOM_ORM</t>
  </si>
  <si>
    <t>IB_Medstrat_ORCC_SOOM_ORU</t>
  </si>
  <si>
    <t>IB_OCHIN_ORCC_WWC_ORM</t>
  </si>
  <si>
    <t>OB_ePath_CA_ORU-Beaker</t>
  </si>
  <si>
    <t>OB_Epic772705_ORCA_ADT</t>
  </si>
  <si>
    <t>OB_JHIE-Medicity_OR_ORU-LAB</t>
  </si>
  <si>
    <t>OB_JHIE-Medicity_OR_ORU-RAD</t>
  </si>
  <si>
    <t>OB_JHIE-Medicity_OR_MDM</t>
  </si>
  <si>
    <t>OB_GE-IDX_CA_FMF_ADT</t>
  </si>
  <si>
    <t>Direct</t>
  </si>
  <si>
    <t>773270 ORCA - OUTGOING ANSI 278 REQUEST FOR REVIEW - CA FACEY</t>
  </si>
  <si>
    <t>OB_Epic773271_ORCA_X12-278</t>
  </si>
  <si>
    <t>IB_GE-IDX_CA_FMF_X12-278</t>
  </si>
  <si>
    <t>OB_Responder5NurseCall_CACC_CMHCV_ADT</t>
  </si>
  <si>
    <t>OB_McKessonCardiology_OR_WACC_ADT</t>
  </si>
  <si>
    <t>OB_McKessonCardiology_OR_WACC_ORM</t>
  </si>
  <si>
    <t>IB_McKessonCardiology_OR_WACC_ORU</t>
  </si>
  <si>
    <t>OB_TowerImaging_CA_ADT_ORM_ORU</t>
  </si>
  <si>
    <t xml:space="preserve">Connn name per Rebecca and John (previously used Mirth); PR3 - OIS-Interface Outreach - Tower Imaging Orders and Results; </t>
  </si>
  <si>
    <t>224951412840</t>
  </si>
  <si>
    <t>OB_NurseCall_CA_PHCMC_ADT</t>
  </si>
  <si>
    <t>Cost Center: 72086100</t>
  </si>
  <si>
    <t>OB_NexxRad_CA_LCMSP_LCMT_ORM</t>
  </si>
  <si>
    <t>IB_NexxRad_CA_LCMSP_LCMT_ORU</t>
  </si>
  <si>
    <t>OB_1Call_SWE_ADT</t>
  </si>
  <si>
    <t>PRJ0175783</t>
  </si>
  <si>
    <t>OB_eCentaurus_OR_ADT_Legacy</t>
  </si>
  <si>
    <t>IB_eCentaurus_OR_MDM_Legacy</t>
  </si>
  <si>
    <t>OB_GE-CCW_CA_OR_WTX_ADT_Legacy</t>
  </si>
  <si>
    <t>224951926439</t>
  </si>
  <si>
    <t>OB_GE-CCW_CA_OR_WTX_ORM_Legacy</t>
  </si>
  <si>
    <t>IB_GE-CCW_CA_OR_WTX_ORU_Legacy</t>
  </si>
  <si>
    <t>OB_Allscripts_OR_HCPR_MDM</t>
  </si>
  <si>
    <t>OB_Allscripts_OR_HCPR_ORU-RAD</t>
  </si>
  <si>
    <t>OB_Pyxis_OR_MFN</t>
  </si>
  <si>
    <t>OB_Pyxis_OR_PSVMC_RDE</t>
  </si>
  <si>
    <t>115301721232</t>
  </si>
  <si>
    <t>OB_Radiance_CA_PHCMC_ADT</t>
  </si>
  <si>
    <t>IB_eScription_OR_SCA_WACC_WTX_MDM_Legacy</t>
  </si>
  <si>
    <t>IB_eCentaurus_OR_MDM</t>
  </si>
  <si>
    <t>PRJ0256959</t>
  </si>
  <si>
    <t>OB_eCentaurus_OR_ADT</t>
  </si>
  <si>
    <t>OB_Epic772753_ORCA_DFT</t>
  </si>
  <si>
    <t>IB_HCLL_OR_ORU</t>
  </si>
  <si>
    <t>OB_Epic772377_ORCA_ORM</t>
  </si>
  <si>
    <t>OB_HCLL_OR_ADT</t>
  </si>
  <si>
    <t>OB_PyxisMedstation-OC_SCA_ADT_RDE</t>
  </si>
  <si>
    <t>224951822926</t>
  </si>
  <si>
    <t>IB_HCLL_OR_DFT</t>
  </si>
  <si>
    <t>IB_Epic772430_ORCA_ADT_ORM</t>
  </si>
  <si>
    <t>IB_Cerner_OR_ORCC_ORM_ORU_Temp</t>
  </si>
  <si>
    <t>Needed till 5/15/2020. This port has conflicts.</t>
  </si>
  <si>
    <t>IB_PyxisMedstation-OC_SCA_DFT_ZPM</t>
  </si>
  <si>
    <t>IB_RIMA_CA_PSJMC_ORU</t>
  </si>
  <si>
    <t>OB_RIMA_CA_PSJMC_ADT_ORM_ORU</t>
  </si>
  <si>
    <t>IB_Xper_CA_PSJHC_ORU-PDF</t>
  </si>
  <si>
    <t>IB_Cerner_OR_ORCC_DFT</t>
  </si>
  <si>
    <t>OB_AS-OBGYN_OR_ADT_ORM_ORU</t>
  </si>
  <si>
    <t>IB_Xcelera_CA_PSJHC_ORU-PDF</t>
  </si>
  <si>
    <t>IB_Epic772804_ORCA_OMS</t>
  </si>
  <si>
    <t>OB_Epic772371_ORCA_ORM</t>
  </si>
  <si>
    <t>IB_Epic772306_ORCA_ORU</t>
  </si>
  <si>
    <t>IB_C6_Outreach_CA_OR_ADT</t>
  </si>
  <si>
    <t>OB_C4_Outreach_CA_OR_ADT</t>
  </si>
  <si>
    <t>IB_C4_Epic772306_ORCA_ORU</t>
  </si>
  <si>
    <t>OB_C6_Epic772306_ORCA_ORU</t>
  </si>
  <si>
    <t>OB_Trace_CA_OR_ADT</t>
  </si>
  <si>
    <t>IB_PyxisMedstation-OC_SCA_SJHO_DFT_ZPM</t>
  </si>
  <si>
    <t>OB_Epic772353_ORCA_ORU</t>
  </si>
  <si>
    <t>Needed till 5/15/2020</t>
  </si>
  <si>
    <t>224951926956</t>
  </si>
  <si>
    <t>OB_Epic772389_ORCA_ORU_Training2</t>
  </si>
  <si>
    <t>This connection connects with OCACE4. Test and Staging ports should remain the same because this connection connects to Epic ACE Servers whose ports do not change.</t>
  </si>
  <si>
    <t>OB_Epic772391_ORCA_RRG_Training2</t>
  </si>
  <si>
    <t>IB_Epic772390_ORCA_RGV_Training2</t>
  </si>
  <si>
    <t>IB_PyxisMedstation-OC_SCA_SJMCF_DFT_ZPM</t>
  </si>
  <si>
    <t>OB_BabySteps_SCA_PHCMC_ADT</t>
  </si>
  <si>
    <t>72060700</t>
  </si>
  <si>
    <t>OB_BabySteps_SCA_PHCMC_ORU</t>
  </si>
  <si>
    <t>IB_BabySteps_SCA_PHCMC_MDM</t>
  </si>
  <si>
    <t>OB_IntelliSpacePACS_CA_PSJMC_ADT_ORM_ORU</t>
  </si>
  <si>
    <t>OB_IntelliSpacePACS_CA_PHCMC_ADT_ORM_ORU</t>
  </si>
  <si>
    <t>OB_Pyxis_OR_ADT_RDE</t>
  </si>
  <si>
    <t>IB_Pyxis_OR_DFT_ZPM</t>
  </si>
  <si>
    <t>IB_Epic772334_ORCA_ORM</t>
  </si>
  <si>
    <t>OB_Epic772335_ORCA_ORU</t>
  </si>
  <si>
    <t>IB_PyxisMedstation-OC_SCA_SMMCAV_DFT_ZPM</t>
  </si>
  <si>
    <t>IB_Epic772350_ORCA_OML_ORM</t>
  </si>
  <si>
    <t>OB_DataInnovations_CA_CACC_HOAG_OR_WACC_ORM</t>
  </si>
  <si>
    <t>OB_AcuoVNA_ORCA_ORU</t>
  </si>
  <si>
    <t>OB_Epic772351_ORCA_ORU_OUL</t>
  </si>
  <si>
    <t>OB_Epic9772405_SCA_WTX_ADT</t>
  </si>
  <si>
    <t>IB_Meditech_SCA_WTX_ADT</t>
  </si>
  <si>
    <t>IB_GE-IDX_SCA_WTX_ADT</t>
  </si>
  <si>
    <t>OB_CadLink_NMCC_NLHD_ORM</t>
  </si>
  <si>
    <t>Nor Lea implementation</t>
  </si>
  <si>
    <t>IB_CadLink_NMCC_NLHD_ORU</t>
  </si>
  <si>
    <t>OB_HealthShareIE_CA_CACC_HOAG_MDM</t>
  </si>
  <si>
    <t>OB_HealthShareIE_CA_CACC_HOAG_ORU-LAB</t>
  </si>
  <si>
    <t>OB_HealthShareIE_CA_CACC_HOAG_ORU</t>
  </si>
  <si>
    <t>IB_Epic773312_ORCA_ORM</t>
  </si>
  <si>
    <t>OB_Epic773403_ORCA_ORU</t>
  </si>
  <si>
    <t>OB_AcuoVNA_ORCA_ADT</t>
  </si>
  <si>
    <t>OB_AcuoVNA_ORCA_ORM</t>
  </si>
  <si>
    <t>IB_Epic773320_ORCA_QBP</t>
  </si>
  <si>
    <t>OB_Epic773321_ORCA_RSP</t>
  </si>
  <si>
    <t>IB_PyxisMedstation_WACC_OBH_DFT_ZPM_Legacy</t>
  </si>
  <si>
    <t>OB_PyxisMedstation_WACC_OBH_ADT_RDE_Legacy</t>
  </si>
  <si>
    <t>IB_Epic772354_ORCA_ORM</t>
  </si>
  <si>
    <t>OB_Aegis_NMCC_NLHD_ORM</t>
  </si>
  <si>
    <t>IB_InlandImaging_WACC_OBH_ORM_ORU</t>
  </si>
  <si>
    <t>OB_InlandImaging_WACC_OBH_ORM_ORU</t>
  </si>
  <si>
    <t>IB_Aegis_NMCC_NLHD_ORU</t>
  </si>
  <si>
    <t>OB_Epic772355_ORCA_ORU</t>
  </si>
  <si>
    <t>OB_Mosaiq_SCA_ORU-REFLAB</t>
  </si>
  <si>
    <t>This is a replacement connection for Inventory # 4773 which will be retired.</t>
  </si>
  <si>
    <t>NA since replacement</t>
  </si>
  <si>
    <t>OB_InglewoodImaging_CA_ORM</t>
  </si>
  <si>
    <t>78086108</t>
  </si>
  <si>
    <t>IB_InglewoodImaging_CA_ORM_ORU</t>
  </si>
  <si>
    <t>OB_GE-Carescape_CACC_CMHCV_ADT</t>
  </si>
  <si>
    <t>OB_MedKeeper_CA_OR_ADT_RDE</t>
  </si>
  <si>
    <t>leadership has allowed to proceed without activity code</t>
  </si>
  <si>
    <t>IB_Medtronic_OR_MDM_ORU</t>
  </si>
  <si>
    <t>OB_InglewoodImaging_CA_ADT</t>
  </si>
  <si>
    <t>OB_Epic772379_ORCA_ORU</t>
  </si>
  <si>
    <t>PRJ0104525</t>
  </si>
  <si>
    <t>OB_Epic772505_ORCA_SIU</t>
  </si>
  <si>
    <t>A new port assigned to this conn as other conflicts with Cache</t>
  </si>
  <si>
    <t>OB_Artera_CACC_CMHC_ADT_SIU</t>
  </si>
  <si>
    <t>OB_DynaLync_SCA_ORM</t>
  </si>
  <si>
    <t xml:space="preserve">St. Joseph </t>
  </si>
  <si>
    <t>OB_DynaLync_SCA_ADT</t>
  </si>
  <si>
    <t>OB_Carescape_SCA_MHMV_ADT</t>
  </si>
  <si>
    <t>OB_Carescape_SCA_MHLB_ADT</t>
  </si>
  <si>
    <t>OB_Unifier_ORCA_ORM</t>
  </si>
  <si>
    <t>OB_Paceart_CA_OR_SIU</t>
  </si>
  <si>
    <t>IB_Epic773402_ORCA_ORM</t>
  </si>
  <si>
    <t>IB_Prevention4Me_SCA_ORM</t>
  </si>
  <si>
    <t>IB_Prevention4Me_SCA_MDM</t>
  </si>
  <si>
    <t>OB_Aprima_OR_PC_ORU</t>
  </si>
  <si>
    <t>OB_Aprima_OR_ORU</t>
  </si>
  <si>
    <t>OB_ORTracker_OR_PPMC_SIU</t>
  </si>
  <si>
    <t>OB_Telcor_CA_ADT</t>
  </si>
  <si>
    <t>IB_Epic772346_ORCA_ORU</t>
  </si>
  <si>
    <t>OB_Mosaiq_OR_PMMC_ADT</t>
  </si>
  <si>
    <t>IB_Mosaiq_OR_PMMC_DFT</t>
  </si>
  <si>
    <t>IB_Mosaiq_OR_PMMC_MDM</t>
  </si>
  <si>
    <t>IB_Epic772612_ORCA_RDE</t>
  </si>
  <si>
    <t>OB_PassagePoint_SCA_SJHO_ADT</t>
  </si>
  <si>
    <t>St Joseph Health</t>
  </si>
  <si>
    <t>OB_ePath_CA_ORU</t>
  </si>
  <si>
    <t>OB_LACounty_CA_ADT</t>
  </si>
  <si>
    <t>OB_NEDOCS_CA_OR_ADT_ORM</t>
  </si>
  <si>
    <t>OB_Penrad_CA_ORM_ORU</t>
  </si>
  <si>
    <t>OB_Penrad_CA_ADT</t>
  </si>
  <si>
    <t>OB_Penrad_CA_MFN</t>
  </si>
  <si>
    <t>IB_Penrad_CA_PTMC_ORU</t>
  </si>
  <si>
    <t>OB_nCentaurus_CA_ADT</t>
  </si>
  <si>
    <t>IB_nCentaurus_CA_MDM</t>
  </si>
  <si>
    <t>OB_C6_Epic772314_ORCA_ORU</t>
  </si>
  <si>
    <t>SCTASK0108980</t>
  </si>
  <si>
    <t>IB_SunquestLCM_CA_ORU</t>
  </si>
  <si>
    <t>IB_SunquestSFV_CA_ORU</t>
  </si>
  <si>
    <t>IB_Epic772614_ORCA_RAS</t>
  </si>
  <si>
    <t>IB_Epic772364_ORCA_ADT</t>
  </si>
  <si>
    <t>OB_ClinicalPathologyLab_WTX_CHGSHL_ORU</t>
  </si>
  <si>
    <t>Vendor-supported app. St. Joseph Health.</t>
  </si>
  <si>
    <t>IB_C4_Epic772102_ORCA_MDM</t>
  </si>
  <si>
    <t>OB_C6_Epic772102_ORCA_MDM</t>
  </si>
  <si>
    <t>IB_C4_Epic772310_ORCA_ORU</t>
  </si>
  <si>
    <t>OB_C6_Epic772310_ORCA_ORU</t>
  </si>
  <si>
    <t>OB_C6_Epic772700_ORCA_ADT</t>
  </si>
  <si>
    <t>OB_pCare_SCA_SJHO_ADT</t>
  </si>
  <si>
    <t>IB_Epic772602_ORCA_RDE</t>
  </si>
  <si>
    <t>OB_HealthShareIE_NMCC_WTX_ORM</t>
  </si>
  <si>
    <t>IB_HealthShareIE_NMCC_WTX_ORU</t>
  </si>
  <si>
    <t>OB_RobustForLife_CA_LCMT_ADT_ORM_ORU</t>
  </si>
  <si>
    <t>IB_C4_Epic772704_ORCA_ADT</t>
  </si>
  <si>
    <t>OB_C6_Epic772704_ORCA_ADT</t>
  </si>
  <si>
    <r>
      <t>OB_CardioServer_</t>
    </r>
    <r>
      <rPr>
        <sz val="11"/>
        <color theme="1"/>
        <rFont val="Calibri"/>
        <family val="2"/>
        <scheme val="minor"/>
      </rPr>
      <t>NMCC_NLHD_ORM</t>
    </r>
  </si>
  <si>
    <t>55495163012 // 49584203</t>
  </si>
  <si>
    <t>IB_SunquestSFV_CA_PTMC_DFT</t>
  </si>
  <si>
    <r>
      <t>IB_CardioServer_</t>
    </r>
    <r>
      <rPr>
        <sz val="11"/>
        <color theme="1"/>
        <rFont val="Calibri"/>
        <family val="2"/>
        <scheme val="minor"/>
      </rPr>
      <t>NMCC_NLHD_ORU</t>
    </r>
  </si>
  <si>
    <t>IB_Cerner_OR_ORM-BBK</t>
  </si>
  <si>
    <t>OB_CERNER_OR_ORU</t>
  </si>
  <si>
    <t>OB_Cerner_OR_ORU</t>
  </si>
  <si>
    <t>Prod port 14450 used with Test/Staging port 10010.</t>
  </si>
  <si>
    <t>OB_HCLL_OR_ORM</t>
  </si>
  <si>
    <t>OB_eScription_OR_SCA_WACC_WTX_ADT_Legacy</t>
  </si>
  <si>
    <t>IB_PICOM365_OR_ORM</t>
  </si>
  <si>
    <t>PM trying to locate activity code - however, there may not be one since this is an ‘operational’ project</t>
  </si>
  <si>
    <t>Cost Center - 52276395</t>
  </si>
  <si>
    <t>OB_PICOM365_OR_ORU</t>
  </si>
  <si>
    <t>IB_ProVation_NMCC_NLHD_ORU</t>
  </si>
  <si>
    <t>OB_ProVation_NMCC_NLHD_ADT_ORM</t>
  </si>
  <si>
    <t>OB_Telcor_OR_ADT</t>
  </si>
  <si>
    <t>OB_Atlas_OR_ORM</t>
  </si>
  <si>
    <t>OB_Aledade_ORCC_OCFPC_SIU</t>
  </si>
  <si>
    <t>OB_Iodine_CA_OR_ADT</t>
  </si>
  <si>
    <t>48987502</t>
  </si>
  <si>
    <t>OB_Iodine_CA_OR_MDM</t>
  </si>
  <si>
    <t>OB_Iodine_CA_OR_ORM</t>
  </si>
  <si>
    <t>OB_Iodine_CA_OR_ORU</t>
  </si>
  <si>
    <t>OB_Iodine_CA_OR_RAS</t>
  </si>
  <si>
    <t>OB_Iodine_CA_OR_RDE</t>
  </si>
  <si>
    <t>OB_Iodine_CA_OR_ORU-VS</t>
  </si>
  <si>
    <t>IB_OBIX_CA_LCMSP_ORU</t>
  </si>
  <si>
    <t>IB_OBIX_CA_LCMT_ORU</t>
  </si>
  <si>
    <t>IB_OBIX_CA_PHCMC_ORU</t>
  </si>
  <si>
    <t>IB_OBIX_CA_PSJHC_ORU</t>
  </si>
  <si>
    <t>IB_OBIX_CA_PSJMC_ORU</t>
  </si>
  <si>
    <t>IB_OBIX_CA_PTMC_ORU</t>
  </si>
  <si>
    <t>IB_OBIX_OR_PHRMC_ORU</t>
  </si>
  <si>
    <t>IB_OBIX_OR_PMMC_ORU</t>
  </si>
  <si>
    <t>IB_OBIX_OR_PNMC_ORU</t>
  </si>
  <si>
    <t>IB_OBIX_OR_PPMC_ORU</t>
  </si>
  <si>
    <t>IB_OBIX_OR_PSH_ORU</t>
  </si>
  <si>
    <t>IB_OBIX_OR_PSVMC_ORU</t>
  </si>
  <si>
    <t>IB_OBIX_OR_PWFMC_ORU</t>
  </si>
  <si>
    <t>OB_OBIX_CA_OR_ADT_ORU</t>
  </si>
  <si>
    <t>OB_ProVation_WTX_CHGSHL_ADT_ORM</t>
  </si>
  <si>
    <t>IB_ProVation_WTX_CHGSHL_ORU</t>
  </si>
  <si>
    <t>OB_IRIS_OR_ORM</t>
  </si>
  <si>
    <t>49486102</t>
  </si>
  <si>
    <t>IB_IRIS_OR_ORU</t>
  </si>
  <si>
    <t>IB_IRIS_OR_DFT</t>
  </si>
  <si>
    <t>OB_Epic772389_ORCA_ORU</t>
  </si>
  <si>
    <t>OB_Epic772389_ORCA_ORU_Training</t>
  </si>
  <si>
    <t>This connection connects with OCACE15. Test and Staging ports should remain the same because this connection connects to Epic ACE Servers whose ports do not change.</t>
  </si>
  <si>
    <t>OB_Epic772391_ORCA_RRG</t>
  </si>
  <si>
    <t>OB_Epic772391_ORCA_RRG_Training</t>
  </si>
  <si>
    <t>IB_Epic772390_ORCA_RGV</t>
  </si>
  <si>
    <t>IB_Epic772390_ORCA_RGV_Training</t>
  </si>
  <si>
    <t>OB_Sonifi_SCA_SMMCAV_ADT</t>
  </si>
  <si>
    <t>IB_Epic772404_ORCA_ORM</t>
  </si>
  <si>
    <t>OB_MergeLIS_OR_OCFP_ORM</t>
  </si>
  <si>
    <t>OB_SynapseVNA_CACC_CMHC_ADT_ORM_ORU</t>
  </si>
  <si>
    <t>OB_CCERespiratory_HOAG_ADT</t>
  </si>
  <si>
    <t>IB_iSirona_CA_ORU</t>
  </si>
  <si>
    <t>OB_Epic773333_ORCA_ORU</t>
  </si>
  <si>
    <t>OB_Liaison_OR_MDM_ORU</t>
  </si>
  <si>
    <t>OB_InHome_WTX_ADT</t>
  </si>
  <si>
    <t xml:space="preserve">OB_SPM_SCA_SIU </t>
  </si>
  <si>
    <t>OB_Quest-SJC_CA_ORM</t>
  </si>
  <si>
    <t>IB_Quest-SJC_CA_ORU</t>
  </si>
  <si>
    <t>OB_Intellidesk_CA_ADT</t>
  </si>
  <si>
    <t xml:space="preserve">In Producton CP4 this connection is really using port 9183 not 14571. </t>
  </si>
  <si>
    <t>OB_Epic772027_ORCA_ORU</t>
  </si>
  <si>
    <t>IB_Xealth_CA_NM_OR_WTX_ORU</t>
  </si>
  <si>
    <t>OB_Penrad_CA_PTMC_ADT</t>
  </si>
  <si>
    <t>OB_Penrad_CA_PTMC_MFN</t>
  </si>
  <si>
    <t>OB_Penrad_CA_PTMC_ORM</t>
  </si>
  <si>
    <t>OB_PATSTSI_CA_PSJHC_ADT</t>
  </si>
  <si>
    <t>OB_EGO_CA_OR_ADT</t>
  </si>
  <si>
    <t>OB_PATS_CA_PTMC_ADT</t>
  </si>
  <si>
    <t>IB_Epic772712_ORCA_ADT</t>
  </si>
  <si>
    <t>OB_Vigilance_CACC_CMHC_ORU</t>
  </si>
  <si>
    <t>OB_Vigilance_CACC_CMHC_ADT</t>
  </si>
  <si>
    <t>IB_Vigilance_CACC_CMHC_ORU</t>
  </si>
  <si>
    <t>IB_Pyxis_CA_LCMSP_DFT_ZPM</t>
  </si>
  <si>
    <t>OB_QRS_CA_PTMC_ADT</t>
  </si>
  <si>
    <t>OB_Pyxis_CA_LCMSP_ADT_RDE</t>
  </si>
  <si>
    <t>IB_Pyxis_CA_LCMT_DFT_ZPM</t>
  </si>
  <si>
    <t>OB_Pyxis_CA_LCMT_ADT_RDE</t>
  </si>
  <si>
    <t>OB_NextGen_OR_BMC_MDM_ORU</t>
  </si>
  <si>
    <t>OB_Trace_CA_LCMSP_ADT</t>
  </si>
  <si>
    <t>OB_Trace_CA_LCMT_ADT</t>
  </si>
  <si>
    <t>OB_OnBase_CA_HOAG_OR_ADT_MDM-1</t>
  </si>
  <si>
    <t>OB_OnBase_CA_OR_MFN</t>
  </si>
  <si>
    <t>OB_OnBase_CA_HOAG_OR_ORM_ORU</t>
  </si>
  <si>
    <t>OB_SunquestSFV_CA_ADT_ORM_ORR</t>
  </si>
  <si>
    <t>OB_SunquestSFV_CA_PSJMC_ADT_ORM_ORR</t>
  </si>
  <si>
    <t>IB_SunquestSFV_CA_ORM_ORU</t>
  </si>
  <si>
    <t>IB_SunquestSFV_CA_DFT</t>
  </si>
  <si>
    <t>772083 Epic Bridges-ORCA - OUTGOING CLAIM SCRUBBER QUERY - INCOMING RESPONSE FROM OPTUMINSIGHT - MC EASYGROUP PPS IN</t>
  </si>
  <si>
    <t>Used for the Tapestry project. IS EPIC TAPESTRY</t>
  </si>
  <si>
    <t>.</t>
  </si>
  <si>
    <t>OB_Neodata_SCA_CMH_ADT_ORU</t>
  </si>
  <si>
    <t>IB_Neodata_SCA_CMH_MDM</t>
  </si>
  <si>
    <t>OB_Trace_CA_PSJMC_ADT</t>
  </si>
  <si>
    <t>OB_NextGen_OR_RVP_MDM_ORU</t>
  </si>
  <si>
    <t>OB_TRACE_CA_PHCMC_ADT</t>
  </si>
  <si>
    <t>OB_PATS_CA_PHCMC_ADT</t>
  </si>
  <si>
    <t>OB_C4_Epic771322_WAMT_VXU</t>
  </si>
  <si>
    <t>OB_RXNT_SCA_SMMCAV_ADT_MDM</t>
  </si>
  <si>
    <t>OB_Epic772005_ORCA_ORM</t>
  </si>
  <si>
    <t>IB_Pyxis_CA_PTMC_DFT_ZPM</t>
  </si>
  <si>
    <t>OB_Pyxis_CA_PTMC_ADT_RDE</t>
  </si>
  <si>
    <t>IB_C4_HCLL_OR_ORU</t>
  </si>
  <si>
    <t>OB_C6_HCLL_OR_ORU</t>
  </si>
  <si>
    <t>OB_IntelliSpacePACS_OR_ADT_ORM_ORU</t>
  </si>
  <si>
    <t>OB_IntelliSpacePACS_CA_LCM_ADT_ORM_ORU</t>
  </si>
  <si>
    <t>IB_HealthshareIE_ORCA_ADT</t>
  </si>
  <si>
    <t xml:space="preserve">IB_HealthshareIE_ORCA_ORM </t>
  </si>
  <si>
    <t>OB_Synapse_CA_PTMC_ADT</t>
  </si>
  <si>
    <t>OB_Trace_CA_PTMC_ADT</t>
  </si>
  <si>
    <t>OB_Orchard_OR_WHA_ORU</t>
  </si>
  <si>
    <t>OB_CentricityEMR_OR_WHA_MDM_ORU</t>
  </si>
  <si>
    <t>OB_Sonifi_SCA_SJMCF_ADT</t>
  </si>
  <si>
    <t>OB_CentricityEMR_OR_TOC_MDM_ORU</t>
  </si>
  <si>
    <t>OB_CentricityEMR_OR_OENT_MDM_ORU</t>
  </si>
  <si>
    <t>OB_NextGen_OR_WVPHA_ORU</t>
  </si>
  <si>
    <t>IB_C3_OnBase_PHS_MDM-LNKS</t>
  </si>
  <si>
    <t>OB_C4_OnBase_PHS_MDM-LNKS</t>
  </si>
  <si>
    <t>OB_CentricityEMR_OR_ACES_MDM_ORU</t>
  </si>
  <si>
    <t>OB_360Encompass_CA_HOAG_NM_OR_WTX_MDM_Legacy</t>
  </si>
  <si>
    <t>OB_PATS_CA_LCMT_ADT</t>
  </si>
  <si>
    <t>IB_Pyxis_CA_PSJMC_DFT_ZPM</t>
  </si>
  <si>
    <t>OB_Pyxis_CA_PSJMC_ADT_RDE</t>
  </si>
  <si>
    <t>OB_360Encompass_CA_HOAG_NM_OR_WTX_MDM-LNKS_Legacy</t>
  </si>
  <si>
    <t>OB_360Encompass_CA_HOAG_NM_OR_WTX_ADT_Legacy</t>
  </si>
  <si>
    <t>OB_OperatorAssistant_SCA_ADT</t>
  </si>
  <si>
    <t>IB_Cerner_OR_ORU</t>
  </si>
  <si>
    <t>IB_Penrad_CA_PSJMC_ORU</t>
  </si>
  <si>
    <t>OB_CentricityEMR_OR_OCWFM_MDM_ORU</t>
  </si>
  <si>
    <t>IB_Mosaiq_SCA_SIU</t>
  </si>
  <si>
    <t>OB_JohnsonControls_CA_PSJMC_SIU</t>
  </si>
  <si>
    <t>OB_Mosaiq_SCA_MDM_ORU</t>
  </si>
  <si>
    <t xml:space="preserve">IB_ARIA_SCA_MHMV_DFT </t>
  </si>
  <si>
    <t>49585002</t>
  </si>
  <si>
    <t xml:space="preserve">IB_ARIA_SCA_MHMV_MDM </t>
  </si>
  <si>
    <t xml:space="preserve">IB_ARIA_SCA_MHMV_ORU </t>
  </si>
  <si>
    <t>OB_ARIA_SCA_MHMV_ADT</t>
  </si>
  <si>
    <t>OB_ARIA_SCA_MHMV_ORU</t>
  </si>
  <si>
    <t>224951822926/49585002</t>
  </si>
  <si>
    <t>OB_ARIA_SCA_MHMV_SIU</t>
  </si>
  <si>
    <t xml:space="preserve">IB_ARIA_SCA_SJHO_DFT </t>
  </si>
  <si>
    <t xml:space="preserve">IB_ARIA_SCA_SJHO_MDM </t>
  </si>
  <si>
    <t xml:space="preserve">IB_ARIA_SCA_SJHO_ORU </t>
  </si>
  <si>
    <t>OB_ARIA_SCA_SJHO_ADT</t>
  </si>
  <si>
    <t>OB_DynaLync_WTX_ADT</t>
  </si>
  <si>
    <t>Project PRJ0050304</t>
  </si>
  <si>
    <t>OB_ARIA_SCA_SJHO_ORU</t>
  </si>
  <si>
    <t>OB_ARIA_SCA_SJHO_SIU</t>
  </si>
  <si>
    <t xml:space="preserve">IB_ARIA_SCA_SJMCF_DFT </t>
  </si>
  <si>
    <t xml:space="preserve">IB_ARIA_SCA_SJMCF_MDM </t>
  </si>
  <si>
    <t xml:space="preserve">IB_ARIA_SCA_SJMCF_ORU </t>
  </si>
  <si>
    <t>OB_ARIA_SCA_SJMCF_ADT</t>
  </si>
  <si>
    <t>OB_DynaLync_WTX_SIU</t>
  </si>
  <si>
    <t>OB_ARIA_SCA_SJMCF_ORU</t>
  </si>
  <si>
    <t>OB_Aprima_OR_PC_ORU-LAB</t>
  </si>
  <si>
    <t>OB_Aprima_OR_ORU-LAB</t>
  </si>
  <si>
    <t>OB_CentricityEMR_OR_BAW_MDM_ORU</t>
  </si>
  <si>
    <t>OB_CentricityEMR_OR_CNC_MDM_ORU</t>
  </si>
  <si>
    <t>OB_Epic772503_ORCA_DFT</t>
  </si>
  <si>
    <t>OB_CentricityEMR_OR_NWRE_MDM_ORU</t>
  </si>
  <si>
    <t>OB_CentricityEMR_OR_OFC_MDM_ORU</t>
  </si>
  <si>
    <t>OB_CentricityEMR_OR_OOSMC_MDM_ORU</t>
  </si>
  <si>
    <t>OB_PyxisMedstation_WTX_CHGSHL_ADT_RDE</t>
  </si>
  <si>
    <t>OB_ARIA_SCA_SJMCF_SIU</t>
  </si>
  <si>
    <t>OB_Epic772323_ORCA_ORU</t>
  </si>
  <si>
    <t>OB_CentricityEMR_OR_WP_MDM_ORU</t>
  </si>
  <si>
    <t>IB_Orchard_OR_TPC_ORM</t>
  </si>
  <si>
    <t>IB_PyxisMedstation_WTX_CHGSHL_DFT_ZPM</t>
  </si>
  <si>
    <t>OB_Orchard_OR_PDEC_ORU</t>
  </si>
  <si>
    <t>OB_Orchard_OR_TPC_ORU</t>
  </si>
  <si>
    <t>OB_JHIE-Medicity_OR_ADT</t>
  </si>
  <si>
    <t>IB_MergeLIS_OR_OCFP_ORU</t>
  </si>
  <si>
    <t>OB_IntelliSpacePACS_CA_PTMC_ADT_ORM_ORU</t>
  </si>
  <si>
    <t>OB_BabySteps_CA_LCMT_ADT</t>
  </si>
  <si>
    <t>OB_BabySteps_CA_LCMT_ORU</t>
  </si>
  <si>
    <t>IB_BabySteps_CA_LCMT_MDM</t>
  </si>
  <si>
    <t>IB_C4_Epic772500_ORCA_SIU</t>
  </si>
  <si>
    <t>OB_C6_Epic772500_ORCA_SIU</t>
  </si>
  <si>
    <t>OB_ViSiMobile_WTX_CHGSHL_ADT</t>
  </si>
  <si>
    <t>IB_McKessonCardiology_CA_DFT</t>
  </si>
  <si>
    <t>IB_LabCorp_CA_WACC_ORU-REFLAB</t>
  </si>
  <si>
    <t>224951412925005</t>
  </si>
  <si>
    <t>OB_MRS_CA_FMF_ADT</t>
  </si>
  <si>
    <t>OB_Allscripts_OR_SSFP_ORU-RAD</t>
  </si>
  <si>
    <t>OB_Allscripts_OR_SSFP_MDM</t>
  </si>
  <si>
    <t>OB_ISHI_CACC_CCOC_ORM</t>
  </si>
  <si>
    <t>IB_ISHI_CACC_CCOC_ORU</t>
  </si>
  <si>
    <t>IB_C3_Epic771712_WAMT_ADT</t>
  </si>
  <si>
    <t>OB_C4_Epic771712_WAMT_ADT</t>
  </si>
  <si>
    <t>IB_VistaPath_CACC_FMC_ORU</t>
  </si>
  <si>
    <t>OB_VistaPath_CACC_FMC_ORM</t>
  </si>
  <si>
    <t>OB_Epic772389_ORCA_ORU_Training3</t>
  </si>
  <si>
    <t>This connection connects with OCACE6. Test and Staging ports should remain the same because this connection connects to Epic ACE Servers whose ports do not change.</t>
  </si>
  <si>
    <t>OB_Epic772389_ORCA_ORU_Training4</t>
  </si>
  <si>
    <t>This connection connects with OCPRAC6. Test and Staging ports should remain the same because this connection connects to Epic ACE Servers whose ports do not change.</t>
  </si>
  <si>
    <t>OB_Epic772391_ORCA_RRG_Training3</t>
  </si>
  <si>
    <t>OB_Epic772391_ORCA_RRG_Training4</t>
  </si>
  <si>
    <t>OB_Epic772425_ORCA_ORU</t>
  </si>
  <si>
    <t>OB_Epic772635_ORCA_RDS</t>
  </si>
  <si>
    <t>POL104069_IS</t>
  </si>
  <si>
    <t>OB_Epic773307_ORCA_ORU</t>
  </si>
  <si>
    <t>OB_C6_Epic772398_ORCA_ORU</t>
  </si>
  <si>
    <t>IB_C4_Epic772398_ORCA_ORU</t>
  </si>
  <si>
    <t>IB_C4_Epic772402_ORCA_ORM</t>
  </si>
  <si>
    <t>OB_C6_Epic772402_ORCA_ORM</t>
  </si>
  <si>
    <t>IB_Epic772398_ORCA_ORM_ORU</t>
  </si>
  <si>
    <t>IB_Epic772312_ORCA_ORU</t>
  </si>
  <si>
    <t>IB_Epic772778_ORCA_DFT</t>
  </si>
  <si>
    <t>OB_Epic772397_ORCA_ORU</t>
  </si>
  <si>
    <t>OB_Synapse_CA_FMF_ADT_ORM_ORU</t>
  </si>
  <si>
    <t>OB_Epic772313_ORCA_ORU</t>
  </si>
  <si>
    <t>IB_DataInnovations_CA_CACC_HOAG_OR_WACC_ORU_SSU</t>
  </si>
  <si>
    <t>IB_Mayo_CA_OR_ORU</t>
  </si>
  <si>
    <t>OB_Epic772269_ORCA_X12-271</t>
  </si>
  <si>
    <t>OB_Epic772271_ORCA_X12-271</t>
  </si>
  <si>
    <t>OB_Epic772275_ORCA_X12-275</t>
  </si>
  <si>
    <t>OB_Epic772287_ORCA_ADT</t>
  </si>
  <si>
    <t>OB_Epic772289_ORCA_ADT</t>
  </si>
  <si>
    <t>OB_Epic772367_ORCA_ORM</t>
  </si>
  <si>
    <t>OB_Epic772381_ORCA_ORM</t>
  </si>
  <si>
    <t>OB_Epic772801_ORCA_MFN</t>
  </si>
  <si>
    <t>OB_Epic773301_ORCA_ORU</t>
  </si>
  <si>
    <t>OB_Epic773325_ORCA_RSP</t>
  </si>
  <si>
    <t>OB_Epic773329_ORCA_RSP</t>
  </si>
  <si>
    <t>OB_Epic773331_ORCA_RSP</t>
  </si>
  <si>
    <t>OB_Epic30877201501_ORCA_X12-277</t>
  </si>
  <si>
    <t>OB_Epic30877201503_ORCA_X12-277</t>
  </si>
  <si>
    <t>OB_Epic772383_ORCA_ORM</t>
  </si>
  <si>
    <t>OB_Muse_WTX_ADT_ORM</t>
  </si>
  <si>
    <t>IB_C4_Epic772300_ORCA_ORU</t>
  </si>
  <si>
    <t>OB_C6_Epic772300_ORCA_ORU</t>
  </si>
  <si>
    <t>IB C4 Epic772300 ORCA ORU</t>
  </si>
  <si>
    <t>IB_Epic772412_ORCA_ORM</t>
  </si>
  <si>
    <t>IB_Muse_WTX_DFT_ORU</t>
  </si>
  <si>
    <t>OB_Epic772349_ORCA_ORU</t>
  </si>
  <si>
    <t>OB_Epic772319_ORCA_ORU</t>
  </si>
  <si>
    <t>IB_Epic772410_ORCA_ORM</t>
  </si>
  <si>
    <t>IB_Epic772022_ORCA_REF</t>
  </si>
  <si>
    <t>OB_Epic772023_ORCA_REF</t>
  </si>
  <si>
    <t>Reserved</t>
  </si>
  <si>
    <t>IB_EMRLink_OR_ORM</t>
  </si>
  <si>
    <t>IB_PMP_PHS_XML_WebService</t>
  </si>
  <si>
    <t>OB_InterConnect_Epic757645_KRMC_XML</t>
  </si>
  <si>
    <t>IB_EpicInterconnect_WAMT_PMP_REST</t>
  </si>
  <si>
    <t>IB_OutreachRadPerformingLocationService_REST</t>
  </si>
  <si>
    <t>IB_LabCorp_CA_CACC_CPPC_ORU</t>
  </si>
  <si>
    <t>Note: Port in use on WAMT tab. CP3 cnx OB_Epic771313_WAMT_ORU</t>
  </si>
  <si>
    <t>OB_LabCorp_CA_CACC_CPPC_ORM</t>
  </si>
  <si>
    <t xml:space="preserve">Note: Port in use on WAMT tab.  </t>
  </si>
  <si>
    <t>OB_C3_SunquestLCM_CA_LCMSP_ORM_ORU</t>
  </si>
  <si>
    <t>OB_C3_SunquestLCM_CA_LCMT_ORM_ORU</t>
  </si>
  <si>
    <t>OB_C3_Epic772310_ORCA_ORM</t>
  </si>
  <si>
    <t>OB_C3_Epic773400_ORCA_ORM_ORR</t>
  </si>
  <si>
    <t>OB_C3_GE-DMS_CA_ORU</t>
  </si>
  <si>
    <t>IB_AthenaHealth_MTCC_ORCC_ORM</t>
  </si>
  <si>
    <t>OB_C3_SunquestSFV_CA_PHCMC_ORM_ORU</t>
  </si>
  <si>
    <t>OB_C3_Penrad_CA_PTMC_ORU</t>
  </si>
  <si>
    <t>OB_C3_SunquestSFV_CA_PTMC_ORM_ORU</t>
  </si>
  <si>
    <t>OB_C3_SunquestSFV_CA_ORM_ORU</t>
  </si>
  <si>
    <t>IB_C5_Epic729398_AK_ORU</t>
  </si>
  <si>
    <t>OB_RIMA_SCA_PSJMC_ADT_ORM_ORU</t>
  </si>
  <si>
    <t>OB_C5_Epic772700_ORCA_ADT</t>
  </si>
  <si>
    <t>OB_C5_Epic772604_ORCA_RDE</t>
  </si>
  <si>
    <t>OB_C5_Epic772344_ORCA_ORU-FLOW</t>
  </si>
  <si>
    <t>OB_C5_Cerner_OR_ORU</t>
  </si>
  <si>
    <t>OB_Emdeon_OR_ORU</t>
  </si>
  <si>
    <t>OB_LabCorp_CA_WACC_ORM-REFLAB</t>
  </si>
  <si>
    <t>OB_LabCorp_OR_ADT</t>
  </si>
  <si>
    <t>OB_LabCorp_OR_ORM</t>
  </si>
  <si>
    <t>OB_LabCorp_OR_ORU</t>
  </si>
  <si>
    <t>OB_LACare_CA_ADT</t>
  </si>
  <si>
    <t>OB_LabCorp_NCA_OR_ORU</t>
  </si>
  <si>
    <t>OB_CentricityEMR_OR_ADVH_MDM_ORU</t>
  </si>
  <si>
    <t xml:space="preserve">12/18/2014  Vendor cannot support our standard prod port range 14xxx.  19xxx will work for vendor.  14188 old 19188 new. </t>
  </si>
  <si>
    <t>OB_Pascal_CA_PHCMC_ADT</t>
  </si>
  <si>
    <t>OB_Pascal_CA_PHCMC_ORM_ORU-LAB</t>
  </si>
  <si>
    <t>OB_Pascal_CA_PHCMC_ORM_ORU-RAD</t>
  </si>
  <si>
    <t>OB_Pascal_CA_PHCMC_ORM_ORU-MIC</t>
  </si>
  <si>
    <t>OB_Pascal_CA_PHCMC_RAS</t>
  </si>
  <si>
    <t>OB_Pascal_CA_PHCMC_RDE</t>
  </si>
  <si>
    <t>OB_Pascal_CA_PHCMC_ORU-FLOW</t>
  </si>
  <si>
    <t>OB_Ignis_OR_ORU</t>
  </si>
  <si>
    <t>OB_EMRLink_OR_ORU</t>
  </si>
  <si>
    <t>OB_Allscripts_CA_HCP_ADT_MDM</t>
  </si>
  <si>
    <t>OB_ViaPathways_OR_ADT_SIU</t>
  </si>
  <si>
    <t>623-86115</t>
  </si>
  <si>
    <t>OB_Sentry_SCA_SJHO_ADT</t>
  </si>
  <si>
    <t>OB_Sentry_SCA_SMMCAV_ADT</t>
  </si>
  <si>
    <t>OB_Sentry_NCA_SJHE_ADT</t>
  </si>
  <si>
    <t>OB_Sentry_NCA_RMHF_ADT</t>
  </si>
  <si>
    <t>OB_Sentry_NCA_SRMH_ADT</t>
  </si>
  <si>
    <t>OB_Sentry_NCA_PVHP_ADT</t>
  </si>
  <si>
    <t>OB_Sentry_NCA_QVMCN_ADT</t>
  </si>
  <si>
    <t>OB_Sentry_SCA_SJMCF_ADT</t>
  </si>
  <si>
    <t>OB_Sentry_SCA_ADT</t>
  </si>
  <si>
    <t>OB_AthenaHealth_CACC_SVH_ORU</t>
  </si>
  <si>
    <t>OB_Medicopia_CA_ADT</t>
  </si>
  <si>
    <t>OB_APeX_CACC_SVH_ORU-LAB</t>
  </si>
  <si>
    <t>POL104723_IS</t>
  </si>
  <si>
    <t>OB_APeX_CACC_SVH_ORU-RAD</t>
  </si>
  <si>
    <t>OB_LynxePoint_WACC_OBH_ADT</t>
  </si>
  <si>
    <t>OB_C3_Epic773344_ORCA_VXU</t>
  </si>
  <si>
    <t>IB_C3_Epic771006_WAMT_ORM</t>
  </si>
  <si>
    <t>IB_C3_Epic771004_WAMT_ORM</t>
  </si>
  <si>
    <t>OB_iQueue_CA_OR_WTX_SIU</t>
  </si>
  <si>
    <t>Vendor requested for non-std ports</t>
  </si>
  <si>
    <t>IB_RadNet_SCA_SMHDICV_ORU</t>
  </si>
  <si>
    <t>St Joseph Health - code not needed</t>
  </si>
  <si>
    <t>OB_vRad_CA_WTX_ORU</t>
  </si>
  <si>
    <t>OB_LegacyHealth_ORCC_TOC_ORM</t>
  </si>
  <si>
    <t>IB_vRad_CA_WTX_ORU</t>
  </si>
  <si>
    <t>IB_ARIA_SCA_MHMV_SIU</t>
  </si>
  <si>
    <t>IB_ARIA_SCA_SJHO_SIU</t>
  </si>
  <si>
    <t>IB_ARIA_SCA_SJMCF_SIU</t>
  </si>
  <si>
    <t>OB_C6_Epic772322_ORCA_VXU</t>
  </si>
  <si>
    <t>IB_C4_Epic772322_ORCA_VXU</t>
  </si>
  <si>
    <t>OB_CNExT-CAS_SCA_SJHO_ADT</t>
  </si>
  <si>
    <t>OB_CNExT-CAS_SCA_SJHO_ORU</t>
  </si>
  <si>
    <t>OB_CNExT-CAS_SCA_SJMCF_ADT</t>
  </si>
  <si>
    <t>OB_CNExT-CAS_SCA_SJMCF_ORU</t>
  </si>
  <si>
    <t>OB_Mosaiq_NCA_SJHE_ADT</t>
  </si>
  <si>
    <t>IB_Mosaiq_NCA_SJHE_DFT</t>
  </si>
  <si>
    <t>OB_Mosaiq_NCA_QVMCN_ADT</t>
  </si>
  <si>
    <t>IB_Mosaiq_NCA_QVMCN_DFT</t>
  </si>
  <si>
    <t>OB_Mosaiq_WTX_CHCJACCL_ADT</t>
  </si>
  <si>
    <t>IB_Mosaiq_WTX_CHCJACCL_DFT</t>
  </si>
  <si>
    <t>OB_Transfusion_CA_ADT_ORM</t>
  </si>
  <si>
    <t>HCLL renamed to Transfusion. St. Joseph Health</t>
  </si>
  <si>
    <t>IB_Transfusion_CA_ORU</t>
  </si>
  <si>
    <t>IB_Transfusion_CA_DFT</t>
  </si>
  <si>
    <t>OB_vRad_CA_WTX_ADT_ORM</t>
  </si>
  <si>
    <t>OB_ConnectRx_SCA_SJHO_ADT_RDE</t>
  </si>
  <si>
    <t>St. Joseph, SJHO &amp; SJMCF - separate IPs (same app, different servers)</t>
  </si>
  <si>
    <t>OB_eScription_OR_SCA_WACC_WTX_ADT</t>
  </si>
  <si>
    <t>OB_ConnectRx_SCA_SJMCF_ADT_RDE</t>
  </si>
  <si>
    <t>IB_eScription_OR_SCA_WACC_WTX_MDM</t>
  </si>
  <si>
    <t>OB_Synapse_WTX_ADT_ORM_ORU</t>
  </si>
  <si>
    <t>OB_Computrition_OC-SCA_ADT_ORM</t>
  </si>
  <si>
    <t>IB_DeviceConX_WTX_ORU_Legacy_5-16</t>
  </si>
  <si>
    <t>Remaned from IB_DeviceConX_WTX_ORU</t>
  </si>
  <si>
    <t>IB_Thriveworks_CA_NM_OR_WTX_REF</t>
  </si>
  <si>
    <t>IB_DeviceConX-OC2_SCA_ORU_Legacy_5-16</t>
  </si>
  <si>
    <t>Renamed from IB_DeviceConX-OC2_SCA_ORU</t>
  </si>
  <si>
    <t>OB_Thriveworks_CA_NM_OR_WTX_REF</t>
  </si>
  <si>
    <t>IB_DeviceConX-OC1_SCA_ORU_Legacy_5-16</t>
  </si>
  <si>
    <t>Renamed from IB_DeviceConX-OC1_SCA_ORU</t>
  </si>
  <si>
    <t>IB_LegacyHealth_ORCC_TOC_ORU</t>
  </si>
  <si>
    <t>OB_Radimetrics_CA_ORM</t>
  </si>
  <si>
    <t>OB_Radimetrics_CA_ADT</t>
  </si>
  <si>
    <t>IB_Radimetrics_CA_ORU</t>
  </si>
  <si>
    <t>IB_Epic772640_ORCA_RDE</t>
  </si>
  <si>
    <t>PRJ0371820</t>
  </si>
  <si>
    <t>OB_TotalTriage_OR_SCA_WTX_RDE</t>
  </si>
  <si>
    <t>IB_TotalTriage_OR_SCA_WTX_MDM</t>
  </si>
  <si>
    <t>IB_Epic772332_ORCA_ORU</t>
  </si>
  <si>
    <t>PRJ0261942</t>
  </si>
  <si>
    <t>OB_PyxisMedstation_SCA_MFN</t>
  </si>
  <si>
    <t>IB_PyxisMedstation_SCA_DFT_ZPM</t>
  </si>
  <si>
    <t>OB_V5TraumaRegistry_CA_ADT</t>
  </si>
  <si>
    <t>OB_IntelePACS_CACC_CMHC_ADT_ORM_ORU</t>
  </si>
  <si>
    <t>IB_IntelePACS_CACC_CMHC_ORU</t>
  </si>
  <si>
    <t>IB_Interpath_ORCC_CGFM_ORU</t>
  </si>
  <si>
    <t>OB_ClinicalVision_SCA_SJHO_RDE</t>
  </si>
  <si>
    <t>OB_PyxisMedstation-OC_SCA_MFN</t>
  </si>
  <si>
    <t>Added -OC (Orange County) to PyxisMedstation because we already have a separate PyxisMedstation SCA for our legacy CA hospitals.</t>
  </si>
  <si>
    <t>PRJ0449066</t>
  </si>
  <si>
    <t>OB_HealthShareIE_SCA_ORM</t>
  </si>
  <si>
    <t>OB_Cerner_SCA_CMH_ADT</t>
  </si>
  <si>
    <t>OB_iRound_SCA_CMH_ADT</t>
  </si>
  <si>
    <t>OB_MilkTracker_SCA_CMH_ADT</t>
  </si>
  <si>
    <t>OB_NurseCall_SCA_CMH_ADT</t>
  </si>
  <si>
    <t>IB_Epic772348_ORCA_ORU</t>
  </si>
  <si>
    <t>PRJ0394198</t>
  </si>
  <si>
    <t>OB_SafetyNetConnect_SCA_ADT</t>
  </si>
  <si>
    <t>OB_Medtronic_SCA_ADT</t>
  </si>
  <si>
    <t>OB_Synapse_SCA_ADT_ORM_ORU</t>
  </si>
  <si>
    <t>IB_VersaCare_SCA_MDM</t>
  </si>
  <si>
    <t>SCTASK0913121</t>
  </si>
  <si>
    <t>OB_VersaCare_SCA_ADT</t>
  </si>
  <si>
    <t>IB_OBIX-ASI_SCA_MHMV_ORU</t>
  </si>
  <si>
    <t>IB_OBIX-ASI_SCA_SJHO_ORU</t>
  </si>
  <si>
    <t>IB_OBIX-ASI_SCA_SJMCF_ORU</t>
  </si>
  <si>
    <t>IB_OBIX-ASI_SCA_SMMCAV_ORU</t>
  </si>
  <si>
    <t>IB_OBIX_SCA_MHMV_ORU</t>
  </si>
  <si>
    <t>IB_OBIX_SCA_SJHO_ORU</t>
  </si>
  <si>
    <t>IB_OBIX_SCA_SJMCF_ORU</t>
  </si>
  <si>
    <t>IB_OBIX_SCA_SMMCAV_ORU</t>
  </si>
  <si>
    <t xml:space="preserve">OB_SynapsePACS_SCA_ORM_ORU-1	</t>
  </si>
  <si>
    <t>224951822926 - 49510000</t>
  </si>
  <si>
    <t>OB_Rosch_CA_ADT</t>
  </si>
  <si>
    <t>IB_Rosch_CA_DFT</t>
  </si>
  <si>
    <t>OB_ClinicalVision_SCA_SJHO_ADT</t>
  </si>
  <si>
    <t>IB_ClinicalVision_SCA_SJHO_ORM</t>
  </si>
  <si>
    <t>OB_ClinicalVision_SCA_SJHO_ORU</t>
  </si>
  <si>
    <t>OB_AS-OBGYN_SCA_MHMV_ADT_ORM</t>
  </si>
  <si>
    <t>IB_AS-OBGYN_SCA_MHMV_ORU</t>
  </si>
  <si>
    <t>OB_TEGManager_SCA_MHMV_ADT</t>
  </si>
  <si>
    <t>PRJ0050304 (St. Joseph’s OCHD go-live)</t>
  </si>
  <si>
    <t>IB_Epic772366_ORCA_ORU</t>
  </si>
  <si>
    <t>IB_HealthshareIE_ORCC_CHN_MDM</t>
  </si>
  <si>
    <t>OB_Vigilance_OR_SCA_ADT</t>
  </si>
  <si>
    <t>OB_Vigilance_OR_SCA_ORU</t>
  </si>
  <si>
    <t>IB_Vigilance_OR_SCA_ORU</t>
  </si>
  <si>
    <t>OB_VersaCare_ORCC_CHN_ADT</t>
  </si>
  <si>
    <t>IB_VersaCare_ORCC_CHN_MDM</t>
  </si>
  <si>
    <t>IB_CadenceRPM_CA_ORU</t>
  </si>
  <si>
    <t>OB_NeuroWorkbench_OR_ORM</t>
  </si>
  <si>
    <t>OB_GE-CommandCenter_OR_ADT</t>
  </si>
  <si>
    <t>OB_ClinicalVision_SCA_SJHO_RAS</t>
  </si>
  <si>
    <t>OB_AQURE_SCA_ADT</t>
  </si>
  <si>
    <t>IB_AQURE_SCA_ORU</t>
  </si>
  <si>
    <t>IB_Medline_OR_SCA_DFT</t>
  </si>
  <si>
    <t>OB_GE-CommandCenter_OR_ORM</t>
  </si>
  <si>
    <t>OB_OnRad_SCA_ORM</t>
  </si>
  <si>
    <t>IB_OnRad_SCA_ORU</t>
  </si>
  <si>
    <t>OB_NaviCareNurseCall_SCA_MHLB_ADT</t>
  </si>
  <si>
    <t>OB_NaviCareNurseCall_SCA_MHMV_ADT</t>
  </si>
  <si>
    <t>IB_Epic772420_ORCA_ORM</t>
  </si>
  <si>
    <t>OB_FOTO_CA_ADT</t>
  </si>
  <si>
    <t>IB_FOTO_CA_MDM</t>
  </si>
  <si>
    <t>OB_SynapsePACS_SCA_ORM_ORU-2</t>
  </si>
  <si>
    <t>OB_SynapsePACS_SCA_ORM_ORU-3</t>
  </si>
  <si>
    <t>IB_DeviceConX_SCA_ORU-7</t>
  </si>
  <si>
    <t>IB_DeviceConX_SCA_ORU-8</t>
  </si>
  <si>
    <t>OB_Synapse_NCA_ADT_ORM_ORU</t>
  </si>
  <si>
    <t>OB_DRSystems_SCA_ADT_ORM</t>
  </si>
  <si>
    <t>IB_DRSystems_SCA_ORU</t>
  </si>
  <si>
    <t>OB_NuanceCDE_CA_OR_ADT</t>
  </si>
  <si>
    <t>OB_Xper_SCA_SJMCF_ADT_ORM</t>
  </si>
  <si>
    <t>IB_Xper_SCA_SJMCF_ORU</t>
  </si>
  <si>
    <t>OB_PyxisMedstation_WACC_OBH_ADT_RDE</t>
  </si>
  <si>
    <t>IB_PyxisMedstation_WACC_OBH_DFT_ZPM</t>
  </si>
  <si>
    <t>IB_Epic772340_ORCA_ORU</t>
  </si>
  <si>
    <t>PRJ0460106 COVID</t>
  </si>
  <si>
    <t>IB_OBIX-ASI_OR_PHRMC_ORU</t>
  </si>
  <si>
    <t>IB_OBIX-ASI_OR_PMMC_ORU</t>
  </si>
  <si>
    <t>IB_OBIX-ASI_OR_PNMC_ORU</t>
  </si>
  <si>
    <t>IB_OBIX-ASI_OR_PPMC_ORU</t>
  </si>
  <si>
    <t>IB_OBIX-ASI_OR_PSH_ORU</t>
  </si>
  <si>
    <t>IB_OBIX-ASI_OR_PSVMC_ORU</t>
  </si>
  <si>
    <t>IB_OBIX-ASI_OR_PWFMC_ORU</t>
  </si>
  <si>
    <t>IB_OBIX-ASI_SCA_LCMSP_ORU</t>
  </si>
  <si>
    <t>IB_OBIX-ASI_SCA_LCMT_ORU</t>
  </si>
  <si>
    <t>IB_OBIX-ASI_SCA_PHCMC_ORU</t>
  </si>
  <si>
    <t>IB_OBIX-ASI_SCA_PSJHC_ORU</t>
  </si>
  <si>
    <t>IB_OBIX-ASI_SCA_PSJMC_ORU</t>
  </si>
  <si>
    <t>IB_OBIX-ASI_SCA_PTMC_ORU</t>
  </si>
  <si>
    <t>OB_PerfectServe_SCA_ADT</t>
  </si>
  <si>
    <t>IB_PIICiX_SCA_SJHO_MDM</t>
  </si>
  <si>
    <t>OB_PIICiX_SCA_SJHO_ADT</t>
  </si>
  <si>
    <t>OB_GE-CommandCenter_OR_ORM_Replica</t>
  </si>
  <si>
    <t>62386159</t>
  </si>
  <si>
    <t>OB_GE-CommandCenter_OR_ADT_Replica</t>
  </si>
  <si>
    <t>OB_CipherHealth_SCA_PSJHC_PPR</t>
  </si>
  <si>
    <t>IB_Epic772288_ORCA_DFT</t>
  </si>
  <si>
    <t>OB_Novarad_ORCC_SCHHC_ADT_ORM_ORU</t>
  </si>
  <si>
    <t>IB_Novarad_ORCC_SCHHC_ORU</t>
  </si>
  <si>
    <t>OB_NuanceCDE_CA_OR_MDM</t>
  </si>
  <si>
    <t>OB_NuanceCDE_CA_OR_DFT</t>
  </si>
  <si>
    <t>IB_NuanceCDE_CA_OR_MDM-PCI</t>
  </si>
  <si>
    <t>OB_NuanceCDE_CA_OR_MDM-PCI</t>
  </si>
  <si>
    <t>IB_NuanceCDE_CA_OR_ADT</t>
  </si>
  <si>
    <t>OB_ARIA_NCA_SRMH_ADT</t>
  </si>
  <si>
    <t>OB_ARIA_NCA_SRMH_SIU</t>
  </si>
  <si>
    <t>IB_ARIA_NCA_SRMH_SIU</t>
  </si>
  <si>
    <t>OB_ARIA_NCA_SRMH_MDM</t>
  </si>
  <si>
    <t>OB_ARIA_NCA_SRMH_ORU</t>
  </si>
  <si>
    <t>IB_ARIA_NCA_SRMH_DFT</t>
  </si>
  <si>
    <t>IB_ARIA_NCA_SRMH_ORU</t>
  </si>
  <si>
    <t>OB_Responder5NurseCall_NCA_QVMCN_ADT</t>
  </si>
  <si>
    <t>IB_DeviceConX_NCA_ORU_Legacy_5-16</t>
  </si>
  <si>
    <t>Renamed IB_DeviceConX_NCA_ORU</t>
  </si>
  <si>
    <t>OB_GE-CommandCenter_OR_SIU</t>
  </si>
  <si>
    <t>OB_GE-CommandCenter_OR_SIU_Replica</t>
  </si>
  <si>
    <t>OB_EpiCenter_CA_ADT</t>
  </si>
  <si>
    <t>IB_Epic772270_ORCA_X12-270</t>
  </si>
  <si>
    <t>OB_PowerScribeOne_CA_ADT</t>
  </si>
  <si>
    <t>OB_PowerScribeOne_CA_ORM_ORU</t>
  </si>
  <si>
    <t>IB_PowerScribeOne_CA_ORU</t>
  </si>
  <si>
    <t>OB_DynaLync_NCA_ADT</t>
  </si>
  <si>
    <t>OB_CPN_SCA_SJHO_ADT</t>
  </si>
  <si>
    <t>OB_CPN_SCA_SJHO_ORU</t>
  </si>
  <si>
    <t>IB_CPN_SCA_SJHO_ORU</t>
  </si>
  <si>
    <t>OB_Statrad_NCA_ORM_ORU</t>
  </si>
  <si>
    <t>OB_HealthShareIE_SCA_ORU-FLOW</t>
  </si>
  <si>
    <t>OB_WestCall_SCA_SJHO_ADT</t>
  </si>
  <si>
    <t>OB_Lumedic_ORCA_X12-270_X12-271</t>
  </si>
  <si>
    <t>IB_Lumedic_ORCA_X12-271</t>
  </si>
  <si>
    <t>OB_ChangeHealth_SCA_ADT</t>
  </si>
  <si>
    <t>OB_PyxisMedstation_NCA_ADT_RDE_Legacy</t>
  </si>
  <si>
    <t>IB_PyxisMedstation_NCA_PVHP_DFT_ZPM</t>
  </si>
  <si>
    <t>IB_PyxisMedstation_NCA_QVMCN_DFT_ZPM</t>
  </si>
  <si>
    <t>IB_PyxisMedstation_NCA_DFT_ZPM_Legacy</t>
  </si>
  <si>
    <t>IB_PyxisMedstation_NCA_SRMH_DFT_ZPM</t>
  </si>
  <si>
    <t>OB_ PatientVisibility_OR_ADT</t>
  </si>
  <si>
    <t>POL100470_IS </t>
  </si>
  <si>
    <t>OB_Mosaiq_NCA_SJHE_SIU</t>
  </si>
  <si>
    <t>IB_Mosaiq_NCA_SJHE_SIU</t>
  </si>
  <si>
    <t>OB_Mosaiq_SCA_SIU</t>
  </si>
  <si>
    <t>IB_Sonifi_SCA_PTMC_PPR</t>
  </si>
  <si>
    <t>IB_Statrad_NCA_ORU</t>
  </si>
  <si>
    <t>IB_VaultStream_SCA_ORU</t>
  </si>
  <si>
    <t>OB_VaultStream_SCA_ORM</t>
  </si>
  <si>
    <t>IB_Epic772282_ORCA_X12-278</t>
  </si>
  <si>
    <t>OB_GE-CommandCenter_OR_ORU-FLOW</t>
  </si>
  <si>
    <t>OB_GE-CommandCenter_OR_ORU-FLOW_Replica</t>
  </si>
  <si>
    <t>IB_Epic773404_ORCA_ORM</t>
  </si>
  <si>
    <t>OB_Quest_SCA_WTX_ORM</t>
  </si>
  <si>
    <t>IB_Quest_SCA_WTX_ORU</t>
  </si>
  <si>
    <t>OB_Waystar_ORCA_X12-278</t>
  </si>
  <si>
    <t>IB_Waystar_ORCA_X12-278</t>
  </si>
  <si>
    <t>OB_UltraRAD_CACC_CMHC_ADT_ORM</t>
  </si>
  <si>
    <t>IB_DeviceConX_HOAG_SCA_ORU_Legacy_5-16</t>
  </si>
  <si>
    <t>Renamed from IB_DeviceConX_HOAG_SCA_ORU</t>
  </si>
  <si>
    <t>IB_DeviceConX_OR_ORU_Legacy_5-16</t>
  </si>
  <si>
    <t>Remaned from IB_DeviceConX_OR_ORU</t>
  </si>
  <si>
    <t>OB_HospitalOvercrowding_OR_SCA_ORU</t>
  </si>
  <si>
    <t>PRJ0388202</t>
  </si>
  <si>
    <t>OB_PyxisLogistics_SCA_MHMV_RDE</t>
  </si>
  <si>
    <t>OB_BabySteps_NCA_SCA_MDM</t>
  </si>
  <si>
    <t>49584932</t>
  </si>
  <si>
    <t>OB_Xper_SCA_MHMV_ADT_ORM</t>
  </si>
  <si>
    <t>IB_Vincari_CA_HOAG_OR_WTX_MDM</t>
  </si>
  <si>
    <t>OB_Vincari_CA_HOAG_OR_WTX_SIU</t>
  </si>
  <si>
    <t>OB_Vincari_CA_HOAG_OR_WTX_ADT</t>
  </si>
  <si>
    <t>OB_Sensis_SCA_SJHO_ADT</t>
  </si>
  <si>
    <t>OB_Sensis_SCA_SJHO_ORM</t>
  </si>
  <si>
    <t>IB_Xper_SCA_MHMV_ORU</t>
  </si>
  <si>
    <t>IB_Sensis_SCA_SJHO_ORU</t>
  </si>
  <si>
    <t>OB_Medaptus_NCA_QVMCN_ADT</t>
  </si>
  <si>
    <t>OB_DynaLync_NCA_ORM</t>
  </si>
  <si>
    <t>OB_NaviCareNurseCall_NCA_SJHE_ADT</t>
  </si>
  <si>
    <t>OB_Xper_SCA_SJMCF_ORM</t>
  </si>
  <si>
    <t>OB_EMA_SCA_MHMV_ADT</t>
  </si>
  <si>
    <t>OB_Mosaiq_NCA_SJHE_MDM</t>
  </si>
  <si>
    <t>IB_Mosaiq_NCA_SJHE_MDM</t>
  </si>
  <si>
    <t>IB_NCHIIN_NCA_ORU</t>
  </si>
  <si>
    <t>OB_NuanceCDE_CA_OR_ORU-CARD_RAD</t>
  </si>
  <si>
    <t>OB_Ambra_CA_OR_ADT_ORU</t>
  </si>
  <si>
    <t>OB_Experian_ORCA_X12-270</t>
  </si>
  <si>
    <t>IB_Experian_ORCA_X12-271</t>
  </si>
  <si>
    <t>OB_OnBase_ORCA_ADT_MDM-3</t>
  </si>
  <si>
    <t>OB_OnBase_ORCA_ADT_MDM-4</t>
  </si>
  <si>
    <t>OB_OnBase_ORCA_ADT_MDM-5</t>
  </si>
  <si>
    <t>IB_Epic771634_WAMT_RDE</t>
  </si>
  <si>
    <t xml:space="preserve">IB_ ParataMax_WWA_ZPM	</t>
  </si>
  <si>
    <t>OB_Brault_NCA_SRMH_ADT</t>
  </si>
  <si>
    <t>OB_MedMined_NMCC_NLHD_RAS</t>
  </si>
  <si>
    <t>POL102617_IS</t>
  </si>
  <si>
    <t>OB_C6_Epic772200_ORCA_PPR</t>
  </si>
  <si>
    <t>IB_C4_Epic772200_ORCA_PPR</t>
  </si>
  <si>
    <t>IB_Lumedic_CA_QBP_WS-REST</t>
  </si>
  <si>
    <t>OB_Lumedic_CA_RSP_WS-REST</t>
  </si>
  <si>
    <t>IB_Lumedic_NMCC_QBP_WS-REST</t>
  </si>
  <si>
    <t>OB_Lumedic_NMCC_RSP_WS-REST</t>
  </si>
  <si>
    <t>IB_Lumedic_TX_QBP_WS-REST</t>
  </si>
  <si>
    <t>OB_Lumedic_TX_RSP_WS-REST</t>
  </si>
  <si>
    <t>OB_ChangeHealthcare-Rad_NCA_ADT</t>
  </si>
  <si>
    <t>OB_ChangeHealthcare-Rad_NCA_ORM</t>
  </si>
  <si>
    <t>IB_ChangeHealthcare-Rad_NCA_ORU</t>
  </si>
  <si>
    <t>OB_TEGManager_NCA_QVMCN_ADT</t>
  </si>
  <si>
    <t>OB_TEGManager_NCA_SRMH_ADT</t>
  </si>
  <si>
    <t>IB_OBIX_NCA_PVHP_ORU</t>
  </si>
  <si>
    <t>IB_OBIX_NCA_QVMCN_ORU</t>
  </si>
  <si>
    <t>IB_OBIX_NCA_SJHE_ORU</t>
  </si>
  <si>
    <t>IB_OBIX_NCA_SRMH_ORU</t>
  </si>
  <si>
    <t>IB_OBIX-ASI_NCA_PVHP_ORU</t>
  </si>
  <si>
    <t>IB_OBIX-ASI_NCA_QVMCN_ORU</t>
  </si>
  <si>
    <t>IB_OBIX-ASI_NCA_SJHE_ORU</t>
  </si>
  <si>
    <t>IB_OBIX-ASI_NCA_SRMH_ORU</t>
  </si>
  <si>
    <t>OB_VersaCare_NMCC_NLHD_ADT</t>
  </si>
  <si>
    <t>IB_VersaCare_NMCC_NLHD_MDM</t>
  </si>
  <si>
    <t>OB_iHeal_WTX_ADT_ORU</t>
  </si>
  <si>
    <t>OB_OperatorAssistant_WTX_ADT</t>
  </si>
  <si>
    <t>EPIC4SJH</t>
  </si>
  <si>
    <t>OB_Cerner_CA_ADT_ORM_ORR</t>
  </si>
  <si>
    <t xml:space="preserve">separate CA orders and ADT to Cerner from Oregon orders </t>
  </si>
  <si>
    <t>48987512</t>
  </si>
  <si>
    <t>OB_Vocera_CA_OR_WTX_ADT</t>
  </si>
  <si>
    <t>OB_Vocera_CA_OR_WTX_ORM</t>
  </si>
  <si>
    <t>OB_CedarsSinai_SCA_PTMC_ADT_DFT</t>
  </si>
  <si>
    <t>This is for Physician Bill project POL101868_IS</t>
  </si>
  <si>
    <t>72572350</t>
  </si>
  <si>
    <t>OB_CareChek_WTX_CHCHL_ADT_ORM</t>
  </si>
  <si>
    <t>OB_ChangeHealthcare-Card_WTX_ADT</t>
  </si>
  <si>
    <t>OB_Mosaiq_WTX_CHCJACCL_SIU</t>
  </si>
  <si>
    <t>IB_Mosaiq_WTX_CHCJACCL_SIU</t>
  </si>
  <si>
    <t>OB_Mosaiq_WTX_CHCJACCL_MDM</t>
  </si>
  <si>
    <t>IB_Mosaiq_WTX_CHCJACCL_MDM</t>
  </si>
  <si>
    <t>IB_LVMOne_CA_MDM</t>
  </si>
  <si>
    <t>IB_CareChek_WTX_CHCHL_MDM</t>
  </si>
  <si>
    <t xml:space="preserve">IB_Atlas_WTX_CHMCL_ORM	</t>
  </si>
  <si>
    <t>POL103793_IS</t>
  </si>
  <si>
    <t>OB_PyxisMedstation_WTX_ADT_RDE</t>
  </si>
  <si>
    <t>IB_PyxisMedstation_WTX_DFT_ZPM</t>
  </si>
  <si>
    <t>IB_PyxisMedstation_WTX_CHP_DFT_ZPM</t>
  </si>
  <si>
    <t>IB_PyxisMedstation_WTX_CHSPL_DFT_ZPM</t>
  </si>
  <si>
    <t>OB_TEGManager_WTX_TCM_ADT</t>
  </si>
  <si>
    <t>OB_ChangeHealthcare-Card_WTX_ORM</t>
  </si>
  <si>
    <t>IB_ChangeHealthcare-Card_WTX_ORU</t>
  </si>
  <si>
    <t>IB_Epic772504_ORCA_SIU</t>
  </si>
  <si>
    <t>IB_OBIX_WTX_CHCHL_ORU</t>
  </si>
  <si>
    <t>IB_OBIX_WTX_CHHL_ORU</t>
  </si>
  <si>
    <t>IB_OBIX_WTX_CHP_ORU</t>
  </si>
  <si>
    <t>IB_OBIX-ASI_WTX_CHCHL_ORU</t>
  </si>
  <si>
    <t>IB_OBIX-ASI_WTX_CHHL_ORU</t>
  </si>
  <si>
    <t>IB_OBIX-ASI_WTX_CHP_ORU</t>
  </si>
  <si>
    <t>OB_iHeal_WTX_SIU</t>
  </si>
  <si>
    <t>OB_iHeal_WTX_ORU</t>
  </si>
  <si>
    <t>IB_DeviceConX-OC1_SCA_ORU-1</t>
  </si>
  <si>
    <t>IB_DeviceConX-OC2_SCA_ORU-1</t>
  </si>
  <si>
    <t>IB_DeviceConX_SCA_ORU-1</t>
  </si>
  <si>
    <t>IB_DeviceConX_NCA_ORU-1</t>
  </si>
  <si>
    <t>IB_DeviceConX_OR_ORU-1</t>
  </si>
  <si>
    <t>IB_DeviceConX_WTX_ORU-1</t>
  </si>
  <si>
    <t>OB_CCERespiratory_WTX_CHMCL_ADT</t>
  </si>
  <si>
    <t>OB_Vyaire_WTX_CHMCL_ADT</t>
  </si>
  <si>
    <t>IB_OpenText_WTX_CHMCL_ORM</t>
  </si>
  <si>
    <t>OB_Kyruus_CA_HOAG_OR_WTX_SIU</t>
  </si>
  <si>
    <t>OB_RANT_WTX_ADT</t>
  </si>
  <si>
    <t>OB_RANT_WTX_ORM</t>
  </si>
  <si>
    <t>OB_RANT_WTX_ORU</t>
  </si>
  <si>
    <t>IB_RANT_WTX_ORU</t>
  </si>
  <si>
    <t>OB_PowerScribeOneCriticalReporting_CA_MFN</t>
  </si>
  <si>
    <t>PRJ0438493</t>
  </si>
  <si>
    <t>OB_1Call_SCA_SJMCF_ADT</t>
  </si>
  <si>
    <t>IB_iHeal_WTX_DFT</t>
  </si>
  <si>
    <t>IB_Meditech_WTX_ADT</t>
  </si>
  <si>
    <t>renamed from IB_Meditech_NCA_ADT</t>
  </si>
  <si>
    <t>OB_DirectRadiology_NCA_QVMCN_ORM</t>
  </si>
  <si>
    <t>IB_DirectRadiology_NCA_QVMCN_ORU</t>
  </si>
  <si>
    <t>IB_Quest_WTX_ORM</t>
  </si>
  <si>
    <t>St. Joe's</t>
  </si>
  <si>
    <t>IB_Viewpoint_SCA_ORU</t>
  </si>
  <si>
    <t>OB_Viewpoint_SCA_ADT_ORM</t>
  </si>
  <si>
    <t>OB_PyxisMedstation_NCA_ADT_RDE</t>
  </si>
  <si>
    <t>New port request for existing connection.</t>
  </si>
  <si>
    <t>IB_PyxisMedstation_NCA_DFT_ZPM</t>
  </si>
  <si>
    <t>OB_PyxisMedstation_NCA_MFN</t>
  </si>
  <si>
    <t>IB_iHeal_WTX_MDM</t>
  </si>
  <si>
    <t>IB_Epic772806_ORCA_OMS</t>
  </si>
  <si>
    <t>POL103957_IS</t>
  </si>
  <si>
    <t>OB_ViewPoint_WTX_ADT_ORM</t>
  </si>
  <si>
    <t>IB_Viewpoint_WTX_ORU</t>
  </si>
  <si>
    <t>OB_Rezolut-EXA_SCA_ADT_ORM</t>
  </si>
  <si>
    <t>48988100.749003</t>
  </si>
  <si>
    <t>IB_Rezolut-EXA_SCA_ORU</t>
  </si>
  <si>
    <t>OB_PostAcuteAnalytics_ORCA_ADT</t>
  </si>
  <si>
    <t xml:space="preserve">OB_NeuroWorkbench_SCA_SMMCAV_ORM </t>
  </si>
  <si>
    <t>224952131619</t>
  </si>
  <si>
    <t>IB_NeuroWorkbench_SCA_SMMCAV_ORU</t>
  </si>
  <si>
    <t>OB_HospitalOvercrowding_CA_CACC_OR_ORCC_WTX_MDM</t>
  </si>
  <si>
    <t>OB_HospitalOvercrowding_CA_CACC_OR_ORCC_WTX_SIU</t>
  </si>
  <si>
    <t>OB_PhilipsIMS_CA_ADT</t>
  </si>
  <si>
    <t>POL101366_IS</t>
  </si>
  <si>
    <t>IB_Epic772328_ORCA_VXU</t>
  </si>
  <si>
    <t>OB_Spacelabs_WTX_ADT</t>
  </si>
  <si>
    <t>IB_GE-IDX_SCA_ADT</t>
  </si>
  <si>
    <t>IB_IMS_SCA_SSU</t>
  </si>
  <si>
    <t>IB_Epic772352_ORCA_ORU</t>
  </si>
  <si>
    <t>OB_GE-MissionControl_OR_ORU</t>
  </si>
  <si>
    <t>OB_PolysmithSleepLab_OR_ADT_ORM</t>
  </si>
  <si>
    <t>224952131103</t>
  </si>
  <si>
    <t>IB_PolysmithSleepLab_OR_ORU</t>
  </si>
  <si>
    <t>OB_IMS_SCA_OML</t>
  </si>
  <si>
    <t>OB_IMS_SCA_ORU</t>
  </si>
  <si>
    <t>IB_Omnicell_CACC_FMC_DFT_ZPM</t>
  </si>
  <si>
    <t>OB_Omnicell_CACC_FMC_ADT_RDE</t>
  </si>
  <si>
    <t>OB_TEGManager_WAMT_KRMC_ADT</t>
  </si>
  <si>
    <t>OB_Experian_SCA_ADT</t>
  </si>
  <si>
    <t>OB_ProVationApex_CACC_FMC_ADT_ORM</t>
  </si>
  <si>
    <t>IB_ProVationApex_CACC_FMC_ORU</t>
  </si>
  <si>
    <t>IB_Fluency_CACC_FMC_ORU</t>
  </si>
  <si>
    <t>OB_Fluency_CACC_FMC_ADT_ORM</t>
  </si>
  <si>
    <t>OB_Dentrix_CACC_FFHC_ADT</t>
  </si>
  <si>
    <t>IB_Dentrix_CACC_FFHC_DFT</t>
  </si>
  <si>
    <t>OB_Aquity-Fluency_CACC_FMC_ORM</t>
  </si>
  <si>
    <t>IB_Aquity-Fluency_CACC_FMC_ORU</t>
  </si>
  <si>
    <t>OB_IntelliSpaceECG_CACC_FMC_ADT_ORM</t>
  </si>
  <si>
    <t>Fairchild</t>
  </si>
  <si>
    <t>IB_IntelliSpaceECG_CACC_FMC_ORU</t>
  </si>
  <si>
    <t>OB_HospitalOvercrowding_CA_CACC_OR_ORCC_WTX_PPR</t>
  </si>
  <si>
    <t>IB_MergePACS_CACC_FMC_ORU</t>
  </si>
  <si>
    <t>POL104256_IS - 49584938 </t>
  </si>
  <si>
    <t>OB_MergePACS_CACC_FMC_ORM</t>
  </si>
  <si>
    <t>OB_MergePACS_CACC_FMC_ORU</t>
  </si>
  <si>
    <t>OB_MergePACS_CACC_FMC_ADT</t>
  </si>
  <si>
    <t>OB_PyxisMedstation_NM_CHHH_ADT_RDE</t>
  </si>
  <si>
    <t>POL104115_IS</t>
  </si>
  <si>
    <t>IB_PyxisMedstation_NM_CHHH_DFT_ZPM</t>
  </si>
  <si>
    <t>IB_OBIX_NM_CHHH_ORU</t>
  </si>
  <si>
    <t>operational expense</t>
  </si>
  <si>
    <t>IB_OBIX-ASI_NM_CHHH_ORU</t>
  </si>
  <si>
    <t>OB_Telcor_CACC_FMC_ADT</t>
  </si>
  <si>
    <t>IB_Telcor_CACC_FMC_ORU</t>
  </si>
  <si>
    <t>OB_WestCom_CACC_FMC_ADT</t>
  </si>
  <si>
    <t>POL104256</t>
  </si>
  <si>
    <t>OB_Muse_NM_ADT_ORM</t>
  </si>
  <si>
    <t>IB_Muse_NM_DFT_ORU</t>
  </si>
  <si>
    <t>OB_Aceso_CACC_FMC_ADT</t>
  </si>
  <si>
    <t>POL104256_IS // 49584906</t>
  </si>
  <si>
    <t>OB_VeeMed_CACC_FMC_ADT</t>
  </si>
  <si>
    <t>OB_AthenaHealth_CACC_FMC_ORU</t>
  </si>
  <si>
    <t>IB_VeeMed_CACC_FMC_MDM</t>
  </si>
  <si>
    <t>POL104336_IS</t>
  </si>
  <si>
    <t>IB_OBIX_CACC_FMC_ORU</t>
  </si>
  <si>
    <t>IB_OBIX-ASI_CACC_FMC_ORU</t>
  </si>
  <si>
    <t>OB_NeuroWorkbench_NCA_ORM</t>
  </si>
  <si>
    <t>OB_ProVation_NM_CHHH_ADT_ORM</t>
  </si>
  <si>
    <t>IB_ProVation_NM_CHHH_ORU</t>
  </si>
  <si>
    <t>vendor moving to new server, old ports will be retired</t>
  </si>
  <si>
    <t>OB_NexIA_OR_RDE</t>
  </si>
  <si>
    <t xml:space="preserve">IB_Epic772634_ORCA_RDE	</t>
  </si>
  <si>
    <t>IB_SmartCare_CACC_FMC_ORM</t>
  </si>
  <si>
    <t>IB_NexIA_OR_RDS_ZPM</t>
  </si>
  <si>
    <t>OB_CNExT-CAS_SCA_SMMCAV_ADT</t>
  </si>
  <si>
    <t>2300870010</t>
  </si>
  <si>
    <t>OB_CNExT-CAS_SCA_SMMCAV_ORU</t>
  </si>
  <si>
    <t>IB_ClinicalPath_OR_SCA_MDM</t>
  </si>
  <si>
    <t>48987508</t>
  </si>
  <si>
    <t>OB_RelianceHIE_CACC _ADT</t>
  </si>
  <si>
    <t>POL104336_IS // 49584906</t>
  </si>
  <si>
    <t>OB_RelianceHIE_CACC _MDM</t>
  </si>
  <si>
    <t>OB_RelianceHIE_CACC _ORU-LAB</t>
  </si>
  <si>
    <t>OB_RelianceHIE_CACC _ORU-RAD</t>
  </si>
  <si>
    <t>OB_1Call_SCA_PSJMC_ADT</t>
  </si>
  <si>
    <t>OB_1Call_SCA_LCMT_ADT</t>
  </si>
  <si>
    <t>OB_1Call_SCA_PHCMC_ADT</t>
  </si>
  <si>
    <t>OB_1Call_SCA_PSJHC_ADT</t>
  </si>
  <si>
    <t>OB_1Call_SCA_LCMSP_ADT</t>
  </si>
  <si>
    <t>OB_1Call_SCA_PTMC_ADT</t>
  </si>
  <si>
    <t>OB_HospitalOvercrowding_CA_CACC_OR_ORCC_WTX_RDE</t>
  </si>
  <si>
    <t>IB_DeviceConX_NM_NMCC_ORU-1</t>
  </si>
  <si>
    <t>49584138</t>
  </si>
  <si>
    <t>OB_Brainlab_OR_PSVMC_ADT_SIU</t>
  </si>
  <si>
    <t>10001753</t>
  </si>
  <si>
    <t>OB_Mosaiq_OR_SIU</t>
  </si>
  <si>
    <t>224951925754</t>
  </si>
  <si>
    <t>OB_Mosaiq_OR_MDM</t>
  </si>
  <si>
    <t>OB_NeuroWorkbench_NCA_QVMCN_ORM</t>
  </si>
  <si>
    <t>OB_RadNet_CACC_OR_SCA_ORM</t>
  </si>
  <si>
    <t>IB_RadNet_CACC_OR_SCA_ORU</t>
  </si>
  <si>
    <t>IB_Mosaiq_OR_SIU</t>
  </si>
  <si>
    <t>OB_Radia_CA_ADT</t>
  </si>
  <si>
    <t>27048610027686</t>
  </si>
  <si>
    <t>OB_Radia_CA_ORM</t>
  </si>
  <si>
    <t>IB_Radia_CA_ORU</t>
  </si>
  <si>
    <t>OB_Zotec_WTX_CHP_ADT_ORU</t>
  </si>
  <si>
    <t>IB_Epic772202_ORCA_ORM</t>
  </si>
  <si>
    <t>OB_Synapse_CACC_SVH_ADT_ORM_ORU</t>
  </si>
  <si>
    <t>IB_Synapse_CACC_SVH_ORU</t>
  </si>
  <si>
    <t>OB_PatientDB_CACC_SVH_ADT</t>
  </si>
  <si>
    <t>OB_Fluency_CACC_SVH_ADT_ORM</t>
  </si>
  <si>
    <t>IB_Fluency_CACC_SVH_ORU</t>
  </si>
  <si>
    <t>IB_Paragon_CACC_SVH_MFN</t>
  </si>
  <si>
    <t xml:space="preserve">OB_ANGELEYE_SCA_ADT	</t>
  </si>
  <si>
    <t>OB_MRS_CACC_SVH_ADT_ORM</t>
  </si>
  <si>
    <t>IB_Studycast_CACC_SVH_ORU</t>
  </si>
  <si>
    <t>OB_Studycast_CACC_SVH_ORM</t>
  </si>
  <si>
    <t>OB_PyxisMedstation_CACC_SVH_ADT_RDE</t>
  </si>
  <si>
    <t>IB_PyxisMedstation_CACC_SVH_DFT_ZPM</t>
  </si>
  <si>
    <t>IB_Acumen_OR_NWRE_ORM</t>
  </si>
  <si>
    <t>POL105257_IS // 49584906</t>
  </si>
  <si>
    <t>OB_Acumen_OR_NWRE_ORU</t>
  </si>
  <si>
    <t>OB_DynaCAD_NMCC_NLHD_ADT_ORM</t>
  </si>
  <si>
    <t>IB_DynaCAD_NMCC_NLHD_MDM</t>
  </si>
  <si>
    <t>OB_Experinio_SCA_ADT</t>
  </si>
  <si>
    <t>OB_USACS_CACC_SVH_ADT</t>
  </si>
  <si>
    <t>IB_Epic773328_ORCA_QBP</t>
  </si>
  <si>
    <t>OB_Spacelabs_CACC_SVH_ADT</t>
  </si>
  <si>
    <t>IB_Vision_ORCC_DFT</t>
  </si>
  <si>
    <t>IB_Epic772274_ORCA_X12-274</t>
  </si>
  <si>
    <t>OB_SmartCare_CACC_FMC_ORU</t>
  </si>
  <si>
    <t>IB_Experian_ORCA_X12-275</t>
  </si>
  <si>
    <t>IB_NGSReporter_ORCA_ORU</t>
  </si>
  <si>
    <t>OB_XSOLIS_OR_ADT</t>
  </si>
  <si>
    <t>OB_PyxisMedstation_CACC_SVH_MFN</t>
  </si>
  <si>
    <t>OB_XSOLIS_OR_SIU</t>
  </si>
  <si>
    <t>OB_XSOLIS_OR_MDM</t>
  </si>
  <si>
    <t>OB_XSOLIS_OR_RAS</t>
  </si>
  <si>
    <t>OB_XSOLIS_OR_ORM</t>
  </si>
  <si>
    <t>OB_XSOLIS_OR_ORU</t>
  </si>
  <si>
    <t>OB_CadLink_WTX_CHCHL_ORM</t>
  </si>
  <si>
    <t>IB_CadLink_WTX_CHCHL_ORU</t>
  </si>
  <si>
    <t>IB_Mosaiq_OR_PMMC_SIU</t>
  </si>
  <si>
    <t>OB_Mosaiq_OR_PMMC_MDM</t>
  </si>
  <si>
    <t>OB_Mosaiq_OR_PMMC_SIU</t>
  </si>
  <si>
    <t>OB_FollowUpManager_CA_NM_WTX_ADT</t>
  </si>
  <si>
    <t>OB_FollowUpManager_CA_NM_WTX_ORM_ORU</t>
  </si>
  <si>
    <t>OB_mPower_CA_NM_WTX_ORU</t>
  </si>
  <si>
    <t>OB_FollowUpManager_CA_NM_WTX_MFN</t>
  </si>
  <si>
    <t>OB_GE-Carescape_SCA_LCMT_ADT_Legacy</t>
  </si>
  <si>
    <t>OB_AirStrip_SCA_LCMT_ADT</t>
  </si>
  <si>
    <t>IB_AirStrip_SCA_LCMT_ORU</t>
  </si>
  <si>
    <t>IB_Mosaiq_NCA_QVMCN_SIU</t>
  </si>
  <si>
    <t>IB_Mosaiq_NCA_QVMCN_MDM</t>
  </si>
  <si>
    <t>OB_Mosaiq_NCA_QVMCN_MDM</t>
  </si>
  <si>
    <t>OB_Mosaiq_NCA_QVMCN_SIU</t>
  </si>
  <si>
    <t>OB_NK-EnterpriseGateway_CACC_FMC_ADT</t>
  </si>
  <si>
    <t>OB_Sonifi_SCA_PTMC_ADT</t>
  </si>
  <si>
    <t>OB_Sonifi_SCA_PTMC_PPR</t>
  </si>
  <si>
    <t>OB_Sonifi_SCA_PTMC_SIU</t>
  </si>
  <si>
    <t>OB_Sonifi_SCA_PTMC_ORU</t>
  </si>
  <si>
    <t>OB_PatientSafetyNet_WTX_ADT</t>
  </si>
  <si>
    <t>OB_IRISGateway_WTX_ADT</t>
  </si>
  <si>
    <t>IB_Epic772424_ORCA_ORM</t>
  </si>
  <si>
    <t>OB_Labcorp-Cerner_OR_ORM</t>
  </si>
  <si>
    <t>OB_NeuroWorkbench_SCA_ORM</t>
  </si>
  <si>
    <t>OB_NavifyPLH_OR_PPMC_OML</t>
  </si>
  <si>
    <t>IB_NavifyPLH_OR_PPMC_OUL</t>
  </si>
  <si>
    <t>OB_1Call_SCA_SJHO_ADT</t>
  </si>
  <si>
    <t>IB_Optum-CAC_WTX_DFT</t>
  </si>
  <si>
    <t>OB_PatientSafetyNet_CA_ADT</t>
  </si>
  <si>
    <t>OB_IRISGateway_CA_ADT</t>
  </si>
  <si>
    <t>OB_MealSuite_CACC_SVH_ADT</t>
  </si>
  <si>
    <t>OB_MealSuite_CACC_SVH_ORM</t>
  </si>
  <si>
    <t>IB_Epic772204_ORCA_RAS</t>
  </si>
  <si>
    <t>OB_iQueue_CA_NM_OR_WTX_SIU</t>
  </si>
  <si>
    <t>vendor requested 32509 as prod port</t>
  </si>
  <si>
    <t>vendor requested 32510 as prod port</t>
  </si>
  <si>
    <t>IB_VistaPath_OR_PMMC_ORU</t>
  </si>
  <si>
    <t>OB_VistaPath_OR_PMMC_ORM</t>
  </si>
  <si>
    <t>OB_DatixWeb_CACC_FMC_ADT</t>
  </si>
  <si>
    <t>IB_Pathgroup_CACC_SVH_ORU</t>
  </si>
  <si>
    <t>OB_Pathgroup_CACC_SVH_ORM</t>
  </si>
  <si>
    <t>OB_HRP_CA_NM_OR_TX_ADT</t>
  </si>
  <si>
    <t>OB_HRP_CA_NM_OR_WTX_ADT-2</t>
  </si>
  <si>
    <t>OB_DICOMatics_ORCA_ADT</t>
  </si>
  <si>
    <t>OB_PatientSafetyNet_SCA_ADT</t>
  </si>
  <si>
    <t>OB_PyxisMedstation_SCA_ADT_RDE</t>
  </si>
  <si>
    <t>IB_LabCorp_NCA_OR_ORM</t>
  </si>
  <si>
    <t>OB_RapidComm_OR_ADT</t>
  </si>
  <si>
    <t>IB_RapidComm_OR_ORU</t>
  </si>
  <si>
    <t>IB_LabCorp-Cerner_OR_ORU</t>
  </si>
  <si>
    <t>IB_CadenceRPM_CA_DFT</t>
  </si>
  <si>
    <t>IB_CadenceRPM_CA_MDM-PDF</t>
  </si>
  <si>
    <t>IB_CadenceRPM_CA_MDM</t>
  </si>
  <si>
    <t>IB_CadenceRPM_CA_SIU</t>
  </si>
  <si>
    <t>OB_CadenceRPM_CA_ORM</t>
  </si>
  <si>
    <t>OB_Aledade_ORCC_OGFM_SIU</t>
  </si>
  <si>
    <t>OB_PyxisMedstation_WACC_OBH_MFN</t>
  </si>
  <si>
    <t>OB_NurseCall_SCA_PTMC_ADT</t>
  </si>
  <si>
    <t>IB_emsCHARTS_CACC_FMC_MDM</t>
  </si>
  <si>
    <t>OB_emsCHARTS_CACC_FMC_ADT</t>
  </si>
  <si>
    <t>IB_ModLink_CACC_SVH_ORU</t>
  </si>
  <si>
    <t>IB_PowerscribeOneEssentials_ORCC_TOC_ORU</t>
  </si>
  <si>
    <t>OB_PowerscribeOneEssentials_ORCC_TOC_ADT_ORM_ORU</t>
  </si>
  <si>
    <t>OB_PyxisMedstation_CACC_CMHC_ADT_RDE</t>
  </si>
  <si>
    <t>OB_ProVationApex_NMCC_NLHD_ADT_ORM</t>
  </si>
  <si>
    <t>IB_ProVationApex_NMCC_NLHD_ORU</t>
  </si>
  <si>
    <t>IB_Murj_CA_OR_DFT_ORM_ORU</t>
  </si>
  <si>
    <t>OB_Murj_CA_OR_ORU</t>
  </si>
  <si>
    <t>IB_GE-CCW_CA_OR_WTX_ORU</t>
  </si>
  <si>
    <t>OB_GE-CCW_CA_OR_WTX_ADT</t>
  </si>
  <si>
    <t>OB_GE-CCW_CA_OR_WTX_ORM</t>
  </si>
  <si>
    <t>OB_Synapse_ORCC_TOC_ADT_ORM_ORU</t>
  </si>
  <si>
    <t>IB_Synapse_ORCC_TOC_ORM</t>
  </si>
  <si>
    <t>OB_Cortex_OR_ORU-FLOW</t>
  </si>
  <si>
    <t>OB_Sirona_CACC_SVH_ADT_ORM_ORU</t>
  </si>
  <si>
    <t>IB_ESO_NCA_QVMCN_ORU</t>
  </si>
  <si>
    <t>OB_ESO_NCA_QVMCN_MDM</t>
  </si>
  <si>
    <t>OB_ESO_NCA_QVMCN_ADT</t>
  </si>
  <si>
    <t>OB_ProVation_ORCC_OTOC_ADT_ORM</t>
  </si>
  <si>
    <t>IB_ProVation_ORCC_TOC_ORU</t>
  </si>
  <si>
    <t>OB_MoMe_ORCC_TOC_ORM</t>
  </si>
  <si>
    <t>IB_MoMe_ORCC_TOC_ORU</t>
  </si>
  <si>
    <t>OB_Zotec_SCA_SJHO_ADT</t>
  </si>
  <si>
    <t>OB_ComPAS2_ORCC_TOC_ORM</t>
  </si>
  <si>
    <t>IB_ComPAS2_ORCC_TOC_ORU</t>
  </si>
  <si>
    <t>IB_ImageTrend_SCA_MDM</t>
  </si>
  <si>
    <t>IB_CharlieHealth_CA_NM_OR_WTX_REF</t>
  </si>
  <si>
    <t>OB_CharlieHealth_CA_NM_OR_WTX_REF</t>
  </si>
  <si>
    <t>IB_ProVation_ORCC_TOC_DFT</t>
  </si>
  <si>
    <t>IB_AngelEyeMilkTracker_SCA_CMH_ORU</t>
  </si>
  <si>
    <t>OB_DatixWeB_ORCC_TOC_ADT</t>
  </si>
  <si>
    <t>OB_eCareNEXT_CA_NM_OR_WTX_ADT</t>
  </si>
  <si>
    <t>IB_CardioServer_NMCC_NLHD_ORU</t>
  </si>
  <si>
    <t>OB_CardioServer_NMCC_NLHD_ORM</t>
  </si>
  <si>
    <t>OB_PyxisMedstation_CACC_CMHC_MFN</t>
  </si>
  <si>
    <t>OB_AngelEyeMilkTracker_SCA_CMH_ADT</t>
  </si>
  <si>
    <t>OB_AngelEyeMilkTracker_SCA_CMH_ORM</t>
  </si>
  <si>
    <t>IB_Epic772390_ORCA_RGV_Training3</t>
  </si>
  <si>
    <t>IB_Epic772390_ORCA_RGV_Training4</t>
  </si>
  <si>
    <t>OB_PremiEHR_WTX_CHCHL_ADT</t>
  </si>
  <si>
    <t>OB_PremiEHR_WTX_CHCHL_ORU</t>
  </si>
  <si>
    <t>OB_PremiEHR_WTX_CHCHL_MDM</t>
  </si>
  <si>
    <t>OB_PyxisLogistics_NCA_RDE</t>
  </si>
  <si>
    <t>OB_PyxisLogistics_WTX_RDE</t>
  </si>
  <si>
    <t>OB_360Encompass_CACC_CMHC_ORU-GI</t>
  </si>
  <si>
    <t>OB_LVMOne_SCA_PSJMC_ADT</t>
  </si>
  <si>
    <t>IB_Epic772006_ORCA_ORU</t>
  </si>
  <si>
    <t>IB_Epic772004_ORCA_ORU</t>
  </si>
  <si>
    <t>IB_PyxisMedstation_ORCC_CHN_DFT_ZPM</t>
  </si>
  <si>
    <t>OB_PyxisMedstation_ORCC_CHN_ADT_RDE</t>
  </si>
  <si>
    <t>OB_PyxisMedstation_ORCC_CHN_MFN</t>
  </si>
  <si>
    <t>OB_ONCOLog_CA_NM_WTX_ORU</t>
  </si>
  <si>
    <t>OB_ONCOLog_CA_NM_WTX_ADT</t>
  </si>
  <si>
    <t>OB_Experian_ORCA_X12-274</t>
  </si>
  <si>
    <t>IB_DeviceConX_WTX_ORU-2</t>
  </si>
  <si>
    <t>IB_DeviceConX-OC1_SCA_ORU-2</t>
  </si>
  <si>
    <t>IB_DeviceConX-OC2_SCA_ORU-2</t>
  </si>
  <si>
    <t>IB_DeviceConX_NCA_ORU-2</t>
  </si>
  <si>
    <t>IB_DeviceConX_NM_NMCC_ORU-2</t>
  </si>
  <si>
    <t>IB_DeviceConX_OR_ORU-2</t>
  </si>
  <si>
    <t>IB_DeviceConX_SCA_ORU-2</t>
  </si>
  <si>
    <t>OB_360Encompass_CA_NM_OR_WTX_ORU-FLOW_Legacy</t>
  </si>
  <si>
    <t>OB_RAPC_ORCC_CHN_ADT_ORM</t>
  </si>
  <si>
    <t>IB_RAPC_ORCC_CHN_ORM_ORU</t>
  </si>
  <si>
    <t>OB_ProvationApex_ORCC_CHN_ADT_ORM</t>
  </si>
  <si>
    <t>IB_ProvationApex_ORCC_CHN_ORU</t>
  </si>
  <si>
    <t>OB_Novarad_SCA_PTMC_ADT_ORM_ORU</t>
  </si>
  <si>
    <t>IB_Novarad_SCA_PTMC_ORU</t>
  </si>
  <si>
    <t>IB_Aquity-Fluency_ORCC_CHN_ORU</t>
  </si>
  <si>
    <t>OB_Aquity-Fluency_ORCC_CHN_ADT_ORM</t>
  </si>
  <si>
    <t>OB_mPower_OR_ORU</t>
  </si>
  <si>
    <t>OB_FollowUpManager_OR_ADT</t>
  </si>
  <si>
    <t>OB_FollowUpManager_OR_ORM_ORU</t>
  </si>
  <si>
    <t>OB_FollowUpManager_OR_MFN</t>
  </si>
  <si>
    <t>IB_PyxisMedstation_ORCC_SCHHC_DFT_ZPM</t>
  </si>
  <si>
    <t>OB_PyxisMedstation_ORCC_SCHHC_ADT_RDE</t>
  </si>
  <si>
    <t>OB_PyxisMedstation_ORCC_SCHHC_MFN</t>
  </si>
  <si>
    <t>OB_Vocera_SCA_SMMCAV_ADT</t>
  </si>
  <si>
    <t>OB_Vocera_OR_PMMC_ADT</t>
  </si>
  <si>
    <t>IB_Epic772708_ORCA_ADT</t>
  </si>
  <si>
    <t>dedicated Epic AIP/connection required for Experian</t>
  </si>
  <si>
    <t>OB_Intellibridge_OR_OSV_ADT</t>
  </si>
  <si>
    <t>IB_Intellibridge_OR_OSV_MDM</t>
  </si>
  <si>
    <t>OB_FibroScan_NMCC_NLHD_ORM</t>
  </si>
  <si>
    <t>IB_FibroScan_NMCC_NLHD_ORU</t>
  </si>
  <si>
    <t>IB_CadenceRPM_CA_ORM</t>
  </si>
  <si>
    <t>OB_Rx30_CACC_CMHC_ADT</t>
  </si>
  <si>
    <t>OB_Telcor_CACC_CMHC_ADT</t>
  </si>
  <si>
    <t>IB_Telcor_CACC_CMHC_ORU</t>
  </si>
  <si>
    <t>IB_NeoGenomics_ORCA_ORU</t>
  </si>
  <si>
    <t>OB_NeoGenomics_ORCA_ORM</t>
  </si>
  <si>
    <t>IB_StudyCast_ORCC_OHC_ORU</t>
  </si>
  <si>
    <t>OB_StudyCast_ORCC_OHC_ORM</t>
  </si>
  <si>
    <t>IB_Temp1_CP7</t>
  </si>
  <si>
    <t>IB_Temp2_CP7</t>
  </si>
  <si>
    <t>IB_Temp3_CP7</t>
  </si>
  <si>
    <t>IB_Temp4_CP7</t>
  </si>
  <si>
    <t>IB_Temp5_CP7</t>
  </si>
  <si>
    <t>OB_Temp1_CP7</t>
  </si>
  <si>
    <t>OB_Temp2_CP7</t>
  </si>
  <si>
    <t>OB_Temp3_CP7</t>
  </si>
  <si>
    <t>OB_Temp4_CP7</t>
  </si>
  <si>
    <t>OB_Temp5_CP7</t>
  </si>
  <si>
    <t>IB_Epic772268_ORCA_X12-270</t>
  </si>
  <si>
    <t>OB_Experian_ORCA_X12-270-BCD</t>
  </si>
  <si>
    <t>IB_Experian_ORCA_X12-271-BCD</t>
  </si>
  <si>
    <t>OB_PyxisSupply_CACC_CMHC_ADT</t>
  </si>
  <si>
    <t>IB_PyxisSupply_CACC_CMHC_DFT</t>
  </si>
  <si>
    <t>OB_360Encompass_CA_HOAG_NM_OR_WTX_MFN</t>
  </si>
  <si>
    <t>OB_360Encompass_CA_HOAG_NM_OR_WTX_MDM</t>
  </si>
  <si>
    <t>OB_360Encompass_CA_HOAG_NM_OR_WTX_ORU-LAB</t>
  </si>
  <si>
    <t>OB_360Encompass_CA_HOAG_NM_OR_WTX_ORU-GI</t>
  </si>
  <si>
    <t>OB_360Encompass_CA_HOAG_NM_OR_WTX_ORU-RAD</t>
  </si>
  <si>
    <t>OB_360Encompass_CA_NM_OR_WTX_ORU-FLOW</t>
  </si>
  <si>
    <t>OB_360Encompass_CA_HOAG_NM_OR_WTX_ORU-CARD</t>
  </si>
  <si>
    <t>OB_360Encompass_CA_HOAG_NM_OR_WTX_ADT</t>
  </si>
  <si>
    <t>OB_360Encompass_CA_HOAG_NM_OR_WTX_MDM-LNK</t>
  </si>
  <si>
    <t>OB_PyxisLogistics_CACC_CMHC_RDE</t>
  </si>
  <si>
    <t>IB_PyxisMedstation_CACC_CMHC_DFT_ZPM</t>
  </si>
  <si>
    <t>OB_eVideon_CACC_CMHC_ADT</t>
  </si>
  <si>
    <t>OB_R1-OrdersFacilitator_CA_NM_ORM</t>
  </si>
  <si>
    <t>OB_LifeImage_CACC_CMHC_ORU</t>
  </si>
  <si>
    <t>OB_iQueue_CA_NM_OR_WTX_ORU</t>
  </si>
  <si>
    <t>OB_iQueue_CA_NM_OR_WTX_RAS</t>
  </si>
  <si>
    <t>OB_iQueue_CA_NM_OR_WTX_RDE</t>
  </si>
  <si>
    <t>OB_iQueue_CA_NM_OR_WTX_ADT</t>
  </si>
  <si>
    <t>OB_Kronos_CACC_CMHC_ADT</t>
  </si>
  <si>
    <t>IB_Dragonfly_NM_OR_WTX_ADT</t>
  </si>
  <si>
    <t>IB_ProvationApex_CACC_CMHC_ORU</t>
  </si>
  <si>
    <t>OB_ProvationApex_CACC_CMHC_ADT_ORM</t>
  </si>
  <si>
    <t>IB_UnityPACS_CACC_CMHC_ORM_ORU</t>
  </si>
  <si>
    <t>OB_UnityPACS_CACC_CMHC_ADT</t>
  </si>
  <si>
    <t>OB_UnityPACS_CACC_CMHC_ORM_ORU</t>
  </si>
  <si>
    <t>OB_VetMed_CACC_CMHC_ADT_ORM_ORU</t>
  </si>
  <si>
    <t>IB_VetMed_CACC_CMHC_ORM_ORU</t>
  </si>
  <si>
    <t>OB_DatixWeb_CACC_CMHC_ADT</t>
  </si>
  <si>
    <t>IB_R1-OrdersFacilitator_CA_NM_MDM_ORU</t>
  </si>
  <si>
    <t>IB_OBIX_CACC_CMHC_ORU</t>
  </si>
  <si>
    <t xml:space="preserve">IB_OBIX-ASI_CACC_CMHC_ORU </t>
  </si>
  <si>
    <t>OB_GE-CCW_CACC_CMHC_ADT_ORM</t>
  </si>
  <si>
    <t>OB_MobileHeartbeat_CACC_CMHC_ADT</t>
  </si>
  <si>
    <t>IB_GE-CCW_CACC_CMHC_DFT_ORU</t>
  </si>
  <si>
    <t>OB_R1-Clear_CA_NM_OR_WTX_ADT_3</t>
  </si>
  <si>
    <t>OB_Quinsite_CACC_CMHC_ORU</t>
  </si>
  <si>
    <t>OB_Quinsite_CACC_CMHC_ADT</t>
  </si>
  <si>
    <t>IB_TheraNow_CA_OR_SIU</t>
  </si>
  <si>
    <t>IB_Artera_CACC_CMHC_SIU</t>
  </si>
  <si>
    <t>OB_360Encompass_CACC_CMHC_ADT</t>
  </si>
  <si>
    <t>OB_360Encompass_CACC_CMHC_MDM</t>
  </si>
  <si>
    <t>OB_360Encompass_CACC_CMHC_ORU-LAB</t>
  </si>
  <si>
    <t>OB_360Encompass_CACC_CMHC_ORU-RAD</t>
  </si>
  <si>
    <t>IB_Muse_CACC_CMHC_DFT_ORU</t>
  </si>
  <si>
    <t>OB_Muse_CACC_CMHC_ADT_ORM</t>
  </si>
  <si>
    <t>OB_GE-Carescape_CACC_CMHCO_ADT</t>
  </si>
  <si>
    <t>OB_TheraNow_ORCA_ORM</t>
  </si>
  <si>
    <t>OB_TheraNow_ORCA_ADT</t>
  </si>
  <si>
    <t>IB_TheraNow_CA_OR_MDM</t>
  </si>
  <si>
    <t>OB_TheraNow_CA_OR_SIU</t>
  </si>
  <si>
    <t>OB_TheraNow_ORCA_REF</t>
  </si>
  <si>
    <t>OB_TheraNow_ORCA_ORU</t>
  </si>
  <si>
    <t>OB_GE-Carescape_SCA_LCMT_ADT</t>
  </si>
  <si>
    <t>IB_TheraNow_ORCA_DFT</t>
  </si>
  <si>
    <t>OB_ TheraNow_CA_OR_REF</t>
  </si>
  <si>
    <t>OB_NavifyPLH_CACC_CMHC_OML</t>
  </si>
  <si>
    <t>IB_NavifyPLH_CACC_CMHC_OUL</t>
  </si>
  <si>
    <t>IB_HALO_OR_SSU</t>
  </si>
  <si>
    <t>OB_HALO_OR_OML</t>
  </si>
  <si>
    <t>OB_HALO_OR_ORU</t>
  </si>
  <si>
    <t>IB_GenomicsNow_SCA_ORU</t>
  </si>
  <si>
    <t>OB_WellBeam_CA_OR_ORM</t>
  </si>
  <si>
    <t>IB_WellBeam_CA_OR_ADT_DFT_MDM</t>
  </si>
  <si>
    <t>OB_MotionMD_ORCC_SCHHC_ADT</t>
  </si>
  <si>
    <t>OB_SynapsePACS_CACC_CMHC_ADT</t>
  </si>
  <si>
    <t>OB_SynapsePACS_CACC_CMHC_ORM</t>
  </si>
  <si>
    <t>OB_SynapsePACS_CACC_CMHC_ORU</t>
  </si>
  <si>
    <t>IB_SynapsePACS_CACC_CMHC_ORM</t>
  </si>
  <si>
    <t>IB_SynapsePACS_CACC_CMHC_ORU</t>
  </si>
  <si>
    <t>OB_SynapsePACS_SCA_ADT</t>
  </si>
  <si>
    <t>OB_SynapseVNA_ORCA_ADT</t>
  </si>
  <si>
    <t>IB_SynapsePACS_SCA_ORM</t>
  </si>
  <si>
    <t>OB_BambooHealth_ORCA_ADT</t>
  </si>
  <si>
    <t>OB_Optum-CAC_WTX_ADT</t>
  </si>
  <si>
    <t>OB_Optum-CAC_WTX_MDM</t>
  </si>
  <si>
    <t>OB_Optum-CAC_WTX_MFN</t>
  </si>
  <si>
    <t>IB_Epic772286_ORCA_MDM_WS-REST</t>
  </si>
  <si>
    <t>Port in Webservice endpoint URL</t>
  </si>
  <si>
    <t>OB_Quest_WTX_ORU</t>
  </si>
  <si>
    <t>OB_Experian_CA_NM_OR_WTX_ADT</t>
  </si>
  <si>
    <t>***DO NOT USE THIS RANGE. Add to Instance level. These will be decommissioned.***</t>
  </si>
  <si>
    <t>Use</t>
  </si>
  <si>
    <t>Moved to AK range for Azure</t>
  </si>
  <si>
    <t>For Web Services, ex. Per Connection</t>
  </si>
  <si>
    <t xml:space="preserve">IB_Epic771286_WAMT_MDM_WS-REST </t>
  </si>
  <si>
    <t>Moved to WM range for Azure</t>
  </si>
  <si>
    <t>IB_Lumedic_OR_QBP_WS-REST</t>
  </si>
  <si>
    <t>OB_Lumedic_OR_QBP_WS-REST</t>
  </si>
  <si>
    <t>IB_Lumedic_WA_QBP_WS-REST</t>
  </si>
  <si>
    <t>OB_Lumedic_WA_RSP_WS-REST</t>
  </si>
  <si>
    <t>IB_Epic729314_AK_ORM_ORU_WS-REST</t>
  </si>
  <si>
    <t>IB_Epic771314_WAMT_ORM_ORU_WS-REST</t>
  </si>
  <si>
    <t>IB_Epic772314_ORCA_ORM_ORU_WS-REST</t>
  </si>
  <si>
    <t>For Web Services, ex. Per Service/Function</t>
  </si>
  <si>
    <t>OB_RadiationBillingSolutions_HOAG_DFT_File</t>
  </si>
  <si>
    <t>Reserved for Hoag (do not remove comment until charge back)</t>
  </si>
  <si>
    <t>IB_Lawson_HOAG_MFN_File</t>
  </si>
  <si>
    <t>DSHS_WA_KRMC_QBP_Processing</t>
  </si>
  <si>
    <t>OB_DSHS_WA_KRMC_QBP_HTTPS</t>
  </si>
  <si>
    <t>DSHS_WA_QBP_Processing</t>
  </si>
  <si>
    <t>OB_DSHS_WA_QBP_HTTPS</t>
  </si>
  <si>
    <t>DSHS_WA_VXU_Processing</t>
  </si>
  <si>
    <t>OB_DSHS_WA_VXU_HTTPS</t>
  </si>
  <si>
    <t>OB_DSHS_WA_VXU_HTTPS_TEMP</t>
  </si>
  <si>
    <t>DSHS_WACC_JFHC_VXU_Processing</t>
  </si>
  <si>
    <t>OB_DSHS_WACC_JFHC_VXU_HTTPS</t>
  </si>
  <si>
    <t>DSHS_WACC_JHH_VXU_Processing</t>
  </si>
  <si>
    <t>OB_DSHS_WACC_JHH_VXU_HTTPS</t>
  </si>
  <si>
    <t>DSHS_WACC_OBH_VXU_Processing</t>
  </si>
  <si>
    <t>OB_DSHS_WACC_OBH_VXU_HTTPS</t>
  </si>
  <si>
    <t>DSHS_WACC_OMC_VXU_Processing</t>
  </si>
  <si>
    <t>OB_DSHS_WACC_OMC_VXU_HTTPS</t>
  </si>
  <si>
    <t>DSHS_WACC_SBWC_VXU_Processing</t>
  </si>
  <si>
    <t>OB_DSHS_WACC_SBWC_VXU_HTTPS</t>
  </si>
  <si>
    <t>DSHS_WACC_TTHC_VXU_Processing</t>
  </si>
  <si>
    <t>OB_DSHS_WACC_TTHC_VXU_HTTPS</t>
  </si>
  <si>
    <t>DSHS_WACC_WLN_VXU_Processing</t>
  </si>
  <si>
    <t>OB_DSHS_WACC_WLN_VXU_HTTPS</t>
  </si>
  <si>
    <t>Epic771002_WAMT_MFN_Delay_Processing</t>
  </si>
  <si>
    <t>Epic771700_WAMT_ADT_All_Processing1</t>
  </si>
  <si>
    <t>Epic771700_WAMT_ADT_All_Processing2</t>
  </si>
  <si>
    <t>Epic771700_WAMT_ADT_All_Processing3</t>
  </si>
  <si>
    <t>Epic771700_WAMT_ADT_All_Processing4</t>
  </si>
  <si>
    <t>Epic771700_WAMT_ADT_CC_Processing</t>
  </si>
  <si>
    <t>OB_SunRx_MTCC_CFVH_ADT_File</t>
  </si>
  <si>
    <t>OB_SunRx_MTCC_DLMC_ADT_File</t>
  </si>
  <si>
    <t>Epic771700_WAMT_ADT_MT_Processing</t>
  </si>
  <si>
    <t>Epic771700_WAMT_ADT_NWR_Processing</t>
  </si>
  <si>
    <t>Epic771700_WAMT_ADT_PHC_Processing</t>
  </si>
  <si>
    <t>Epic771700_WAMT_ADT_REGBATCH_Processing</t>
  </si>
  <si>
    <t>Epic771700_WAMT_ADT_SER_Processing</t>
  </si>
  <si>
    <t>Epic771700_WAMT_ADT_SWR_Processing</t>
  </si>
  <si>
    <t>OB_OneHealthPort-DOH_WA_WACC_ORU_File</t>
  </si>
  <si>
    <t>OB_DOH_WA_WACC_ADT_File</t>
  </si>
  <si>
    <t>IB_CareManager_MT_WA_MDM_File</t>
  </si>
  <si>
    <t>OB_DOH_IDCC_ORU_File</t>
  </si>
  <si>
    <t>OB_DOH_MT_MTCC_ORU_File</t>
  </si>
  <si>
    <t>OB_DOH_ORCC_ORU_File</t>
  </si>
  <si>
    <t>OB_Omnicare_MT_ORU_File</t>
  </si>
  <si>
    <t>ImMTrax_MT_MTCC_VXU_Processing</t>
  </si>
  <si>
    <t>OB_ImMTrax_MT_MTCC_VXU_HTTPS_Temp</t>
  </si>
  <si>
    <t>OB_ImMTrax_MT_MTCC_VXU_HTTPS</t>
  </si>
  <si>
    <t>ImMTrax_MT_PSJH_VXU_Processing</t>
  </si>
  <si>
    <t>OB_ImMTrax_MT_PSJH_VXU_HTTPS</t>
  </si>
  <si>
    <t>ImMTrax_MTCC_BHH_VXU_Processing</t>
  </si>
  <si>
    <t>OB_ImMTrax_MTCC_BHH_VXU_HTTPS</t>
  </si>
  <si>
    <t>ImMTrax_MTCC_CFVH_VXU_Processing</t>
  </si>
  <si>
    <t>OB_ImMTrax_MTCC_CFVH_VXU_HTTPS</t>
  </si>
  <si>
    <t>ImMTrax_MTCC_CHA_VXU_Processing</t>
  </si>
  <si>
    <t>OB_ImMTrax_MTCC_CHA_VXU_HTTPS</t>
  </si>
  <si>
    <t>ImMTrax_MTCC_CSKTH_VXU_Processing</t>
  </si>
  <si>
    <t>OB_ImMTrax_MTCC_CSKTH_VXU_HTTPS</t>
  </si>
  <si>
    <t>ImMTrax_MTCC_DLMC_VXU_Processing</t>
  </si>
  <si>
    <t>OB_ImMTrax_MTCC_DLMC_VXU_HTTPS</t>
  </si>
  <si>
    <t>ImMTrax_MTCC_WMC_VXU_Processing</t>
  </si>
  <si>
    <t>OB_ImMTrax_MTCC_WMC_VXU_HTTPS</t>
  </si>
  <si>
    <t>OB_IRIS_IDCC_SMCC_VXU_File</t>
  </si>
  <si>
    <t>ImMTrax_MT_QBP_Processing</t>
  </si>
  <si>
    <t>OB_ImMTrax_MT_QBP_HTTPS</t>
  </si>
  <si>
    <t>OB_DOH_IDCC_ADT_File</t>
  </si>
  <si>
    <t>OB_DOH_MT_MTCC_ADT_File</t>
  </si>
  <si>
    <t>OB_Meditech_MTCC_CFVH_DFT_File</t>
  </si>
  <si>
    <t>IB_Lawson_MT_WA_MFN_File</t>
  </si>
  <si>
    <t>IB_Lawson_ORCC_GRH_MFN_File</t>
  </si>
  <si>
    <t>IB_Macrohelix_WA_NDC_File</t>
  </si>
  <si>
    <t>IB_Macrohelix_WACC_OMC_NDC_File</t>
  </si>
  <si>
    <t>IB_Meditech_MTCC_CFVH_MFN_File</t>
  </si>
  <si>
    <t>IB_Meditech_WACC_LH_ORU_File</t>
  </si>
  <si>
    <t>IB_Mosaiq_WACC_OMC_ORU_File</t>
  </si>
  <si>
    <t>REL PORT</t>
  </si>
  <si>
    <t>PROD PORT</t>
  </si>
  <si>
    <t>REGION</t>
  </si>
  <si>
    <t>INTERFACE NUMBER</t>
  </si>
  <si>
    <t>INTERFACE NAME</t>
  </si>
  <si>
    <t>Kind</t>
  </si>
  <si>
    <t>NOTES</t>
  </si>
  <si>
    <t>10500</t>
  </si>
  <si>
    <t>ORCA</t>
  </si>
  <si>
    <t>10504</t>
  </si>
  <si>
    <t>9772767</t>
  </si>
  <si>
    <t>10506</t>
  </si>
  <si>
    <t>9772613</t>
  </si>
  <si>
    <t>10508</t>
  </si>
  <si>
    <t>9772617</t>
  </si>
  <si>
    <t>10510</t>
  </si>
  <si>
    <t>9772621</t>
  </si>
  <si>
    <t>10518</t>
  </si>
  <si>
    <t>9772405 was retired. You may reuse the port.</t>
  </si>
  <si>
    <t>9772770</t>
  </si>
  <si>
    <t>This is an Inbound AIP with an even number.</t>
  </si>
  <si>
    <t>9772771</t>
  </si>
  <si>
    <t>9772773</t>
  </si>
  <si>
    <t>NONE</t>
  </si>
  <si>
    <t>FLAT FILE TO HL7 CONV ORCA</t>
  </si>
  <si>
    <t>For patient charges during conversion</t>
  </si>
  <si>
    <t>STAR OR BILLING CONV</t>
  </si>
  <si>
    <t>Outbound Interface</t>
  </si>
  <si>
    <t>PHS - ORCA - TX OUT RETRIGGER CONV</t>
  </si>
  <si>
    <t>Copied from 772102</t>
  </si>
  <si>
    <t>PHS - ORCA - RAD ORD/RES OUT RETRIGGER CONV</t>
  </si>
  <si>
    <t>Copied from 772310</t>
  </si>
  <si>
    <t>PHS - ORCA - LAB RES OUT RETRIGGER CONV</t>
  </si>
  <si>
    <t>Copied from 772306</t>
  </si>
  <si>
    <t>ALLSCRIPTS CA PMI HASAN CARD TX CONV</t>
  </si>
  <si>
    <t>Never used, removed &amp; not archived</t>
  </si>
  <si>
    <t>INTERFACE NUM</t>
  </si>
  <si>
    <t>AK</t>
  </si>
  <si>
    <t>PROVIDENCE AK ONBASE REG AND ADT CONVERSION</t>
  </si>
  <si>
    <t>Re-installed per ITSM 3459753</t>
  </si>
  <si>
    <t>Column1</t>
  </si>
  <si>
    <t>WAMT</t>
  </si>
  <si>
    <t>do not use</t>
  </si>
  <si>
    <t>reassign</t>
  </si>
  <si>
    <t>non-epic</t>
  </si>
  <si>
    <t>11511</t>
  </si>
  <si>
    <t>9771765</t>
  </si>
  <si>
    <t>9771767</t>
  </si>
  <si>
    <t>11520</t>
  </si>
  <si>
    <t>11521</t>
  </si>
  <si>
    <t>11522</t>
  </si>
  <si>
    <t>9771405</t>
  </si>
  <si>
    <t>9771409</t>
  </si>
  <si>
    <t>9771411</t>
  </si>
  <si>
    <t>9771359</t>
  </si>
  <si>
    <t>9771417</t>
  </si>
  <si>
    <t>9771419</t>
  </si>
  <si>
    <t>9771421</t>
  </si>
  <si>
    <t>Do not use</t>
  </si>
  <si>
    <t>epic</t>
  </si>
  <si>
    <t>9771665</t>
  </si>
  <si>
    <t>9771667</t>
  </si>
  <si>
    <t>9771635</t>
  </si>
  <si>
    <t>9771637</t>
  </si>
  <si>
    <t>This AIP doesn't exist.</t>
  </si>
  <si>
    <t>9771403</t>
  </si>
  <si>
    <t>Shell</t>
  </si>
  <si>
    <t>9771463</t>
  </si>
  <si>
    <t>OB_OnBase_IDCC_MT_MTCC_WA_WACC_ADT_MDM</t>
  </si>
  <si>
    <t>OB_OnBase_IDCC_MT_MTCC_WA_WACC_MFN</t>
  </si>
  <si>
    <t>OB_OnBase_IDCC_MT_MTCC_ORCC_WA_WACC_ORM_ORU</t>
  </si>
  <si>
    <t>OB_INBC_PHC_PSHMC_ORM-HLA</t>
  </si>
  <si>
    <t>IB_INBC_PHC_PSHMC_ORU-HLA</t>
  </si>
  <si>
    <t>IB_BreezeConnect_WACC_OMC_ORU</t>
  </si>
  <si>
    <t>OB_BreezeConnect_WACC_OMC_ORM</t>
  </si>
  <si>
    <t>OB_McKessonCardiology_NWR_ADT</t>
  </si>
  <si>
    <t>OB_McKessonCardiology_NWR_ORM</t>
  </si>
  <si>
    <t>IB_McKessonCardiology_NWR_ORU</t>
  </si>
  <si>
    <t>N/A</t>
  </si>
  <si>
    <t>KADLEC</t>
  </si>
  <si>
    <t>Other Conversion ports are on the main SWE tab.</t>
  </si>
  <si>
    <t>SWE</t>
  </si>
  <si>
    <t>Outbound Conversion AIPs. No Ports Assigned.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</si>
</sst>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4">
    <font>
      <sz val="11"/>
      <color theme="1"/>
      <name val="Calibri"/>
      <family val="2"/>
      <scheme val="minor"/>
    </font>
    <font>
      <sz val="11"/>
      <color theme="1"/>
      <name val="Calibri"/>
      <family val="2"/>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
      <sz val="11"/>
      <name val="Calibri"/>
      <family val="2"/>
      <scheme val="minor"/>
    </font>
    <font>
      <sz val="11"/>
      <color rgb="FF000000"/>
      <name val="Calibri"/>
      <family val="2"/>
      <scheme val="minor"/>
    </font>
    <font>
      <sz val="11"/>
      <color rgb="FF1F497D"/>
      <name val="Calibri"/>
      <family val="2"/>
      <scheme val="minor"/>
    </font>
    <font>
      <sz val="10"/>
      <color rgb="FF000000"/>
      <name val="Segoe UI"/>
      <family val="2"/>
    </font>
    <font>
      <u/>
      <sz val="11"/>
      <color theme="10"/>
      <name val="Calibri"/>
      <family val="2"/>
      <scheme val="minor"/>
    </font>
    <font>
      <u/>
      <sz val="11"/>
      <color theme="11"/>
      <name val="Calibri"/>
      <family val="2"/>
      <scheme val="minor"/>
    </font>
    <font>
      <sz val="10"/>
      <name val="Tahoma"/>
      <family val="2"/>
    </font>
    <font>
      <sz val="11"/>
      <color rgb="FF000000"/>
      <name val="Calibri"/>
      <family val="2"/>
    </font>
    <font>
      <strike/>
      <sz val="11"/>
      <color theme="1"/>
      <name val="Calibri"/>
      <family val="2"/>
      <scheme val="minor"/>
    </font>
    <font>
      <sz val="8"/>
      <name val="MS Sans Serif"/>
      <family val="2"/>
    </font>
    <font>
      <sz val="10"/>
      <color rgb="FF000000"/>
      <name val="Calibri"/>
      <family val="2"/>
      <scheme val="minor"/>
    </font>
    <font>
      <sz val="11"/>
      <color rgb="FF0000FF"/>
      <name val="Calibri"/>
      <family val="2"/>
      <scheme val="minor"/>
    </font>
    <font>
      <sz val="10"/>
      <color theme="1"/>
      <name val="Segoe UI"/>
      <family val="2"/>
    </font>
    <font>
      <strike/>
      <sz val="11"/>
      <name val="Calibri"/>
      <family val="2"/>
      <scheme val="minor"/>
    </font>
    <font>
      <strike/>
      <sz val="10"/>
      <color rgb="FF000000"/>
      <name val="Segoe UI"/>
      <family val="2"/>
    </font>
    <font>
      <strike/>
      <sz val="11"/>
      <color rgb="FF000000"/>
      <name val="Calibri"/>
      <family val="2"/>
    </font>
    <font>
      <sz val="12"/>
      <color theme="1"/>
      <name val="Calibri"/>
      <family val="2"/>
      <scheme val="minor"/>
    </font>
    <font>
      <sz val="10.5"/>
      <color theme="1"/>
      <name val="Segoe UI"/>
      <family val="2"/>
    </font>
    <font>
      <sz val="11"/>
      <color theme="1"/>
      <name val="Times New Roman"/>
      <family val="1"/>
    </font>
    <font>
      <b/>
      <sz val="10"/>
      <color theme="1"/>
      <name val="Calibri"/>
      <family val="2"/>
      <scheme val="minor"/>
    </font>
    <font>
      <sz val="8"/>
      <name val="Calibri"/>
      <family val="2"/>
      <scheme val="minor"/>
    </font>
    <font>
      <b/>
      <sz val="20"/>
      <color theme="0"/>
      <name val="Calibri"/>
      <family val="2"/>
      <scheme val="minor"/>
    </font>
    <font>
      <b/>
      <sz val="14"/>
      <name val="Calibri"/>
      <family val="2"/>
      <scheme val="minor"/>
    </font>
    <font>
      <sz val="10"/>
      <color theme="1"/>
      <name val="Times New Roman"/>
      <family val="1"/>
    </font>
  </fonts>
  <fills count="4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59999389629810485"/>
        <bgColor indexed="64"/>
      </patternFill>
    </fill>
    <fill>
      <patternFill patternType="solid">
        <fgColor theme="6" tint="0.59999389629810485"/>
        <bgColor indexed="64"/>
      </patternFill>
    </fill>
    <fill>
      <patternFill patternType="solid">
        <fgColor theme="9" tint="0.59999389629810485"/>
        <bgColor indexed="64"/>
      </patternFill>
    </fill>
    <fill>
      <patternFill patternType="solid">
        <fgColor rgb="FFFFFF00"/>
        <bgColor indexed="64"/>
      </patternFill>
    </fill>
    <fill>
      <patternFill patternType="solid">
        <fgColor theme="7" tint="0.39997558519241921"/>
        <bgColor indexed="64"/>
      </patternFill>
    </fill>
    <fill>
      <patternFill patternType="solid">
        <fgColor rgb="FFFFFF66"/>
        <bgColor indexed="64"/>
      </patternFill>
    </fill>
    <fill>
      <patternFill patternType="solid">
        <fgColor theme="4"/>
        <bgColor theme="4"/>
      </patternFill>
    </fill>
    <fill>
      <patternFill patternType="solid">
        <fgColor rgb="FFFFC000"/>
        <bgColor indexed="64"/>
      </patternFill>
    </fill>
    <fill>
      <patternFill patternType="solid">
        <fgColor theme="4" tint="0.79998168889431442"/>
        <bgColor theme="4" tint="0.79998168889431442"/>
      </patternFill>
    </fill>
    <fill>
      <patternFill patternType="solid">
        <fgColor rgb="FFFF0000"/>
        <bgColor indexed="64"/>
      </patternFill>
    </fill>
    <fill>
      <patternFill patternType="solid">
        <fgColor rgb="FF00B050"/>
        <bgColor indexed="64"/>
      </patternFill>
    </fill>
  </fills>
  <borders count="3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style="thin">
        <color auto="1"/>
      </left>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style="thin">
        <color indexed="64"/>
      </left>
      <right style="medium">
        <color rgb="FF000000"/>
      </right>
      <top style="thin">
        <color indexed="64"/>
      </top>
      <bottom style="thin">
        <color indexed="64"/>
      </bottom>
      <diagonal/>
    </border>
    <border>
      <left style="medium">
        <color rgb="FFA3A3A3"/>
      </left>
      <right style="medium">
        <color rgb="FFA3A3A3"/>
      </right>
      <top/>
      <bottom style="medium">
        <color rgb="FFA3A3A3"/>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auto="1"/>
      </top>
      <bottom style="thin">
        <color auto="1"/>
      </bottom>
      <diagonal/>
    </border>
    <border>
      <left/>
      <right/>
      <top style="thin">
        <color auto="1"/>
      </top>
      <bottom/>
      <diagonal/>
    </border>
    <border>
      <left style="thin">
        <color indexed="64"/>
      </left>
      <right style="medium">
        <color rgb="FF000000"/>
      </right>
      <top/>
      <bottom style="thin">
        <color indexed="64"/>
      </bottom>
      <diagonal/>
    </border>
    <border>
      <left/>
      <right style="medium">
        <color indexed="64"/>
      </right>
      <top style="medium">
        <color indexed="64"/>
      </top>
      <bottom/>
      <diagonal/>
    </border>
    <border>
      <left/>
      <right/>
      <top/>
      <bottom style="thin">
        <color auto="1"/>
      </bottom>
      <diagonal/>
    </border>
    <border>
      <left/>
      <right style="medium">
        <color indexed="64"/>
      </right>
      <top/>
      <bottom style="medium">
        <color indexed="64"/>
      </bottom>
      <diagonal/>
    </border>
    <border>
      <left/>
      <right style="medium">
        <color rgb="FFABABAB"/>
      </right>
      <top/>
      <bottom style="medium">
        <color rgb="FFABABAB"/>
      </bottom>
      <diagonal/>
    </border>
  </borders>
  <cellStyleXfs count="156">
    <xf numFmtId="0" fontId="0" fillId="0" borderId="0"/>
    <xf numFmtId="0" fontId="3" fillId="0" borderId="0" applyNumberFormat="0" applyFill="0" applyBorder="0" applyAlignment="0" applyProtection="0"/>
    <xf numFmtId="0" fontId="4" fillId="0" borderId="1" applyNumberFormat="0" applyFill="0" applyAlignment="0" applyProtection="0"/>
    <xf numFmtId="0" fontId="5" fillId="0" borderId="2" applyNumberFormat="0" applyFill="0" applyAlignment="0" applyProtection="0"/>
    <xf numFmtId="0" fontId="6" fillId="0" borderId="3"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4" applyNumberFormat="0" applyAlignment="0" applyProtection="0"/>
    <xf numFmtId="0" fontId="11" fillId="6" borderId="5" applyNumberFormat="0" applyAlignment="0" applyProtection="0"/>
    <xf numFmtId="0" fontId="12" fillId="6" borderId="4" applyNumberFormat="0" applyAlignment="0" applyProtection="0"/>
    <xf numFmtId="0" fontId="13" fillId="0" borderId="6" applyNumberFormat="0" applyFill="0" applyAlignment="0" applyProtection="0"/>
    <xf numFmtId="0" fontId="14" fillId="7" borderId="7" applyNumberFormat="0" applyAlignment="0" applyProtection="0"/>
    <xf numFmtId="0" fontId="15" fillId="0" borderId="0" applyNumberFormat="0" applyFill="0" applyBorder="0" applyAlignment="0" applyProtection="0"/>
    <xf numFmtId="0" fontId="2" fillId="8" borderId="8" applyNumberFormat="0" applyFont="0" applyAlignment="0" applyProtection="0"/>
    <xf numFmtId="0" fontId="16" fillId="0" borderId="0" applyNumberFormat="0" applyFill="0" applyBorder="0" applyAlignment="0" applyProtection="0"/>
    <xf numFmtId="0" fontId="17" fillId="0" borderId="9"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18"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18"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18"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18"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18"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18" fillId="32" borderId="0" applyNumberFormat="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24" fillId="0" borderId="0" applyNumberFormat="0" applyFill="0" applyBorder="0" applyAlignment="0" applyProtection="0"/>
    <xf numFmtId="0" fontId="25" fillId="0" borderId="0" applyNumberFormat="0" applyFill="0" applyBorder="0" applyAlignment="0" applyProtection="0"/>
    <xf numFmtId="0" fontId="3" fillId="0" borderId="0" applyNumberFormat="0" applyFill="0" applyBorder="0" applyAlignment="0" applyProtection="0"/>
    <xf numFmtId="0" fontId="24" fillId="0" borderId="0" applyNumberFormat="0" applyFill="0" applyBorder="0" applyAlignment="0" applyProtection="0"/>
  </cellStyleXfs>
  <cellXfs count="242">
    <xf numFmtId="0" fontId="0" fillId="0" borderId="0" xfId="0"/>
    <xf numFmtId="0" fontId="0" fillId="0" borderId="0" xfId="0" applyAlignment="1">
      <alignment vertical="center"/>
    </xf>
    <xf numFmtId="0" fontId="0" fillId="0" borderId="0" xfId="0" applyAlignment="1">
      <alignment horizontal="center" vertical="center"/>
    </xf>
    <xf numFmtId="0" fontId="19" fillId="35" borderId="10" xfId="0" applyFont="1" applyFill="1" applyBorder="1" applyAlignment="1">
      <alignment horizontal="center" vertical="center"/>
    </xf>
    <xf numFmtId="0" fontId="19" fillId="33" borderId="10" xfId="0" applyFont="1" applyFill="1" applyBorder="1" applyAlignment="1">
      <alignment horizontal="center" vertical="center"/>
    </xf>
    <xf numFmtId="0" fontId="0" fillId="0" borderId="10" xfId="0" applyBorder="1" applyAlignment="1">
      <alignment horizontal="left" vertical="center"/>
    </xf>
    <xf numFmtId="0" fontId="0" fillId="0" borderId="0" xfId="0" applyAlignment="1">
      <alignment horizontal="left" vertical="center"/>
    </xf>
    <xf numFmtId="0" fontId="0" fillId="0" borderId="10" xfId="0" applyBorder="1" applyAlignment="1">
      <alignment vertical="center"/>
    </xf>
    <xf numFmtId="0" fontId="20" fillId="0" borderId="10" xfId="0" applyFont="1" applyBorder="1" applyAlignment="1">
      <alignment vertical="center"/>
    </xf>
    <xf numFmtId="0" fontId="0" fillId="0" borderId="10" xfId="0" applyBorder="1"/>
    <xf numFmtId="0" fontId="0" fillId="0" borderId="10" xfId="0" applyBorder="1" applyAlignment="1">
      <alignment horizontal="center" vertical="center"/>
    </xf>
    <xf numFmtId="0" fontId="21" fillId="0" borderId="10" xfId="0" applyFont="1" applyBorder="1"/>
    <xf numFmtId="0" fontId="21" fillId="0" borderId="10" xfId="0" applyFont="1" applyBorder="1" applyAlignment="1">
      <alignment vertical="center"/>
    </xf>
    <xf numFmtId="0" fontId="0" fillId="36" borderId="10" xfId="0" applyFill="1" applyBorder="1" applyAlignment="1">
      <alignment horizontal="center" vertical="center"/>
    </xf>
    <xf numFmtId="0" fontId="0" fillId="36" borderId="10" xfId="0" applyFill="1" applyBorder="1" applyAlignment="1">
      <alignment vertical="center"/>
    </xf>
    <xf numFmtId="0" fontId="0" fillId="0" borderId="10" xfId="0" applyBorder="1" applyAlignment="1">
      <alignment vertical="center" wrapText="1"/>
    </xf>
    <xf numFmtId="0" fontId="8" fillId="3" borderId="10" xfId="7" applyBorder="1" applyAlignment="1">
      <alignment vertical="center"/>
    </xf>
    <xf numFmtId="0" fontId="22" fillId="0" borderId="10" xfId="0" applyFont="1" applyBorder="1"/>
    <xf numFmtId="49" fontId="0" fillId="0" borderId="0" xfId="0" applyNumberFormat="1" applyAlignment="1">
      <alignment vertical="center"/>
    </xf>
    <xf numFmtId="49" fontId="0" fillId="0" borderId="10" xfId="0" applyNumberFormat="1" applyBorder="1" applyAlignment="1">
      <alignment horizontal="left" vertical="center"/>
    </xf>
    <xf numFmtId="49" fontId="21" fillId="0" borderId="10" xfId="0" applyNumberFormat="1" applyFont="1" applyBorder="1"/>
    <xf numFmtId="0" fontId="21" fillId="0" borderId="10" xfId="0" applyFont="1" applyBorder="1" applyAlignment="1">
      <alignment horizontal="center" vertical="center"/>
    </xf>
    <xf numFmtId="49" fontId="0" fillId="0" borderId="10" xfId="0" applyNumberFormat="1" applyBorder="1" applyAlignment="1">
      <alignment vertical="center"/>
    </xf>
    <xf numFmtId="0" fontId="23" fillId="0" borderId="10" xfId="0" applyFont="1" applyBorder="1"/>
    <xf numFmtId="0" fontId="19" fillId="37" borderId="10" xfId="0" applyFont="1" applyFill="1" applyBorder="1" applyAlignment="1">
      <alignment horizontal="center" vertical="center"/>
    </xf>
    <xf numFmtId="49" fontId="19" fillId="33" borderId="10" xfId="0" applyNumberFormat="1" applyFont="1" applyFill="1" applyBorder="1" applyAlignment="1">
      <alignment horizontal="center" vertical="center"/>
    </xf>
    <xf numFmtId="0" fontId="0" fillId="0" borderId="12" xfId="0" applyBorder="1" applyAlignment="1">
      <alignment vertical="center"/>
    </xf>
    <xf numFmtId="1" fontId="0" fillId="0" borderId="10" xfId="0" applyNumberFormat="1" applyBorder="1" applyAlignment="1">
      <alignment vertical="center"/>
    </xf>
    <xf numFmtId="49" fontId="17" fillId="0" borderId="13" xfId="0" applyNumberFormat="1" applyFont="1" applyBorder="1" applyAlignment="1">
      <alignment horizontal="center" wrapText="1"/>
    </xf>
    <xf numFmtId="49" fontId="17" fillId="0" borderId="12" xfId="0" applyNumberFormat="1" applyFont="1" applyBorder="1" applyAlignment="1">
      <alignment horizontal="center" wrapText="1"/>
    </xf>
    <xf numFmtId="1" fontId="17" fillId="0" borderId="12" xfId="0" applyNumberFormat="1" applyFont="1" applyBorder="1" applyAlignment="1">
      <alignment horizontal="left" wrapText="1"/>
    </xf>
    <xf numFmtId="49" fontId="17" fillId="0" borderId="14" xfId="0" applyNumberFormat="1" applyFont="1" applyBorder="1" applyAlignment="1">
      <alignment horizontal="center" wrapText="1"/>
    </xf>
    <xf numFmtId="0" fontId="0" fillId="0" borderId="0" xfId="0" applyAlignment="1">
      <alignment horizontal="center" wrapText="1"/>
    </xf>
    <xf numFmtId="49" fontId="0" fillId="0" borderId="11" xfId="0" applyNumberFormat="1" applyBorder="1" applyAlignment="1">
      <alignment horizontal="left"/>
    </xf>
    <xf numFmtId="0" fontId="0" fillId="0" borderId="10" xfId="0" applyBorder="1" applyAlignment="1">
      <alignment horizontal="left"/>
    </xf>
    <xf numFmtId="0" fontId="0" fillId="0" borderId="10" xfId="0" applyBorder="1" applyAlignment="1">
      <alignment horizontal="center"/>
    </xf>
    <xf numFmtId="1" fontId="0" fillId="0" borderId="10" xfId="0" applyNumberFormat="1" applyBorder="1" applyAlignment="1">
      <alignment horizontal="left"/>
    </xf>
    <xf numFmtId="49" fontId="0" fillId="0" borderId="10" xfId="0" applyNumberFormat="1" applyBorder="1"/>
    <xf numFmtId="49" fontId="0" fillId="0" borderId="15" xfId="0" applyNumberFormat="1" applyBorder="1"/>
    <xf numFmtId="0" fontId="0" fillId="0" borderId="15" xfId="0" applyBorder="1"/>
    <xf numFmtId="49" fontId="0" fillId="0" borderId="10" xfId="0" applyNumberFormat="1" applyBorder="1" applyAlignment="1">
      <alignment horizontal="left"/>
    </xf>
    <xf numFmtId="49" fontId="0" fillId="0" borderId="15" xfId="0" applyNumberFormat="1" applyBorder="1" applyAlignment="1">
      <alignment horizontal="left"/>
    </xf>
    <xf numFmtId="0" fontId="0" fillId="0" borderId="15" xfId="0" applyBorder="1" applyAlignment="1">
      <alignment vertical="center"/>
    </xf>
    <xf numFmtId="0" fontId="0" fillId="0" borderId="16" xfId="0" applyBorder="1" applyAlignment="1">
      <alignment horizontal="left"/>
    </xf>
    <xf numFmtId="0" fontId="0" fillId="0" borderId="17" xfId="0" applyBorder="1" applyAlignment="1">
      <alignment horizontal="left"/>
    </xf>
    <xf numFmtId="0" fontId="0" fillId="0" borderId="17" xfId="0" applyBorder="1" applyAlignment="1">
      <alignment horizontal="center"/>
    </xf>
    <xf numFmtId="1" fontId="0" fillId="0" borderId="17" xfId="0" applyNumberFormat="1" applyBorder="1" applyAlignment="1">
      <alignment horizontal="left"/>
    </xf>
    <xf numFmtId="0" fontId="0" fillId="0" borderId="17" xfId="0" applyBorder="1"/>
    <xf numFmtId="0" fontId="0" fillId="0" borderId="18" xfId="0" applyBorder="1"/>
    <xf numFmtId="1" fontId="0" fillId="0" borderId="0" xfId="0" applyNumberFormat="1"/>
    <xf numFmtId="49" fontId="17" fillId="0" borderId="10" xfId="0" applyNumberFormat="1" applyFont="1" applyBorder="1" applyAlignment="1">
      <alignment horizontal="center" wrapText="1"/>
    </xf>
    <xf numFmtId="0" fontId="17" fillId="0" borderId="10" xfId="0" applyFont="1" applyBorder="1" applyAlignment="1">
      <alignment horizontal="center" wrapText="1"/>
    </xf>
    <xf numFmtId="49" fontId="17" fillId="0" borderId="10" xfId="0" applyNumberFormat="1" applyFont="1" applyBorder="1" applyAlignment="1">
      <alignment horizontal="left" wrapText="1"/>
    </xf>
    <xf numFmtId="0" fontId="0" fillId="0" borderId="0" xfId="0" applyAlignment="1">
      <alignment horizontal="center"/>
    </xf>
    <xf numFmtId="49" fontId="0" fillId="0" borderId="10" xfId="0" applyNumberFormat="1" applyBorder="1" applyAlignment="1">
      <alignment horizontal="center"/>
    </xf>
    <xf numFmtId="49" fontId="0" fillId="0" borderId="10" xfId="0" applyNumberFormat="1" applyBorder="1" applyAlignment="1">
      <alignment horizontal="right"/>
    </xf>
    <xf numFmtId="49" fontId="23" fillId="0" borderId="10" xfId="0" applyNumberFormat="1" applyFont="1" applyBorder="1" applyAlignment="1">
      <alignment horizontal="right"/>
    </xf>
    <xf numFmtId="0" fontId="20" fillId="0" borderId="0" xfId="0" applyFont="1"/>
    <xf numFmtId="2" fontId="0" fillId="0" borderId="10" xfId="0" applyNumberFormat="1" applyBorder="1" applyAlignment="1">
      <alignment horizontal="left"/>
    </xf>
    <xf numFmtId="49" fontId="20" fillId="0" borderId="10" xfId="0" applyNumberFormat="1" applyFont="1" applyBorder="1" applyAlignment="1">
      <alignment horizontal="left"/>
    </xf>
    <xf numFmtId="49" fontId="20" fillId="0" borderId="10" xfId="0" applyNumberFormat="1" applyFont="1" applyBorder="1" applyAlignment="1">
      <alignment horizontal="center"/>
    </xf>
    <xf numFmtId="0" fontId="26" fillId="0" borderId="10" xfId="0" applyFont="1" applyBorder="1" applyAlignment="1">
      <alignment horizontal="left"/>
    </xf>
    <xf numFmtId="49" fontId="20" fillId="0" borderId="10" xfId="0" applyNumberFormat="1" applyFont="1" applyBorder="1" applyAlignment="1">
      <alignment horizontal="right"/>
    </xf>
    <xf numFmtId="0" fontId="0" fillId="36" borderId="0" xfId="0" applyFill="1"/>
    <xf numFmtId="49" fontId="0" fillId="0" borderId="0" xfId="0" applyNumberFormat="1" applyAlignment="1">
      <alignment horizontal="right"/>
    </xf>
    <xf numFmtId="1" fontId="0" fillId="0" borderId="10" xfId="0" applyNumberFormat="1" applyBorder="1" applyAlignment="1">
      <alignment horizontal="right"/>
    </xf>
    <xf numFmtId="1" fontId="0" fillId="0" borderId="15" xfId="0" applyNumberFormat="1" applyBorder="1" applyAlignment="1">
      <alignment horizontal="right" wrapText="1"/>
    </xf>
    <xf numFmtId="0" fontId="0" fillId="0" borderId="11" xfId="0" applyBorder="1" applyAlignment="1">
      <alignment horizontal="left"/>
    </xf>
    <xf numFmtId="1" fontId="0" fillId="0" borderId="15" xfId="0" applyNumberFormat="1" applyBorder="1" applyAlignment="1">
      <alignment horizontal="right"/>
    </xf>
    <xf numFmtId="1" fontId="23" fillId="0" borderId="15" xfId="0" applyNumberFormat="1" applyFont="1" applyBorder="1" applyAlignment="1">
      <alignment horizontal="right"/>
    </xf>
    <xf numFmtId="1" fontId="20" fillId="0" borderId="15" xfId="0" applyNumberFormat="1" applyFont="1" applyBorder="1" applyAlignment="1">
      <alignment horizontal="right"/>
    </xf>
    <xf numFmtId="0" fontId="0" fillId="0" borderId="15" xfId="0" applyBorder="1" applyAlignment="1">
      <alignment horizontal="right" wrapText="1"/>
    </xf>
    <xf numFmtId="1" fontId="27" fillId="0" borderId="15" xfId="0" applyNumberFormat="1" applyFont="1" applyBorder="1" applyAlignment="1">
      <alignment horizontal="right" vertical="center"/>
    </xf>
    <xf numFmtId="49" fontId="27" fillId="0" borderId="10" xfId="0" applyNumberFormat="1" applyFont="1" applyBorder="1" applyAlignment="1">
      <alignment horizontal="left" vertical="center"/>
    </xf>
    <xf numFmtId="49" fontId="0" fillId="0" borderId="11" xfId="0" applyNumberFormat="1" applyBorder="1"/>
    <xf numFmtId="1" fontId="0" fillId="0" borderId="15" xfId="0" applyNumberFormat="1" applyBorder="1" applyAlignment="1">
      <alignment horizontal="right" vertical="center"/>
    </xf>
    <xf numFmtId="1" fontId="0" fillId="0" borderId="17" xfId="0" applyNumberFormat="1" applyBorder="1" applyAlignment="1">
      <alignment horizontal="right"/>
    </xf>
    <xf numFmtId="1" fontId="0" fillId="0" borderId="18" xfId="0" applyNumberFormat="1" applyBorder="1" applyAlignment="1">
      <alignment horizontal="right"/>
    </xf>
    <xf numFmtId="49" fontId="28" fillId="0" borderId="10" xfId="0" applyNumberFormat="1" applyFont="1" applyBorder="1" applyAlignment="1">
      <alignment horizontal="left"/>
    </xf>
    <xf numFmtId="49" fontId="28" fillId="0" borderId="10" xfId="0" applyNumberFormat="1" applyFont="1" applyBorder="1" applyAlignment="1">
      <alignment horizontal="right"/>
    </xf>
    <xf numFmtId="49" fontId="28" fillId="0" borderId="10" xfId="0" applyNumberFormat="1" applyFont="1" applyBorder="1"/>
    <xf numFmtId="0" fontId="0" fillId="0" borderId="11" xfId="0" applyBorder="1" applyAlignment="1">
      <alignment horizontal="center" vertical="center"/>
    </xf>
    <xf numFmtId="49" fontId="14" fillId="39" borderId="13" xfId="0" applyNumberFormat="1" applyFont="1" applyFill="1" applyBorder="1" applyAlignment="1">
      <alignment horizontal="center" wrapText="1"/>
    </xf>
    <xf numFmtId="49" fontId="14" fillId="39" borderId="12" xfId="0" applyNumberFormat="1" applyFont="1" applyFill="1" applyBorder="1" applyAlignment="1">
      <alignment horizontal="center" wrapText="1"/>
    </xf>
    <xf numFmtId="1" fontId="14" fillId="39" borderId="12" xfId="0" applyNumberFormat="1" applyFont="1" applyFill="1" applyBorder="1" applyAlignment="1">
      <alignment horizontal="center" wrapText="1"/>
    </xf>
    <xf numFmtId="49" fontId="14" fillId="39" borderId="14" xfId="0" applyNumberFormat="1" applyFont="1" applyFill="1" applyBorder="1" applyAlignment="1">
      <alignment horizontal="center" wrapText="1"/>
    </xf>
    <xf numFmtId="0" fontId="0" fillId="0" borderId="16" xfId="0" applyBorder="1" applyAlignment="1">
      <alignment horizontal="center" vertical="center"/>
    </xf>
    <xf numFmtId="0" fontId="0" fillId="0" borderId="17" xfId="0" applyBorder="1" applyAlignment="1">
      <alignment horizontal="center" vertical="center"/>
    </xf>
    <xf numFmtId="1" fontId="0" fillId="0" borderId="10" xfId="0" applyNumberFormat="1" applyBorder="1" applyAlignment="1">
      <alignment horizontal="center"/>
    </xf>
    <xf numFmtId="49" fontId="17" fillId="0" borderId="13" xfId="0" applyNumberFormat="1" applyFont="1" applyBorder="1" applyAlignment="1">
      <alignment wrapText="1"/>
    </xf>
    <xf numFmtId="1" fontId="17" fillId="0" borderId="12" xfId="0" applyNumberFormat="1" applyFont="1" applyBorder="1" applyAlignment="1">
      <alignment wrapText="1"/>
    </xf>
    <xf numFmtId="49" fontId="17" fillId="0" borderId="12" xfId="0" applyNumberFormat="1" applyFont="1" applyBorder="1" applyAlignment="1">
      <alignment wrapText="1"/>
    </xf>
    <xf numFmtId="1" fontId="17" fillId="0" borderId="14" xfId="0" applyNumberFormat="1" applyFont="1" applyBorder="1" applyAlignment="1">
      <alignment wrapText="1"/>
    </xf>
    <xf numFmtId="49" fontId="17" fillId="0" borderId="14" xfId="0" applyNumberFormat="1" applyFont="1" applyBorder="1" applyAlignment="1">
      <alignment wrapText="1"/>
    </xf>
    <xf numFmtId="49" fontId="14" fillId="39" borderId="13" xfId="0" applyNumberFormat="1" applyFont="1" applyFill="1" applyBorder="1" applyAlignment="1">
      <alignment wrapText="1"/>
    </xf>
    <xf numFmtId="1" fontId="14" fillId="39" borderId="12" xfId="0" applyNumberFormat="1" applyFont="1" applyFill="1" applyBorder="1" applyAlignment="1">
      <alignment wrapText="1"/>
    </xf>
    <xf numFmtId="49" fontId="14" fillId="39" borderId="12" xfId="0" applyNumberFormat="1" applyFont="1" applyFill="1" applyBorder="1" applyAlignment="1">
      <alignment wrapText="1"/>
    </xf>
    <xf numFmtId="49" fontId="14" fillId="39" borderId="14" xfId="0" applyNumberFormat="1" applyFont="1" applyFill="1" applyBorder="1" applyAlignment="1">
      <alignment wrapText="1"/>
    </xf>
    <xf numFmtId="0" fontId="21" fillId="0" borderId="19" xfId="0" applyFont="1" applyBorder="1" applyAlignment="1">
      <alignment vertical="center" wrapText="1"/>
    </xf>
    <xf numFmtId="0" fontId="0" fillId="0" borderId="15" xfId="0" applyBorder="1" applyAlignment="1">
      <alignment horizontal="center" vertical="center"/>
    </xf>
    <xf numFmtId="49" fontId="0" fillId="0" borderId="0" xfId="0" applyNumberFormat="1"/>
    <xf numFmtId="0" fontId="0" fillId="0" borderId="17" xfId="0" applyBorder="1" applyAlignment="1">
      <alignment vertical="center"/>
    </xf>
    <xf numFmtId="0" fontId="0" fillId="0" borderId="12" xfId="0" applyBorder="1" applyAlignment="1">
      <alignment horizontal="center" vertical="center"/>
    </xf>
    <xf numFmtId="0" fontId="27" fillId="0" borderId="10" xfId="0" applyFont="1" applyBorder="1" applyAlignment="1">
      <alignment vertical="center"/>
    </xf>
    <xf numFmtId="0" fontId="27" fillId="0" borderId="10" xfId="0" applyFont="1" applyBorder="1" applyAlignment="1">
      <alignment horizontal="center" vertical="center"/>
    </xf>
    <xf numFmtId="0" fontId="0" fillId="0" borderId="11" xfId="0" applyBorder="1" applyAlignment="1">
      <alignment vertical="center"/>
    </xf>
    <xf numFmtId="0" fontId="22" fillId="0" borderId="10" xfId="0" applyFont="1" applyBorder="1" applyAlignment="1">
      <alignment horizontal="center"/>
    </xf>
    <xf numFmtId="0" fontId="28" fillId="0" borderId="10" xfId="0" applyFont="1" applyBorder="1" applyAlignment="1">
      <alignment vertical="center"/>
    </xf>
    <xf numFmtId="49" fontId="0" fillId="0" borderId="17" xfId="0" applyNumberFormat="1" applyBorder="1" applyAlignment="1">
      <alignment horizontal="left"/>
    </xf>
    <xf numFmtId="0" fontId="0" fillId="0" borderId="10" xfId="0" applyBorder="1" applyAlignment="1">
      <alignment horizontal="left" vertical="center" wrapText="1"/>
    </xf>
    <xf numFmtId="49" fontId="0" fillId="0" borderId="10" xfId="0" applyNumberFormat="1" applyBorder="1" applyAlignment="1">
      <alignment vertical="center" wrapText="1"/>
    </xf>
    <xf numFmtId="0" fontId="21" fillId="0" borderId="10" xfId="0" applyFont="1" applyBorder="1" applyAlignment="1">
      <alignment vertical="center" wrapText="1"/>
    </xf>
    <xf numFmtId="0" fontId="0" fillId="0" borderId="0" xfId="0" applyAlignment="1">
      <alignment horizontal="left"/>
    </xf>
    <xf numFmtId="0" fontId="0" fillId="0" borderId="11" xfId="0" applyBorder="1"/>
    <xf numFmtId="0" fontId="0" fillId="0" borderId="13" xfId="0" applyBorder="1"/>
    <xf numFmtId="0" fontId="0" fillId="0" borderId="12" xfId="0" applyBorder="1"/>
    <xf numFmtId="0" fontId="0" fillId="0" borderId="14" xfId="0" applyBorder="1"/>
    <xf numFmtId="0" fontId="0" fillId="0" borderId="16" xfId="0" applyBorder="1"/>
    <xf numFmtId="14" fontId="0" fillId="0" borderId="11" xfId="0" applyNumberFormat="1" applyBorder="1"/>
    <xf numFmtId="0" fontId="0" fillId="36" borderId="17" xfId="0" applyFill="1" applyBorder="1" applyAlignment="1">
      <alignment vertical="center"/>
    </xf>
    <xf numFmtId="0" fontId="0" fillId="0" borderId="24" xfId="0" applyBorder="1"/>
    <xf numFmtId="0" fontId="21" fillId="0" borderId="0" xfId="0" applyFont="1"/>
    <xf numFmtId="0" fontId="0" fillId="0" borderId="25" xfId="0" applyBorder="1"/>
    <xf numFmtId="0" fontId="20" fillId="0" borderId="10" xfId="0" quotePrefix="1" applyFont="1" applyBorder="1"/>
    <xf numFmtId="49" fontId="0" fillId="0" borderId="10" xfId="0" quotePrefix="1" applyNumberFormat="1" applyBorder="1" applyAlignment="1">
      <alignment vertical="center"/>
    </xf>
    <xf numFmtId="0" fontId="21" fillId="41" borderId="10" xfId="0" applyFont="1" applyFill="1" applyBorder="1" applyAlignment="1">
      <alignment vertical="center" wrapText="1"/>
    </xf>
    <xf numFmtId="0" fontId="0" fillId="0" borderId="19" xfId="0" applyBorder="1" applyAlignment="1">
      <alignment vertical="center"/>
    </xf>
    <xf numFmtId="0" fontId="0" fillId="0" borderId="20" xfId="0" applyBorder="1" applyAlignment="1">
      <alignment vertical="center"/>
    </xf>
    <xf numFmtId="49" fontId="30" fillId="0" borderId="10" xfId="0" applyNumberFormat="1" applyFont="1" applyBorder="1"/>
    <xf numFmtId="49" fontId="29" fillId="0" borderId="10" xfId="0" applyNumberFormat="1" applyFont="1" applyBorder="1" applyAlignment="1">
      <alignment vertical="top" wrapText="1"/>
    </xf>
    <xf numFmtId="0" fontId="24" fillId="0" borderId="10" xfId="155" applyBorder="1"/>
    <xf numFmtId="49" fontId="0" fillId="0" borderId="16" xfId="0" applyNumberFormat="1" applyBorder="1" applyAlignment="1">
      <alignment horizontal="left"/>
    </xf>
    <xf numFmtId="49" fontId="0" fillId="0" borderId="10" xfId="0" applyNumberFormat="1" applyBorder="1" applyAlignment="1">
      <alignment horizontal="center" vertical="center"/>
    </xf>
    <xf numFmtId="0" fontId="0" fillId="0" borderId="10" xfId="0" quotePrefix="1" applyBorder="1"/>
    <xf numFmtId="49" fontId="31" fillId="0" borderId="10" xfId="0" applyNumberFormat="1" applyFont="1" applyBorder="1"/>
    <xf numFmtId="0" fontId="30" fillId="0" borderId="10" xfId="0" applyFont="1" applyBorder="1"/>
    <xf numFmtId="49" fontId="28" fillId="36" borderId="11" xfId="0" applyNumberFormat="1" applyFont="1" applyFill="1" applyBorder="1" applyAlignment="1">
      <alignment horizontal="left"/>
    </xf>
    <xf numFmtId="1" fontId="28" fillId="36" borderId="10" xfId="0" applyNumberFormat="1" applyFont="1" applyFill="1" applyBorder="1" applyAlignment="1">
      <alignment horizontal="right"/>
    </xf>
    <xf numFmtId="1" fontId="28" fillId="0" borderId="10" xfId="0" applyNumberFormat="1" applyFont="1" applyBorder="1" applyAlignment="1">
      <alignment horizontal="center"/>
    </xf>
    <xf numFmtId="0" fontId="28" fillId="0" borderId="10" xfId="0" applyFont="1" applyBorder="1" applyAlignment="1">
      <alignment horizontal="left"/>
    </xf>
    <xf numFmtId="1" fontId="33" fillId="0" borderId="15" xfId="0" applyNumberFormat="1" applyFont="1" applyBorder="1" applyAlignment="1">
      <alignment horizontal="right"/>
    </xf>
    <xf numFmtId="0" fontId="28" fillId="0" borderId="0" xfId="0" applyFont="1"/>
    <xf numFmtId="49" fontId="28" fillId="0" borderId="11" xfId="0" applyNumberFormat="1" applyFont="1" applyBorder="1" applyAlignment="1">
      <alignment horizontal="left"/>
    </xf>
    <xf numFmtId="1" fontId="28" fillId="0" borderId="10" xfId="0" applyNumberFormat="1" applyFont="1" applyBorder="1" applyAlignment="1">
      <alignment horizontal="right"/>
    </xf>
    <xf numFmtId="1" fontId="34" fillId="0" borderId="15" xfId="0" applyNumberFormat="1" applyFont="1" applyBorder="1" applyAlignment="1">
      <alignment horizontal="right"/>
    </xf>
    <xf numFmtId="0" fontId="28" fillId="0" borderId="15" xfId="0" applyFont="1" applyBorder="1"/>
    <xf numFmtId="1" fontId="28" fillId="0" borderId="15" xfId="0" applyNumberFormat="1" applyFont="1" applyBorder="1" applyAlignment="1">
      <alignment horizontal="right"/>
    </xf>
    <xf numFmtId="1" fontId="35" fillId="0" borderId="15" xfId="0" applyNumberFormat="1" applyFont="1" applyBorder="1" applyAlignment="1">
      <alignment horizontal="right" vertical="center"/>
    </xf>
    <xf numFmtId="0" fontId="28" fillId="0" borderId="10" xfId="0" applyFont="1" applyBorder="1" applyAlignment="1">
      <alignment horizontal="right"/>
    </xf>
    <xf numFmtId="1" fontId="28" fillId="0" borderId="15" xfId="0" applyNumberFormat="1" applyFont="1" applyBorder="1" applyAlignment="1">
      <alignment horizontal="right" vertical="center"/>
    </xf>
    <xf numFmtId="1" fontId="0" fillId="0" borderId="17" xfId="0" applyNumberFormat="1" applyBorder="1" applyAlignment="1">
      <alignment horizontal="center"/>
    </xf>
    <xf numFmtId="0" fontId="28" fillId="0" borderId="24" xfId="0" applyFont="1" applyBorder="1"/>
    <xf numFmtId="49" fontId="0" fillId="0" borderId="24" xfId="0" applyNumberFormat="1" applyBorder="1"/>
    <xf numFmtId="49" fontId="17" fillId="0" borderId="10" xfId="0" applyNumberFormat="1" applyFont="1" applyBorder="1" applyAlignment="1">
      <alignment horizontal="left"/>
    </xf>
    <xf numFmtId="49" fontId="17" fillId="0" borderId="10" xfId="0" applyNumberFormat="1" applyFont="1" applyBorder="1" applyAlignment="1">
      <alignment horizontal="right"/>
    </xf>
    <xf numFmtId="49" fontId="17" fillId="0" borderId="15" xfId="0" applyNumberFormat="1" applyFont="1" applyBorder="1" applyAlignment="1">
      <alignment horizontal="center" wrapText="1"/>
    </xf>
    <xf numFmtId="49" fontId="0" fillId="0" borderId="11" xfId="0" applyNumberFormat="1" applyBorder="1" applyAlignment="1">
      <alignment horizontal="left" wrapText="1"/>
    </xf>
    <xf numFmtId="0" fontId="0" fillId="0" borderId="10" xfId="0" applyBorder="1" applyAlignment="1">
      <alignment horizontal="right" wrapText="1"/>
    </xf>
    <xf numFmtId="0" fontId="28" fillId="0" borderId="10" xfId="0" applyFont="1" applyBorder="1" applyAlignment="1">
      <alignment horizontal="left" vertical="center"/>
    </xf>
    <xf numFmtId="0" fontId="0" fillId="0" borderId="10" xfId="0" applyBorder="1" applyAlignment="1">
      <alignment horizontal="right" vertical="center"/>
    </xf>
    <xf numFmtId="0" fontId="28" fillId="0" borderId="10" xfId="0" applyFont="1" applyBorder="1" applyAlignment="1">
      <alignment horizontal="right" vertical="center"/>
    </xf>
    <xf numFmtId="49" fontId="36" fillId="0" borderId="10" xfId="0" applyNumberFormat="1" applyFont="1" applyBorder="1" applyAlignment="1">
      <alignment vertical="center"/>
    </xf>
    <xf numFmtId="0" fontId="0" fillId="0" borderId="12" xfId="0" applyBorder="1" applyAlignment="1">
      <alignment horizontal="left" vertical="center"/>
    </xf>
    <xf numFmtId="0" fontId="37" fillId="0" borderId="10" xfId="0" applyFont="1" applyBorder="1" applyAlignment="1">
      <alignment horizontal="left"/>
    </xf>
    <xf numFmtId="49" fontId="17" fillId="0" borderId="10" xfId="0" applyNumberFormat="1" applyFont="1" applyBorder="1" applyAlignment="1">
      <alignment horizontal="center"/>
    </xf>
    <xf numFmtId="0" fontId="37" fillId="0" borderId="10" xfId="0" quotePrefix="1" applyFont="1" applyBorder="1"/>
    <xf numFmtId="0" fontId="0" fillId="0" borderId="11" xfId="0" applyBorder="1" applyAlignment="1">
      <alignment horizontal="left" vertical="center"/>
    </xf>
    <xf numFmtId="0" fontId="39" fillId="0" borderId="10" xfId="0" quotePrefix="1" applyFont="1" applyBorder="1"/>
    <xf numFmtId="0" fontId="27" fillId="0" borderId="10" xfId="0" applyFont="1" applyBorder="1"/>
    <xf numFmtId="0" fontId="0" fillId="0" borderId="10" xfId="0" quotePrefix="1" applyBorder="1" applyAlignment="1">
      <alignment vertical="center"/>
    </xf>
    <xf numFmtId="0" fontId="38" fillId="0" borderId="10" xfId="0" applyFont="1" applyBorder="1"/>
    <xf numFmtId="0" fontId="36" fillId="0" borderId="10" xfId="0" applyFont="1" applyBorder="1"/>
    <xf numFmtId="0" fontId="17" fillId="0" borderId="10" xfId="0" applyFont="1" applyBorder="1"/>
    <xf numFmtId="0" fontId="38" fillId="0" borderId="10" xfId="0" quotePrefix="1" applyFont="1" applyBorder="1"/>
    <xf numFmtId="0" fontId="0" fillId="0" borderId="14" xfId="0" applyBorder="1" applyAlignment="1">
      <alignment horizontal="center" vertical="center"/>
    </xf>
    <xf numFmtId="0" fontId="19" fillId="34" borderId="10" xfId="0" applyFont="1" applyFill="1" applyBorder="1" applyAlignment="1">
      <alignment horizontal="center" vertical="center"/>
    </xf>
    <xf numFmtId="49" fontId="19" fillId="34" borderId="10" xfId="0" applyNumberFormat="1" applyFont="1" applyFill="1" applyBorder="1" applyAlignment="1">
      <alignment horizontal="center" vertical="center"/>
    </xf>
    <xf numFmtId="0" fontId="15" fillId="0" borderId="10" xfId="0" applyFont="1" applyBorder="1" applyAlignment="1">
      <alignment vertical="center"/>
    </xf>
    <xf numFmtId="49" fontId="0" fillId="0" borderId="24" xfId="0" applyNumberFormat="1" applyBorder="1" applyAlignment="1">
      <alignment horizontal="left"/>
    </xf>
    <xf numFmtId="0" fontId="27" fillId="0" borderId="15" xfId="0" applyFont="1" applyBorder="1" applyAlignment="1">
      <alignment horizontal="left" vertical="center"/>
    </xf>
    <xf numFmtId="49" fontId="28" fillId="0" borderId="15" xfId="0" applyNumberFormat="1" applyFont="1" applyBorder="1"/>
    <xf numFmtId="49" fontId="0" fillId="0" borderId="0" xfId="0" applyNumberFormat="1" applyAlignment="1">
      <alignment horizontal="left"/>
    </xf>
    <xf numFmtId="0" fontId="0" fillId="0" borderId="20" xfId="0" applyBorder="1"/>
    <xf numFmtId="0" fontId="19" fillId="33" borderId="12" xfId="0" applyFont="1" applyFill="1" applyBorder="1" applyAlignment="1">
      <alignment horizontal="center" vertical="center"/>
    </xf>
    <xf numFmtId="0" fontId="19" fillId="33" borderId="12" xfId="0" applyFont="1" applyFill="1" applyBorder="1" applyAlignment="1">
      <alignment horizontal="center" vertical="center" wrapText="1"/>
    </xf>
    <xf numFmtId="0" fontId="27" fillId="0" borderId="12" xfId="0" applyFont="1" applyBorder="1" applyAlignment="1">
      <alignment vertical="center"/>
    </xf>
    <xf numFmtId="0" fontId="21" fillId="41" borderId="12" xfId="0" applyFont="1" applyFill="1" applyBorder="1" applyAlignment="1">
      <alignment vertical="center" wrapText="1"/>
    </xf>
    <xf numFmtId="0" fontId="21" fillId="0" borderId="12" xfId="0" applyFont="1" applyBorder="1" applyAlignment="1">
      <alignment vertical="center" wrapText="1"/>
    </xf>
    <xf numFmtId="0" fontId="0" fillId="0" borderId="26" xfId="0" applyBorder="1" applyAlignment="1">
      <alignment vertical="center"/>
    </xf>
    <xf numFmtId="0" fontId="0" fillId="36" borderId="12" xfId="0" applyFill="1" applyBorder="1" applyAlignment="1">
      <alignment vertical="center"/>
    </xf>
    <xf numFmtId="0" fontId="20" fillId="0" borderId="12" xfId="0" applyFont="1" applyBorder="1" applyAlignment="1">
      <alignment vertical="center"/>
    </xf>
    <xf numFmtId="0" fontId="21" fillId="0" borderId="12" xfId="0" applyFont="1" applyBorder="1" applyAlignment="1">
      <alignment vertical="center"/>
    </xf>
    <xf numFmtId="0" fontId="0" fillId="36" borderId="12" xfId="0" applyFill="1" applyBorder="1" applyAlignment="1">
      <alignment horizontal="center" vertical="center"/>
    </xf>
    <xf numFmtId="0" fontId="0" fillId="40" borderId="12" xfId="0" applyFill="1" applyBorder="1" applyAlignment="1">
      <alignment vertical="center"/>
    </xf>
    <xf numFmtId="0" fontId="27" fillId="0" borderId="12" xfId="0" applyFont="1" applyBorder="1" applyAlignment="1">
      <alignment horizontal="center" vertical="center"/>
    </xf>
    <xf numFmtId="0" fontId="0" fillId="0" borderId="12" xfId="0" applyBorder="1" applyAlignment="1">
      <alignment vertical="center" wrapText="1"/>
    </xf>
    <xf numFmtId="0" fontId="21" fillId="0" borderId="12" xfId="0" applyFont="1" applyBorder="1"/>
    <xf numFmtId="0" fontId="28" fillId="0" borderId="12" xfId="0" applyFont="1" applyBorder="1" applyAlignment="1">
      <alignment vertical="center"/>
    </xf>
    <xf numFmtId="0" fontId="0" fillId="0" borderId="12" xfId="0" applyBorder="1" applyAlignment="1">
      <alignment horizontal="left" vertical="center" wrapText="1"/>
    </xf>
    <xf numFmtId="0" fontId="0" fillId="0" borderId="12" xfId="0" applyBorder="1" applyAlignment="1">
      <alignment horizontal="center"/>
    </xf>
    <xf numFmtId="0" fontId="27" fillId="0" borderId="12" xfId="0" applyFont="1" applyBorder="1"/>
    <xf numFmtId="0" fontId="22" fillId="0" borderId="12" xfId="0" applyFont="1" applyBorder="1"/>
    <xf numFmtId="0" fontId="19" fillId="38" borderId="10" xfId="0" applyFont="1" applyFill="1" applyBorder="1" applyAlignment="1">
      <alignment horizontal="center" vertical="center"/>
    </xf>
    <xf numFmtId="49" fontId="19" fillId="38" borderId="10" xfId="0" applyNumberFormat="1" applyFont="1" applyFill="1" applyBorder="1" applyAlignment="1">
      <alignment horizontal="center" vertical="center"/>
    </xf>
    <xf numFmtId="0" fontId="0" fillId="0" borderId="27" xfId="0" applyBorder="1" applyAlignment="1">
      <alignment vertical="center"/>
    </xf>
    <xf numFmtId="0" fontId="0" fillId="42" borderId="10" xfId="0" applyFill="1" applyBorder="1" applyAlignment="1">
      <alignment vertical="center"/>
    </xf>
    <xf numFmtId="0" fontId="0" fillId="42" borderId="12" xfId="0" applyFill="1" applyBorder="1"/>
    <xf numFmtId="0" fontId="27" fillId="0" borderId="23" xfId="0" applyFont="1" applyBorder="1" applyAlignment="1">
      <alignment vertical="center" wrapText="1"/>
    </xf>
    <xf numFmtId="0" fontId="27" fillId="0" borderId="29" xfId="0" applyFont="1" applyBorder="1" applyAlignment="1">
      <alignment vertical="center" wrapText="1"/>
    </xf>
    <xf numFmtId="0" fontId="0" fillId="42" borderId="10" xfId="0" applyFill="1" applyBorder="1"/>
    <xf numFmtId="0" fontId="0" fillId="42" borderId="0" xfId="0" applyFill="1" applyAlignment="1">
      <alignment vertical="center"/>
    </xf>
    <xf numFmtId="0" fontId="0" fillId="0" borderId="19" xfId="0" applyBorder="1"/>
    <xf numFmtId="0" fontId="8" fillId="0" borderId="10" xfId="7" applyFill="1" applyBorder="1" applyAlignment="1">
      <alignment vertical="center"/>
    </xf>
    <xf numFmtId="0" fontId="8" fillId="0" borderId="10" xfId="7" applyFill="1" applyBorder="1" applyAlignment="1">
      <alignment vertical="center" wrapText="1"/>
    </xf>
    <xf numFmtId="0" fontId="8" fillId="0" borderId="12" xfId="7" applyFill="1" applyBorder="1" applyAlignment="1">
      <alignment vertical="center" wrapText="1"/>
    </xf>
    <xf numFmtId="0" fontId="8" fillId="0" borderId="0" xfId="7" applyFill="1" applyAlignment="1">
      <alignment vertical="center" wrapText="1"/>
    </xf>
    <xf numFmtId="0" fontId="42" fillId="34" borderId="10" xfId="0" applyFont="1" applyFill="1" applyBorder="1" applyAlignment="1">
      <alignment horizontal="center" vertical="center"/>
    </xf>
    <xf numFmtId="0" fontId="20" fillId="0" borderId="10" xfId="7" applyFont="1" applyFill="1" applyBorder="1" applyAlignment="1">
      <alignment vertical="center"/>
    </xf>
    <xf numFmtId="0" fontId="27" fillId="0" borderId="0" xfId="0" applyFont="1"/>
    <xf numFmtId="49" fontId="0" fillId="0" borderId="11" xfId="0" applyNumberFormat="1" applyBorder="1" applyAlignment="1">
      <alignment vertical="center"/>
    </xf>
    <xf numFmtId="49" fontId="0" fillId="0" borderId="12" xfId="0" applyNumberFormat="1" applyBorder="1" applyAlignment="1">
      <alignment vertical="center"/>
    </xf>
    <xf numFmtId="0" fontId="0" fillId="0" borderId="10" xfId="0" applyBorder="1" applyAlignment="1">
      <alignment wrapText="1"/>
    </xf>
    <xf numFmtId="0" fontId="0" fillId="36" borderId="10" xfId="0" applyFill="1" applyBorder="1" applyAlignment="1">
      <alignment horizontal="left" vertical="center"/>
    </xf>
    <xf numFmtId="0" fontId="21" fillId="0" borderId="20" xfId="0" applyFont="1" applyBorder="1" applyAlignment="1">
      <alignment vertical="center" wrapText="1"/>
    </xf>
    <xf numFmtId="0" fontId="21" fillId="0" borderId="0" xfId="0" applyFont="1" applyAlignment="1">
      <alignment vertical="center" wrapText="1"/>
    </xf>
    <xf numFmtId="0" fontId="43" fillId="0" borderId="10" xfId="0" applyFont="1" applyBorder="1"/>
    <xf numFmtId="0" fontId="27" fillId="0" borderId="30" xfId="0" applyFont="1" applyBorder="1" applyAlignment="1">
      <alignment vertical="center" wrapText="1"/>
    </xf>
    <xf numFmtId="0" fontId="21" fillId="0" borderId="0" xfId="0" applyFont="1" applyAlignment="1">
      <alignment horizontal="left" vertical="center"/>
    </xf>
    <xf numFmtId="0" fontId="21" fillId="43" borderId="0" xfId="0" applyFont="1" applyFill="1"/>
    <xf numFmtId="0" fontId="27" fillId="43" borderId="30" xfId="0" applyFont="1" applyFill="1" applyBorder="1" applyAlignment="1">
      <alignment vertical="center" wrapText="1"/>
    </xf>
    <xf numFmtId="0" fontId="19" fillId="0" borderId="21" xfId="0" applyFont="1" applyBorder="1" applyAlignment="1">
      <alignment horizontal="center"/>
    </xf>
    <xf numFmtId="0" fontId="19" fillId="0" borderId="22" xfId="0" applyFont="1" applyBorder="1" applyAlignment="1">
      <alignment horizontal="center"/>
    </xf>
    <xf numFmtId="0" fontId="19" fillId="0" borderId="23" xfId="0" applyFont="1" applyBorder="1" applyAlignment="1">
      <alignment horizontal="center"/>
    </xf>
    <xf numFmtId="0" fontId="41" fillId="42" borderId="28" xfId="0" applyFont="1" applyFill="1" applyBorder="1" applyAlignment="1">
      <alignment horizontal="center" vertical="center"/>
    </xf>
    <xf numFmtId="0" fontId="1" fillId="0" borderId="10" xfId="0" applyFont="1" applyBorder="1" applyAlignment="1">
      <alignment vertical="center" wrapText="1"/>
    </xf>
    <xf numFmtId="0" fontId="1" fillId="0" borderId="20" xfId="0" applyFont="1" applyBorder="1" applyAlignment="1">
      <alignment vertical="center" wrapText="1"/>
    </xf>
    <xf numFmtId="0" fontId="1" fillId="0" borderId="12" xfId="0" applyFont="1" applyBorder="1" applyAlignment="1">
      <alignment vertical="center" wrapText="1"/>
    </xf>
    <xf numFmtId="0" fontId="1" fillId="0" borderId="10" xfId="0" applyFont="1" applyBorder="1" applyAlignment="1">
      <alignment vertical="center"/>
    </xf>
    <xf numFmtId="0" fontId="1" fillId="0" borderId="0" xfId="0" applyFont="1" applyAlignment="1">
      <alignment vertical="center"/>
    </xf>
    <xf numFmtId="0" fontId="1" fillId="0" borderId="10" xfId="0" applyFont="1" applyBorder="1" applyAlignment="1">
      <alignment horizontal="left" wrapText="1"/>
    </xf>
    <xf numFmtId="0" fontId="1" fillId="0" borderId="12" xfId="0" applyFont="1" applyBorder="1" applyAlignment="1">
      <alignment horizontal="left" vertical="center" wrapText="1"/>
    </xf>
    <xf numFmtId="0" fontId="1" fillId="0" borderId="12" xfId="0" applyFont="1" applyBorder="1" applyAlignment="1">
      <alignment vertical="center"/>
    </xf>
  </cellXfs>
  <cellStyles count="156">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Followed Hyperlink" xfId="111" builtinId="9" hidden="1"/>
    <cellStyle name="Followed Hyperlink" xfId="113" builtinId="9" hidden="1"/>
    <cellStyle name="Followed Hyperlink" xfId="125" builtinId="9" hidden="1"/>
    <cellStyle name="Followed Hyperlink" xfId="49" builtinId="9" hidden="1"/>
    <cellStyle name="Followed Hyperlink" xfId="117" builtinId="9" hidden="1"/>
    <cellStyle name="Followed Hyperlink" xfId="73" builtinId="9" hidden="1"/>
    <cellStyle name="Followed Hyperlink" xfId="55" builtinId="9" hidden="1"/>
    <cellStyle name="Followed Hyperlink" xfId="115" builtinId="9" hidden="1"/>
    <cellStyle name="Followed Hyperlink" xfId="59" builtinId="9" hidden="1"/>
    <cellStyle name="Followed Hyperlink" xfId="61" builtinId="9" hidden="1"/>
    <cellStyle name="Followed Hyperlink" xfId="63" builtinId="9" hidden="1"/>
    <cellStyle name="Followed Hyperlink" xfId="127" builtinId="9" hidden="1"/>
    <cellStyle name="Followed Hyperlink" xfId="151" builtinId="9" hidden="1"/>
    <cellStyle name="Followed Hyperlink" xfId="135" builtinId="9" hidden="1"/>
    <cellStyle name="Followed Hyperlink" xfId="71" builtinId="9" hidden="1"/>
    <cellStyle name="Followed Hyperlink" xfId="107" builtinId="9" hidden="1"/>
    <cellStyle name="Followed Hyperlink" xfId="147" builtinId="9" hidden="1"/>
    <cellStyle name="Followed Hyperlink" xfId="77" builtinId="9" hidden="1"/>
    <cellStyle name="Followed Hyperlink" xfId="57" builtinId="9" hidden="1"/>
    <cellStyle name="Followed Hyperlink" xfId="123" builtinId="9" hidden="1"/>
    <cellStyle name="Followed Hyperlink" xfId="83" builtinId="9" hidden="1"/>
    <cellStyle name="Followed Hyperlink" xfId="43" builtinId="9" hidden="1"/>
    <cellStyle name="Followed Hyperlink" xfId="53" builtinId="9" hidden="1"/>
    <cellStyle name="Followed Hyperlink" xfId="65" builtinId="9" hidden="1"/>
    <cellStyle name="Followed Hyperlink" xfId="79" builtinId="9" hidden="1"/>
    <cellStyle name="Followed Hyperlink" xfId="67" builtinId="9" hidden="1"/>
    <cellStyle name="Followed Hyperlink" xfId="75" builtinId="9" hidden="1"/>
    <cellStyle name="Followed Hyperlink" xfId="89" builtinId="9" hidden="1"/>
    <cellStyle name="Followed Hyperlink" xfId="69" builtinId="9" hidden="1"/>
    <cellStyle name="Followed Hyperlink" xfId="101" builtinId="9" hidden="1"/>
    <cellStyle name="Followed Hyperlink" xfId="81" builtinId="9" hidden="1"/>
    <cellStyle name="Followed Hyperlink" xfId="105" builtinId="9" hidden="1"/>
    <cellStyle name="Followed Hyperlink" xfId="153" builtinId="9" hidden="1"/>
    <cellStyle name="Followed Hyperlink" xfId="91" builtinId="9" hidden="1"/>
    <cellStyle name="Followed Hyperlink" xfId="129" builtinId="9" hidden="1"/>
    <cellStyle name="Followed Hyperlink" xfId="93" builtinId="9" hidden="1"/>
    <cellStyle name="Followed Hyperlink" xfId="109" builtinId="9" hidden="1"/>
    <cellStyle name="Followed Hyperlink" xfId="95" builtinId="9" hidden="1"/>
    <cellStyle name="Followed Hyperlink" xfId="119" builtinId="9" hidden="1"/>
    <cellStyle name="Followed Hyperlink" xfId="121" builtinId="9" hidden="1"/>
    <cellStyle name="Followed Hyperlink" xfId="103" builtinId="9" hidden="1"/>
    <cellStyle name="Followed Hyperlink" xfId="99" builtinId="9" hidden="1"/>
    <cellStyle name="Followed Hyperlink" xfId="137" builtinId="9" hidden="1"/>
    <cellStyle name="Followed Hyperlink" xfId="139" builtinId="9" hidden="1"/>
    <cellStyle name="Followed Hyperlink" xfId="131" builtinId="9" hidden="1"/>
    <cellStyle name="Followed Hyperlink" xfId="133" builtinId="9" hidden="1"/>
    <cellStyle name="Followed Hyperlink" xfId="47" builtinId="9" hidden="1"/>
    <cellStyle name="Followed Hyperlink" xfId="97" builtinId="9" hidden="1"/>
    <cellStyle name="Followed Hyperlink" xfId="85" builtinId="9" hidden="1"/>
    <cellStyle name="Followed Hyperlink" xfId="141" builtinId="9" hidden="1"/>
    <cellStyle name="Followed Hyperlink" xfId="143" builtinId="9" hidden="1"/>
    <cellStyle name="Followed Hyperlink" xfId="145" builtinId="9" hidden="1"/>
    <cellStyle name="Followed Hyperlink" xfId="51" builtinId="9" hidden="1"/>
    <cellStyle name="Followed Hyperlink" xfId="149" builtinId="9" hidden="1"/>
    <cellStyle name="Followed Hyperlink" xfId="45" builtinId="9" hidden="1"/>
    <cellStyle name="Followed Hyperlink" xfId="87" builtinId="9" hidde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138" builtinId="8" hidden="1"/>
    <cellStyle name="Hyperlink" xfId="94" builtinId="8" hidden="1"/>
    <cellStyle name="Hyperlink" xfId="58" builtinId="8" hidden="1"/>
    <cellStyle name="Hyperlink" xfId="122" builtinId="8" hidden="1"/>
    <cellStyle name="Hyperlink" xfId="116" builtinId="8" hidden="1"/>
    <cellStyle name="Hyperlink" xfId="140" builtinId="8" hidden="1"/>
    <cellStyle name="Hyperlink" xfId="78" builtinId="8" hidden="1"/>
    <cellStyle name="Hyperlink" xfId="84" builtinId="8" hidden="1"/>
    <cellStyle name="Hyperlink" xfId="46" builtinId="8" hidden="1"/>
    <cellStyle name="Hyperlink" xfId="120" builtinId="8" hidden="1"/>
    <cellStyle name="Hyperlink" xfId="76" builtinId="8" hidden="1"/>
    <cellStyle name="Hyperlink" xfId="128" builtinId="8" hidden="1"/>
    <cellStyle name="Hyperlink" xfId="118" builtinId="8" hidden="1"/>
    <cellStyle name="Hyperlink" xfId="146" builtinId="8" hidden="1"/>
    <cellStyle name="Hyperlink" xfId="108" builtinId="8" hidden="1"/>
    <cellStyle name="Hyperlink" xfId="144" builtinId="8" hidden="1"/>
    <cellStyle name="Hyperlink" xfId="88" builtinId="8" hidden="1"/>
    <cellStyle name="Hyperlink" xfId="62" builtinId="8" hidden="1"/>
    <cellStyle name="Hyperlink" xfId="104" builtinId="8" hidden="1"/>
    <cellStyle name="Hyperlink" xfId="92" builtinId="8" hidden="1"/>
    <cellStyle name="Hyperlink" xfId="134" builtinId="8" hidden="1"/>
    <cellStyle name="Hyperlink" xfId="90" builtinId="8" hidden="1"/>
    <cellStyle name="Hyperlink" xfId="142" builtinId="8" hidden="1"/>
    <cellStyle name="Hyperlink" xfId="74" builtinId="8" hidden="1"/>
    <cellStyle name="Hyperlink" xfId="56" builtinId="8" hidden="1"/>
    <cellStyle name="Hyperlink" xfId="80" builtinId="8" hidden="1"/>
    <cellStyle name="Hyperlink" xfId="44" builtinId="8" hidden="1"/>
    <cellStyle name="Hyperlink" xfId="72" builtinId="8" hidden="1"/>
    <cellStyle name="Hyperlink" xfId="136" builtinId="8" hidden="1"/>
    <cellStyle name="Hyperlink" xfId="42" builtinId="8" hidden="1"/>
    <cellStyle name="Hyperlink" xfId="112" builtinId="8" hidden="1"/>
    <cellStyle name="Hyperlink" xfId="64" builtinId="8" hidden="1"/>
    <cellStyle name="Hyperlink" xfId="124" builtinId="8" hidden="1"/>
    <cellStyle name="Hyperlink" xfId="70" builtinId="8" hidden="1"/>
    <cellStyle name="Hyperlink" xfId="126" builtinId="8" hidden="1"/>
    <cellStyle name="Hyperlink" xfId="102" builtinId="8" hidden="1"/>
    <cellStyle name="Hyperlink" xfId="148" builtinId="8" hidden="1"/>
    <cellStyle name="Hyperlink" xfId="96" builtinId="8" hidden="1"/>
    <cellStyle name="Hyperlink" xfId="66" builtinId="8" hidden="1"/>
    <cellStyle name="Hyperlink" xfId="152" builtinId="8" hidden="1"/>
    <cellStyle name="Hyperlink" xfId="48" builtinId="8" hidden="1"/>
    <cellStyle name="Hyperlink" xfId="130" builtinId="8" hidden="1"/>
    <cellStyle name="Hyperlink" xfId="110" builtinId="8" hidden="1"/>
    <cellStyle name="Hyperlink" xfId="100" builtinId="8" hidden="1"/>
    <cellStyle name="Hyperlink" xfId="106" builtinId="8" hidden="1"/>
    <cellStyle name="Hyperlink" xfId="150" builtinId="8" hidden="1"/>
    <cellStyle name="Hyperlink" xfId="54" builtinId="8" hidden="1"/>
    <cellStyle name="Hyperlink" xfId="98" builtinId="8" hidden="1"/>
    <cellStyle name="Hyperlink" xfId="60" builtinId="8" hidden="1"/>
    <cellStyle name="Hyperlink" xfId="52" builtinId="8" hidden="1"/>
    <cellStyle name="Hyperlink" xfId="86" builtinId="8" hidden="1"/>
    <cellStyle name="Hyperlink" xfId="50" builtinId="8" hidden="1"/>
    <cellStyle name="Hyperlink" xfId="68" builtinId="8" hidden="1"/>
    <cellStyle name="Hyperlink" xfId="114" builtinId="8" hidden="1"/>
    <cellStyle name="Hyperlink" xfId="132" builtinId="8" hidden="1"/>
    <cellStyle name="Hyperlink" xfId="82" builtinId="8" hidden="1"/>
    <cellStyle name="Hyperlink" xfId="155"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itle 2" xfId="154" xr:uid="{00000000-0005-0000-0000-000099000000}"/>
    <cellStyle name="Total" xfId="17" builtinId="25" customBuiltin="1"/>
    <cellStyle name="Warning Text" xfId="14" builtinId="11" customBuiltin="1"/>
  </cellStyles>
  <dxfs count="153">
    <dxf>
      <border diagonalUp="0" diagonalDown="0">
        <left style="thin">
          <color auto="1"/>
        </left>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0" indent="0" justifyLastLine="0" shrinkToFit="0" readingOrder="0"/>
      <border diagonalUp="0" diagonalDown="0">
        <left/>
        <right style="thin">
          <color auto="1"/>
        </right>
        <top style="thin">
          <color auto="1"/>
        </top>
        <bottom style="thin">
          <color auto="1"/>
        </bottom>
        <vertical/>
        <horizontal/>
      </border>
    </dxf>
    <dxf>
      <border outline="0">
        <top style="thin">
          <color auto="1"/>
        </top>
      </border>
    </dxf>
    <dxf>
      <border outline="0">
        <bottom style="thin">
          <color auto="1"/>
        </bottom>
      </border>
    </dxf>
    <dxf>
      <border outline="0">
        <left style="thin">
          <color auto="1"/>
        </left>
        <right style="thin">
          <color auto="1"/>
        </right>
        <top style="thin">
          <color auto="1"/>
        </top>
        <bottom style="thin">
          <color auto="1"/>
        </bottom>
      </border>
    </dxf>
    <dxf>
      <alignment horizontal="center" vertical="bottom" textRotation="0" wrapText="1" indent="0" justifyLastLine="0" shrinkToFit="0" readingOrder="0"/>
    </dxf>
    <dxf>
      <font>
        <color rgb="FF9C0006"/>
      </font>
      <fill>
        <patternFill>
          <bgColor rgb="FFFFC7CE"/>
        </patternFill>
      </fill>
    </dxf>
    <dxf>
      <font>
        <color rgb="FF9C0006"/>
      </font>
      <fill>
        <patternFill>
          <bgColor rgb="FFFFC7CE"/>
        </patternFill>
      </fill>
    </dxf>
    <dxf>
      <border diagonalUp="0" diagonalDown="0">
        <left style="thin">
          <color auto="1"/>
        </left>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0" indent="0" justifyLastLine="0" shrinkToFit="0" readingOrder="0"/>
      <border diagonalUp="0" diagonalDown="0">
        <left/>
        <right style="thin">
          <color auto="1"/>
        </right>
        <top style="thin">
          <color auto="1"/>
        </top>
        <bottom style="thin">
          <color auto="1"/>
        </bottom>
        <vertical/>
        <horizontal/>
      </border>
    </dxf>
    <dxf>
      <border outline="0">
        <top style="thin">
          <color auto="1"/>
        </top>
      </border>
    </dxf>
    <dxf>
      <border outline="0">
        <bottom style="thin">
          <color auto="1"/>
        </bottom>
      </border>
    </dxf>
    <dxf>
      <border outline="0">
        <left style="thin">
          <color auto="1"/>
        </left>
        <right style="thin">
          <color auto="1"/>
        </right>
        <top style="thin">
          <color auto="1"/>
        </top>
        <bottom style="thin">
          <color auto="1"/>
        </bottom>
      </border>
    </dxf>
    <dxf>
      <alignment horizontal="general" vertical="bottom" textRotation="0" wrapText="1" indent="0" justifyLastLine="0" shrinkToFit="0" readingOrder="0"/>
    </dxf>
    <dxf>
      <font>
        <color rgb="FF9C0006"/>
      </font>
      <fill>
        <patternFill>
          <bgColor rgb="FFFFC7CE"/>
        </patternFill>
      </fill>
    </dxf>
    <dxf>
      <font>
        <color rgb="FF9C0006"/>
      </font>
      <fill>
        <patternFill>
          <bgColor rgb="FFFFC7CE"/>
        </patternFill>
      </fill>
    </dxf>
    <dxf>
      <fill>
        <patternFill patternType="none">
          <fgColor indexed="64"/>
          <bgColor indexed="65"/>
        </patternFill>
      </fill>
      <border diagonalUp="0" diagonalDown="0" outline="0">
        <left/>
        <right/>
        <top style="thin">
          <color auto="1"/>
        </top>
        <bottom style="thin">
          <color auto="1"/>
        </bottom>
      </border>
    </dxf>
    <dxf>
      <numFmt numFmtId="1" formatCode="0"/>
      <fill>
        <patternFill patternType="none">
          <fgColor indexed="64"/>
          <bgColor indexed="65"/>
        </patternFill>
      </fill>
      <alignment horizontal="right" vertical="bottom" textRotation="0" wrapText="0" indent="0" justifyLastLine="0" shrinkToFit="0" readingOrder="0"/>
      <border diagonalUp="0" diagonalDown="0" outline="0">
        <left style="thin">
          <color auto="1"/>
        </left>
        <right/>
        <top style="thin">
          <color auto="1"/>
        </top>
        <bottom style="thin">
          <color auto="1"/>
        </bottom>
      </border>
    </dxf>
    <dxf>
      <numFmt numFmtId="30" formatCode="@"/>
      <fill>
        <patternFill patternType="none">
          <fgColor indexed="64"/>
          <bgColor indexed="65"/>
        </patternFill>
      </fill>
      <alignment horizontal="lef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1" formatCode="0"/>
      <fill>
        <patternFill patternType="none">
          <fgColor indexed="64"/>
          <bgColor indexed="65"/>
        </patternFill>
      </fill>
      <alignment horizontal="center"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numFmt numFmtId="1" formatCode="0"/>
      <fill>
        <patternFill patternType="none">
          <fgColor indexed="64"/>
          <bgColor indexed="65"/>
        </patternFill>
      </fill>
      <alignment horizontal="righ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30" formatCode="@"/>
      <fill>
        <patternFill patternType="none">
          <fgColor indexed="64"/>
          <bgColor indexed="65"/>
        </patternFill>
      </fill>
      <alignment horizontal="left" vertical="bottom" textRotation="0" wrapText="0" indent="0" justifyLastLine="0" shrinkToFit="0" readingOrder="0"/>
      <border diagonalUp="0" diagonalDown="0">
        <left/>
        <right style="thin">
          <color auto="1"/>
        </right>
        <top style="thin">
          <color auto="1"/>
        </top>
        <bottom style="thin">
          <color auto="1"/>
        </bottom>
        <vertical/>
        <horizontal/>
      </border>
    </dxf>
    <dxf>
      <border outline="0">
        <top style="thin">
          <color auto="1"/>
        </top>
      </border>
    </dxf>
    <dxf>
      <border outline="0">
        <bottom style="thin">
          <color auto="1"/>
        </bottom>
      </border>
    </dxf>
    <dxf>
      <border outline="0">
        <left style="thin">
          <color auto="1"/>
        </left>
        <right style="thin">
          <color auto="1"/>
        </right>
        <top style="thin">
          <color auto="1"/>
        </top>
        <bottom style="thin">
          <color auto="1"/>
        </bottom>
      </border>
    </dxf>
    <dxf>
      <font>
        <b/>
        <i val="0"/>
        <strike val="0"/>
        <condense val="0"/>
        <extend val="0"/>
        <outline val="0"/>
        <shadow val="0"/>
        <u val="none"/>
        <vertAlign val="baseline"/>
        <sz val="11"/>
        <color theme="1"/>
        <name val="Calibri"/>
        <scheme val="minor"/>
      </font>
      <numFmt numFmtId="30" formatCode="@"/>
      <fill>
        <patternFill patternType="none">
          <fgColor indexed="64"/>
          <bgColor indexed="65"/>
        </patternFill>
      </fill>
      <alignment horizontal="general" vertical="bottom" textRotation="0" wrapText="1" indent="0" justifyLastLine="0" shrinkToFit="0" readingOrder="0"/>
      <border diagonalUp="0" diagonalDown="0" outline="0">
        <left style="thin">
          <color auto="1"/>
        </left>
        <right style="thin">
          <color auto="1"/>
        </right>
        <top/>
        <bottom/>
      </border>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none">
          <fgColor indexed="64"/>
          <bgColor indexed="65"/>
        </patternFill>
      </fill>
      <border diagonalUp="0" diagonalDown="0">
        <left style="thin">
          <color auto="1"/>
        </left>
        <right/>
        <top style="thin">
          <color auto="1"/>
        </top>
        <bottom style="thin">
          <color auto="1"/>
        </bottom>
        <vertical/>
        <horizontal/>
      </border>
    </dxf>
    <dxf>
      <fill>
        <patternFill patternType="none">
          <fgColor indexed="64"/>
          <bgColor indexed="65"/>
        </patternFill>
      </fill>
      <border diagonalUp="0" diagonalDown="0">
        <left style="thin">
          <color auto="1"/>
        </left>
        <right/>
        <top style="thin">
          <color auto="1"/>
        </top>
        <bottom style="thin">
          <color auto="1"/>
        </bottom>
        <vertical/>
        <horizontal/>
      </border>
    </dxf>
    <dxf>
      <fill>
        <patternFill patternType="none">
          <fgColor indexed="64"/>
          <bgColor indexed="65"/>
        </patternFill>
      </fill>
      <border diagonalUp="0" diagonalDown="0">
        <left style="thin">
          <color auto="1"/>
        </left>
        <right style="thin">
          <color auto="1"/>
        </right>
        <top style="thin">
          <color auto="1"/>
        </top>
        <bottom style="thin">
          <color auto="1"/>
        </bottom>
        <vertical/>
        <horizontal/>
      </border>
    </dxf>
    <dxf>
      <numFmt numFmtId="1" formatCode="0"/>
      <fill>
        <patternFill patternType="none">
          <fgColor indexed="64"/>
          <bgColor indexed="65"/>
        </patternFill>
      </fill>
      <alignment horizontal="lef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ill>
        <patternFill patternType="none">
          <fgColor indexed="64"/>
          <bgColor indexed="65"/>
        </patternFill>
      </fil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ill>
        <patternFill patternType="none">
          <fgColor indexed="64"/>
          <bgColor indexed="65"/>
        </patternFill>
      </fill>
      <alignment horizontal="lef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30" formatCode="@"/>
      <fill>
        <patternFill patternType="none">
          <fgColor indexed="64"/>
          <bgColor indexed="65"/>
        </patternFill>
      </fill>
      <alignment horizontal="left" vertical="bottom" textRotation="0" wrapText="0" indent="0" justifyLastLine="0" shrinkToFit="0" readingOrder="0"/>
      <border diagonalUp="0" diagonalDown="0">
        <left/>
        <right style="thin">
          <color auto="1"/>
        </right>
        <top style="thin">
          <color auto="1"/>
        </top>
        <bottom style="thin">
          <color auto="1"/>
        </bottom>
        <vertical/>
        <horizontal/>
      </border>
    </dxf>
    <dxf>
      <border outline="0">
        <top style="thin">
          <color auto="1"/>
        </top>
      </border>
    </dxf>
    <dxf>
      <border outline="0">
        <bottom style="thin">
          <color auto="1"/>
        </bottom>
      </border>
    </dxf>
    <dxf>
      <border outline="0">
        <left style="thin">
          <color auto="1"/>
        </left>
        <right style="thin">
          <color auto="1"/>
        </right>
        <top style="thin">
          <color auto="1"/>
        </top>
        <bottom style="thin">
          <color auto="1"/>
        </bottom>
      </border>
    </dxf>
    <dxf>
      <font>
        <b/>
        <i val="0"/>
        <strike val="0"/>
        <condense val="0"/>
        <extend val="0"/>
        <outline val="0"/>
        <shadow val="0"/>
        <u val="none"/>
        <vertAlign val="baseline"/>
        <sz val="11"/>
        <color theme="1"/>
        <name val="Calibri"/>
        <scheme val="minor"/>
      </font>
      <numFmt numFmtId="30" formatCode="@"/>
      <fill>
        <patternFill patternType="none">
          <fgColor indexed="64"/>
          <bgColor indexed="65"/>
        </patternFill>
      </fill>
      <alignment horizontal="center" vertical="bottom" textRotation="0" wrapText="1" indent="0" justifyLastLine="0" shrinkToFit="0" readingOrder="0"/>
      <border diagonalUp="0" diagonalDown="0" outline="0">
        <left style="thin">
          <color auto="1"/>
        </left>
        <right style="thin">
          <color auto="1"/>
        </right>
        <top/>
        <bottom/>
      </border>
    </dxf>
    <dxf>
      <numFmt numFmtId="30" formatCode="@"/>
      <border diagonalUp="0" diagonalDown="0">
        <left style="thin">
          <color indexed="64"/>
        </left>
        <right/>
        <top style="thin">
          <color indexed="64"/>
        </top>
        <bottom style="thin">
          <color indexed="64"/>
        </bottom>
        <vertical style="thin">
          <color indexed="64"/>
        </vertical>
        <horizontal style="thin">
          <color indexed="64"/>
        </horizontal>
      </border>
    </dxf>
    <dxf>
      <numFmt numFmtId="30" formatCode="@"/>
      <fill>
        <patternFill patternType="none">
          <fgColor indexed="64"/>
          <bgColor indexed="65"/>
        </patternFill>
      </fill>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0" formatCode="@"/>
      <fill>
        <patternFill patternType="none">
          <fgColor indexed="64"/>
          <bgColor indexed="65"/>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0" formatCode="@"/>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0" formatCode="@"/>
      <fill>
        <patternFill patternType="none">
          <fgColor indexed="64"/>
          <bgColor auto="1"/>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outline="0">
        <top style="thin">
          <color auto="1"/>
        </top>
      </border>
    </dxf>
    <dxf>
      <border outline="0">
        <bottom style="thin">
          <color auto="1"/>
        </bottom>
      </border>
    </dxf>
    <dxf>
      <border outline="0">
        <left style="thin">
          <color auto="1"/>
        </left>
        <right style="thin">
          <color auto="1"/>
        </right>
        <top style="thin">
          <color auto="1"/>
        </top>
        <bottom style="thin">
          <color auto="1"/>
        </bottom>
      </border>
    </dxf>
    <dxf>
      <font>
        <b/>
        <i val="0"/>
        <strike val="0"/>
        <condense val="0"/>
        <extend val="0"/>
        <outline val="0"/>
        <shadow val="0"/>
        <u val="none"/>
        <vertAlign val="baseline"/>
        <sz val="11"/>
        <color theme="1"/>
        <name val="Calibri"/>
        <scheme val="minor"/>
      </font>
      <numFmt numFmtId="30" formatCode="@"/>
      <fill>
        <patternFill patternType="none">
          <fgColor indexed="64"/>
          <bgColor auto="1"/>
        </patternFill>
      </fill>
      <alignment horizontal="center" vertical="bottom"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color rgb="FF9C0006"/>
      </font>
      <fill>
        <patternFill>
          <bgColor rgb="FFFFC7CE"/>
        </patternFill>
      </fill>
    </dxf>
    <dxf>
      <fill>
        <patternFill>
          <bgColor rgb="FF00B050"/>
        </patternFill>
      </fill>
    </dxf>
    <dxf>
      <font>
        <color rgb="FF9C0006"/>
      </font>
      <fill>
        <patternFill>
          <bgColor rgb="FFFFC7CE"/>
        </patternFill>
      </fill>
    </dxf>
    <dxf>
      <fill>
        <patternFill>
          <bgColor rgb="FF00B050"/>
        </patternFill>
      </fill>
    </dxf>
    <dxf>
      <font>
        <color rgb="FF9C0006"/>
      </font>
      <fill>
        <patternFill>
          <bgColor rgb="FFFFC7CE"/>
        </patternFill>
      </fill>
    </dxf>
    <dxf>
      <font>
        <color rgb="FF9C0006"/>
      </font>
      <fill>
        <patternFill>
          <bgColor rgb="FFFFC7CE"/>
        </patternFill>
      </fill>
    </dxf>
    <dxf>
      <fill>
        <patternFill>
          <bgColor rgb="FF00B050"/>
        </patternFill>
      </fill>
    </dxf>
    <dxf>
      <font>
        <color rgb="FF9C0006"/>
      </font>
      <fill>
        <patternFill>
          <bgColor rgb="FFFFC7CE"/>
        </patternFill>
      </fill>
    </dxf>
    <dxf>
      <font>
        <color rgb="FF9C0006"/>
      </font>
      <fill>
        <patternFill>
          <bgColor rgb="FFFFC7CE"/>
        </patternFill>
      </fill>
    </dxf>
    <dxf>
      <fill>
        <patternFill>
          <bgColor rgb="FF00B050"/>
        </patternFill>
      </fill>
    </dxf>
    <dxf>
      <font>
        <color rgb="FF9C0006"/>
      </font>
      <fill>
        <patternFill>
          <bgColor rgb="FFFFC7CE"/>
        </patternFill>
      </fill>
    </dxf>
    <dxf>
      <font>
        <color rgb="FF9C0006"/>
      </font>
      <fill>
        <patternFill>
          <bgColor rgb="FFFFC7CE"/>
        </patternFill>
      </fill>
    </dxf>
    <dxf>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00B050"/>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00B050"/>
        </patternFill>
      </fill>
    </dxf>
    <dxf>
      <font>
        <color rgb="FF9C0006"/>
      </font>
      <fill>
        <patternFill>
          <bgColor rgb="FFFFC7CE"/>
        </patternFill>
      </fill>
    </dxf>
    <dxf>
      <fill>
        <patternFill>
          <bgColor rgb="FF00B050"/>
        </patternFill>
      </fill>
    </dxf>
    <dxf>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00B050"/>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border diagonalUp="0" diagonalDown="0">
        <left style="thin">
          <color auto="1"/>
        </left>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right style="thin">
          <color auto="1"/>
        </right>
        <top style="thin">
          <color auto="1"/>
        </top>
        <bottom style="thin">
          <color auto="1"/>
        </bottom>
        <vertical/>
        <horizontal/>
      </border>
    </dxf>
    <dxf>
      <border outline="0">
        <top style="thin">
          <color auto="1"/>
        </top>
      </border>
    </dxf>
    <dxf>
      <border outline="0">
        <bottom style="thin">
          <color auto="1"/>
        </bottom>
      </border>
    </dxf>
    <dxf>
      <border outline="0">
        <left style="thin">
          <color auto="1"/>
        </left>
        <right style="thin">
          <color auto="1"/>
        </right>
        <top style="thin">
          <color auto="1"/>
        </top>
        <bottom style="thin">
          <color auto="1"/>
        </bottom>
      </border>
    </dxf>
  </dxfs>
  <tableStyles count="0" defaultTableStyle="TableStyleMedium2" defaultPivotStyle="PivotStyleLight16"/>
  <colors>
    <mruColors>
      <color rgb="FFFF9966"/>
      <color rgb="FFFF66FF"/>
      <color rgb="FFFF6699"/>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0000000}" name="Table7" displayName="Table7" ref="B7:D21" totalsRowShown="0" headerRowBorderDxfId="151" tableBorderDxfId="152" totalsRowBorderDxfId="150">
  <autoFilter ref="B7:D21" xr:uid="{00000000-0009-0000-0100-000007000000}"/>
  <tableColumns count="3">
    <tableColumn id="1" xr3:uid="{00000000-0010-0000-0000-000001000000}" name="Date" dataDxfId="149"/>
    <tableColumn id="2" xr3:uid="{00000000-0010-0000-0000-000002000000}" name="Action " dataDxfId="148"/>
    <tableColumn id="3" xr3:uid="{00000000-0010-0000-0000-000003000000}" name="CP Admin" dataDxfId="147"/>
  </tableColumns>
  <tableStyleInfo name="TableStyleMedium2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1" displayName="Table1" ref="A1:G164" totalsRowShown="0" headerRowDxfId="61" headerRowBorderDxfId="59" tableBorderDxfId="60" totalsRowBorderDxfId="58">
  <autoFilter ref="A1:G164" xr:uid="{00000000-0009-0000-0100-000002000000}"/>
  <sortState xmlns:xlrd2="http://schemas.microsoft.com/office/spreadsheetml/2017/richdata2" ref="A2:G164">
    <sortCondition ref="A1:A164"/>
  </sortState>
  <tableColumns count="7">
    <tableColumn id="1" xr3:uid="{00000000-0010-0000-0100-000001000000}" name="REL PORT" dataDxfId="57"/>
    <tableColumn id="2" xr3:uid="{00000000-0010-0000-0100-000002000000}" name="PROD PORT" dataDxfId="56"/>
    <tableColumn id="3" xr3:uid="{00000000-0010-0000-0100-000003000000}" name="REGION" dataDxfId="55"/>
    <tableColumn id="4" xr3:uid="{00000000-0010-0000-0100-000004000000}" name="INTERFACE NUMBER" dataDxfId="54"/>
    <tableColumn id="5" xr3:uid="{00000000-0010-0000-0100-000005000000}" name="INTERFACE NAME" dataDxfId="53"/>
    <tableColumn id="7" xr3:uid="{00000000-0010-0000-0100-000007000000}" name="Kind" dataDxfId="52"/>
    <tableColumn id="6" xr3:uid="{00000000-0010-0000-0100-000006000000}" name="NOTES" dataDxfId="51"/>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2000000}" name="Table3" displayName="Table3" ref="A1:G57" totalsRowShown="0" headerRowDxfId="50" headerRowBorderDxfId="48" tableBorderDxfId="49" totalsRowBorderDxfId="47">
  <autoFilter ref="A1:G57" xr:uid="{00000000-0009-0000-0100-000001000000}"/>
  <tableColumns count="7">
    <tableColumn id="1" xr3:uid="{00000000-0010-0000-0200-000001000000}" name="REL PORT" dataDxfId="46"/>
    <tableColumn id="2" xr3:uid="{00000000-0010-0000-0200-000002000000}" name="PROD PORT" dataDxfId="45"/>
    <tableColumn id="3" xr3:uid="{00000000-0010-0000-0200-000003000000}" name="REGION" dataDxfId="44"/>
    <tableColumn id="4" xr3:uid="{00000000-0010-0000-0200-000004000000}" name="INTERFACE NUM" dataDxfId="43"/>
    <tableColumn id="5" xr3:uid="{00000000-0010-0000-0200-000005000000}" name="INTERFACE NAME" dataDxfId="42"/>
    <tableColumn id="7" xr3:uid="{00000000-0010-0000-0200-000007000000}" name="Kind" dataDxfId="41"/>
    <tableColumn id="6" xr3:uid="{00000000-0010-0000-0200-000006000000}" name="NOTES" dataDxfId="40"/>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3000000}" name="Table210" displayName="Table210" ref="A1:G344" totalsRowShown="0" headerRowDxfId="35" headerRowBorderDxfId="33" tableBorderDxfId="34" totalsRowBorderDxfId="32">
  <autoFilter ref="A1:G344" xr:uid="{00000000-0009-0000-0100-000009000000}"/>
  <sortState xmlns:xlrd2="http://schemas.microsoft.com/office/spreadsheetml/2017/richdata2" ref="A2:G344">
    <sortCondition ref="A1:A344"/>
  </sortState>
  <tableColumns count="7">
    <tableColumn id="1" xr3:uid="{00000000-0010-0000-0300-000001000000}" name="REL PORT" dataDxfId="31"/>
    <tableColumn id="2" xr3:uid="{00000000-0010-0000-0300-000002000000}" name="PROD PORT" dataDxfId="30"/>
    <tableColumn id="7" xr3:uid="{00000000-0010-0000-0300-000007000000}" name="REGION" dataDxfId="29"/>
    <tableColumn id="3" xr3:uid="{00000000-0010-0000-0300-000003000000}" name="INTERFACE NUM" dataDxfId="28"/>
    <tableColumn id="6" xr3:uid="{00000000-0010-0000-0300-000006000000}" name="Kind" dataDxfId="27"/>
    <tableColumn id="5" xr3:uid="{00000000-0010-0000-0300-000005000000}" name="NOTES" dataDxfId="26"/>
    <tableColumn id="4" xr3:uid="{00000000-0010-0000-0300-000004000000}" name="Column1"/>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4000000}" name="Table4" displayName="Table4" ref="A1:G102" totalsRowShown="0" headerRowDxfId="23" headerRowBorderDxfId="21" tableBorderDxfId="22" totalsRowBorderDxfId="20">
  <autoFilter ref="A1:G102" xr:uid="{00000000-0009-0000-0100-000004000000}"/>
  <tableColumns count="7">
    <tableColumn id="1" xr3:uid="{00000000-0010-0000-0400-000001000000}" name="REL PORT" dataDxfId="19"/>
    <tableColumn id="2" xr3:uid="{00000000-0010-0000-0400-000002000000}" name="PROD PORT" dataDxfId="18"/>
    <tableColumn id="7" xr3:uid="{00000000-0010-0000-0400-000007000000}" name="REGION" dataDxfId="17"/>
    <tableColumn id="3" xr3:uid="{00000000-0010-0000-0400-000003000000}" name="INTERFACE NUM" dataDxfId="16"/>
    <tableColumn id="4" xr3:uid="{00000000-0010-0000-0400-000004000000}" name="INTERFACE NAME" dataDxfId="15"/>
    <tableColumn id="5" xr3:uid="{00000000-0010-0000-0400-000005000000}" name="Kind" dataDxfId="14"/>
    <tableColumn id="6" xr3:uid="{00000000-0010-0000-0400-000006000000}" name="NOTES" dataDxfId="13"/>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5000000}" name="Table5" displayName="Table5" ref="A1:G132" totalsRowShown="0" headerRowDxfId="10" headerRowBorderDxfId="8" tableBorderDxfId="9" totalsRowBorderDxfId="7">
  <autoFilter ref="A1:G132" xr:uid="{00000000-0009-0000-0100-000005000000}"/>
  <tableColumns count="7">
    <tableColumn id="1" xr3:uid="{00000000-0010-0000-0500-000001000000}" name="REL PORT" dataDxfId="6"/>
    <tableColumn id="2" xr3:uid="{00000000-0010-0000-0500-000002000000}" name="PROD PORT" dataDxfId="5"/>
    <tableColumn id="7" xr3:uid="{00000000-0010-0000-0500-000007000000}" name="REGION" dataDxfId="4"/>
    <tableColumn id="3" xr3:uid="{00000000-0010-0000-0500-000003000000}" name="INTERFACE NUM" dataDxfId="3"/>
    <tableColumn id="4" xr3:uid="{00000000-0010-0000-0500-000004000000}" name="INTERFACE NAME" dataDxfId="2"/>
    <tableColumn id="5" xr3:uid="{00000000-0010-0000-0500-000005000000}" name="Kind" dataDxfId="1"/>
    <tableColumn id="6" xr3:uid="{00000000-0010-0000-0500-000006000000}" name="NOTES" dataDxfId="0"/>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s://psjh.service-now.com/nav_to.do?uri=pm_project.do?sys_id=09b25aa0db672b0007095f6e5e9619c5" TargetMode="External"/><Relationship Id="rId1" Type="http://schemas.openxmlformats.org/officeDocument/2006/relationships/hyperlink" Target="https://psjh.service-now.com/nav_to.do?uri=pm_project.do?sys_id=09b25aa0db672b0007095f6e5e9619c5"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2"/>
  <dimension ref="B2:F21"/>
  <sheetViews>
    <sheetView workbookViewId="0">
      <selection activeCell="C12" sqref="C12"/>
    </sheetView>
  </sheetViews>
  <sheetFormatPr defaultColWidth="8.7109375" defaultRowHeight="15"/>
  <cols>
    <col min="2" max="2" width="14.7109375" customWidth="1"/>
    <col min="3" max="3" width="81.5703125" customWidth="1"/>
    <col min="4" max="4" width="17.7109375" customWidth="1"/>
  </cols>
  <sheetData>
    <row r="2" spans="2:6" ht="15.75" thickBot="1"/>
    <row r="3" spans="2:6" ht="19.5" thickBot="1">
      <c r="B3" s="230" t="s">
        <v>0</v>
      </c>
      <c r="C3" s="231"/>
      <c r="D3" s="232"/>
      <c r="E3" s="112"/>
      <c r="F3" s="112"/>
    </row>
    <row r="7" spans="2:6">
      <c r="B7" s="114" t="s">
        <v>1</v>
      </c>
      <c r="C7" s="115" t="s">
        <v>2</v>
      </c>
      <c r="D7" s="116" t="s">
        <v>3</v>
      </c>
    </row>
    <row r="8" spans="2:6">
      <c r="B8" s="118">
        <v>43371</v>
      </c>
      <c r="C8" s="9" t="s">
        <v>4</v>
      </c>
      <c r="D8" s="39" t="s">
        <v>5</v>
      </c>
    </row>
    <row r="9" spans="2:6">
      <c r="B9" s="118">
        <v>43371</v>
      </c>
      <c r="C9" s="9" t="s">
        <v>6</v>
      </c>
      <c r="D9" s="39" t="s">
        <v>5</v>
      </c>
    </row>
    <row r="10" spans="2:6">
      <c r="B10" s="118">
        <v>43371</v>
      </c>
      <c r="C10" s="9" t="s">
        <v>7</v>
      </c>
      <c r="D10" s="39" t="s">
        <v>5</v>
      </c>
    </row>
    <row r="11" spans="2:6">
      <c r="B11" s="118">
        <v>43371</v>
      </c>
      <c r="C11" s="9" t="s">
        <v>8</v>
      </c>
      <c r="D11" s="39" t="s">
        <v>5</v>
      </c>
    </row>
    <row r="12" spans="2:6" ht="120">
      <c r="B12" s="118">
        <v>45974</v>
      </c>
      <c r="C12" s="221" t="s">
        <v>9</v>
      </c>
      <c r="D12" s="39" t="s">
        <v>5</v>
      </c>
    </row>
    <row r="13" spans="2:6">
      <c r="B13" s="113"/>
      <c r="C13" s="9"/>
      <c r="D13" s="39"/>
    </row>
    <row r="14" spans="2:6">
      <c r="B14" s="113"/>
      <c r="C14" s="9"/>
      <c r="D14" s="39"/>
    </row>
    <row r="15" spans="2:6">
      <c r="B15" s="113"/>
      <c r="C15" s="9"/>
      <c r="D15" s="39"/>
    </row>
    <row r="16" spans="2:6">
      <c r="B16" s="113"/>
      <c r="C16" s="9"/>
      <c r="D16" s="39"/>
    </row>
    <row r="17" spans="2:4">
      <c r="B17" s="113"/>
      <c r="C17" s="9"/>
      <c r="D17" s="39"/>
    </row>
    <row r="18" spans="2:4">
      <c r="B18" s="113"/>
      <c r="C18" s="9"/>
      <c r="D18" s="39"/>
    </row>
    <row r="19" spans="2:4">
      <c r="B19" s="113"/>
      <c r="C19" s="9"/>
      <c r="D19" s="39"/>
    </row>
    <row r="20" spans="2:4">
      <c r="B20" s="113"/>
      <c r="C20" s="9"/>
      <c r="D20" s="39"/>
    </row>
    <row r="21" spans="2:4">
      <c r="B21" s="117"/>
      <c r="C21" s="47"/>
      <c r="D21" s="48"/>
    </row>
  </sheetData>
  <mergeCells count="1">
    <mergeCell ref="B3:D3"/>
  </mergeCells>
  <pageMargins left="0.7" right="0.7" top="0.75" bottom="0.75" header="0.3" footer="0.3"/>
  <pageSetup orientation="portrait" horizontalDpi="4294967293" verticalDpi="4294967293"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tabColor theme="9" tint="0.59999389629810485"/>
  </sheetPr>
  <dimension ref="A1:G1110"/>
  <sheetViews>
    <sheetView zoomScale="115" zoomScaleNormal="115" workbookViewId="0">
      <pane ySplit="1" topLeftCell="A115" activePane="bottomLeft" state="frozen"/>
      <selection pane="bottomLeft" activeCell="F126" sqref="F126"/>
    </sheetView>
  </sheetViews>
  <sheetFormatPr defaultColWidth="9.28515625" defaultRowHeight="20.25" customHeight="1"/>
  <cols>
    <col min="1" max="1" width="11.7109375" style="2" customWidth="1"/>
    <col min="2" max="2" width="11.7109375" style="10" customWidth="1"/>
    <col min="3" max="4" width="11.7109375" style="2" customWidth="1"/>
    <col min="5" max="5" width="50.7109375" style="1" customWidth="1"/>
    <col min="6" max="6" width="38.28515625" style="2" customWidth="1"/>
    <col min="7" max="7" width="34.7109375" style="1" customWidth="1"/>
    <col min="8" max="16384" width="9.28515625" style="1"/>
  </cols>
  <sheetData>
    <row r="1" spans="1:7" ht="20.25" customHeight="1">
      <c r="A1" s="3" t="s">
        <v>10</v>
      </c>
      <c r="B1" s="3" t="s">
        <v>11</v>
      </c>
      <c r="C1" s="3" t="s">
        <v>12</v>
      </c>
      <c r="D1" s="3" t="s">
        <v>13</v>
      </c>
      <c r="E1" s="3" t="s">
        <v>14</v>
      </c>
      <c r="F1" s="3" t="s">
        <v>15</v>
      </c>
      <c r="G1" s="3" t="s">
        <v>16</v>
      </c>
    </row>
    <row r="2" spans="1:7" ht="20.25" customHeight="1">
      <c r="A2" s="10">
        <v>2581</v>
      </c>
      <c r="B2" s="10">
        <v>2579</v>
      </c>
      <c r="C2" s="10">
        <f>IF(ISERROR(FIND("B_Epic",E2)),A2,A2+10000)</f>
        <v>2581</v>
      </c>
      <c r="D2" s="10" t="s">
        <v>17</v>
      </c>
      <c r="E2" s="7" t="s">
        <v>18</v>
      </c>
      <c r="F2" s="7" t="s">
        <v>19</v>
      </c>
      <c r="G2" s="7"/>
    </row>
    <row r="3" spans="1:7" ht="20.25" customHeight="1">
      <c r="A3" s="10">
        <v>8634</v>
      </c>
      <c r="B3" s="10">
        <v>8635</v>
      </c>
      <c r="C3" s="10">
        <f t="shared" ref="C3:C66" si="0">IF(ISERROR(FIND("B_Epic",E3)),A3,A3+10000)</f>
        <v>8634</v>
      </c>
      <c r="D3" s="10" t="s">
        <v>17</v>
      </c>
      <c r="E3" s="7" t="s">
        <v>20</v>
      </c>
      <c r="F3" s="7" t="s">
        <v>21</v>
      </c>
      <c r="G3" s="7"/>
    </row>
    <row r="4" spans="1:7" ht="20.25" customHeight="1">
      <c r="A4" s="10">
        <v>8773</v>
      </c>
      <c r="B4" s="10">
        <v>8773</v>
      </c>
      <c r="C4" s="10">
        <f t="shared" si="0"/>
        <v>8773</v>
      </c>
      <c r="D4" s="10" t="s">
        <v>22</v>
      </c>
      <c r="E4" s="7" t="s">
        <v>23</v>
      </c>
      <c r="F4" s="7"/>
      <c r="G4" s="7"/>
    </row>
    <row r="5" spans="1:7" ht="20.25" customHeight="1">
      <c r="A5" s="10">
        <v>9000</v>
      </c>
      <c r="B5" s="10">
        <v>9000</v>
      </c>
      <c r="C5" s="10">
        <f t="shared" si="0"/>
        <v>9000</v>
      </c>
      <c r="D5" s="10" t="s">
        <v>17</v>
      </c>
      <c r="E5" s="7" t="s">
        <v>24</v>
      </c>
      <c r="F5" s="7"/>
      <c r="G5" s="9">
        <v>43986100</v>
      </c>
    </row>
    <row r="6" spans="1:7" ht="20.25" customHeight="1">
      <c r="A6" s="10">
        <v>9399</v>
      </c>
      <c r="B6" s="10">
        <v>9398</v>
      </c>
      <c r="C6" s="10">
        <f t="shared" si="0"/>
        <v>9399</v>
      </c>
      <c r="D6" s="10" t="s">
        <v>17</v>
      </c>
      <c r="E6" s="7" t="s">
        <v>25</v>
      </c>
      <c r="F6" s="7"/>
      <c r="G6" s="7" t="s">
        <v>26</v>
      </c>
    </row>
    <row r="7" spans="1:7" ht="20.25" customHeight="1">
      <c r="A7" s="10">
        <v>9768</v>
      </c>
      <c r="B7" s="10">
        <v>9768</v>
      </c>
      <c r="C7" s="10">
        <f t="shared" si="0"/>
        <v>9768</v>
      </c>
      <c r="D7" s="10" t="s">
        <v>17</v>
      </c>
      <c r="E7" s="7" t="s">
        <v>27</v>
      </c>
      <c r="F7" s="7"/>
      <c r="G7" s="7"/>
    </row>
    <row r="8" spans="1:7" ht="20.25" customHeight="1">
      <c r="A8" s="10">
        <v>10114</v>
      </c>
      <c r="B8" s="10">
        <v>10114</v>
      </c>
      <c r="C8" s="10">
        <f t="shared" si="0"/>
        <v>10114</v>
      </c>
      <c r="D8" s="10" t="s">
        <v>22</v>
      </c>
      <c r="E8" s="5" t="s">
        <v>28</v>
      </c>
      <c r="F8" s="5"/>
      <c r="G8" s="7"/>
    </row>
    <row r="9" spans="1:7" ht="20.25" customHeight="1">
      <c r="A9" s="10">
        <v>10438</v>
      </c>
      <c r="B9" s="10">
        <v>10528</v>
      </c>
      <c r="C9" s="10">
        <f t="shared" si="0"/>
        <v>10438</v>
      </c>
      <c r="D9" s="10" t="s">
        <v>17</v>
      </c>
      <c r="E9" s="168" t="s">
        <v>29</v>
      </c>
      <c r="F9" s="7" t="s">
        <v>30</v>
      </c>
      <c r="G9" s="169"/>
    </row>
    <row r="10" spans="1:7" ht="20.25" customHeight="1">
      <c r="A10" s="10">
        <v>10444</v>
      </c>
      <c r="B10" s="10">
        <v>10534</v>
      </c>
      <c r="C10" s="10">
        <f t="shared" si="0"/>
        <v>10444</v>
      </c>
      <c r="D10" s="10" t="s">
        <v>17</v>
      </c>
      <c r="E10" s="168" t="s">
        <v>31</v>
      </c>
      <c r="F10" s="7" t="s">
        <v>30</v>
      </c>
      <c r="G10" s="169"/>
    </row>
    <row r="11" spans="1:7" ht="20.25" customHeight="1">
      <c r="A11" s="10">
        <v>10447</v>
      </c>
      <c r="B11" s="10">
        <v>10537</v>
      </c>
      <c r="C11" s="10">
        <f t="shared" si="0"/>
        <v>10447</v>
      </c>
      <c r="D11" s="10" t="s">
        <v>17</v>
      </c>
      <c r="E11" s="168" t="s">
        <v>32</v>
      </c>
      <c r="F11" s="7" t="s">
        <v>30</v>
      </c>
      <c r="G11" s="169"/>
    </row>
    <row r="12" spans="1:7" ht="20.25" customHeight="1">
      <c r="A12" s="10">
        <v>10450</v>
      </c>
      <c r="B12" s="10">
        <v>10540</v>
      </c>
      <c r="C12" s="10">
        <f t="shared" si="0"/>
        <v>10450</v>
      </c>
      <c r="D12" s="10" t="s">
        <v>17</v>
      </c>
      <c r="E12" s="168" t="s">
        <v>33</v>
      </c>
      <c r="F12" s="7"/>
      <c r="G12" s="169"/>
    </row>
    <row r="13" spans="1:7" ht="20.25" customHeight="1">
      <c r="A13" s="10">
        <v>10773</v>
      </c>
      <c r="B13" s="10">
        <v>10773</v>
      </c>
      <c r="C13" s="10">
        <f t="shared" si="0"/>
        <v>10773</v>
      </c>
      <c r="D13" s="10" t="s">
        <v>22</v>
      </c>
      <c r="E13" s="168" t="s">
        <v>34</v>
      </c>
      <c r="F13" s="7"/>
      <c r="G13" s="124"/>
    </row>
    <row r="14" spans="1:7" ht="20.25" customHeight="1">
      <c r="A14" s="10">
        <v>11601</v>
      </c>
      <c r="B14" s="10">
        <v>11602</v>
      </c>
      <c r="C14" s="10">
        <f t="shared" si="0"/>
        <v>11601</v>
      </c>
      <c r="D14" s="10" t="s">
        <v>17</v>
      </c>
      <c r="E14" s="168" t="s">
        <v>35</v>
      </c>
      <c r="F14" s="7"/>
      <c r="G14" s="124"/>
    </row>
    <row r="15" spans="1:7" ht="20.25" customHeight="1">
      <c r="A15" s="10">
        <v>12000</v>
      </c>
      <c r="B15" s="10">
        <v>16000</v>
      </c>
      <c r="C15" s="10">
        <f t="shared" si="0"/>
        <v>12000</v>
      </c>
      <c r="D15" s="10" t="s">
        <v>17</v>
      </c>
      <c r="E15" s="5" t="s">
        <v>36</v>
      </c>
      <c r="F15" s="7"/>
      <c r="G15" s="7"/>
    </row>
    <row r="16" spans="1:7" ht="20.25" customHeight="1">
      <c r="A16" s="10">
        <v>12001</v>
      </c>
      <c r="B16" s="10">
        <v>16001</v>
      </c>
      <c r="C16" s="10">
        <f t="shared" si="0"/>
        <v>22001</v>
      </c>
      <c r="D16" s="10" t="s">
        <v>22</v>
      </c>
      <c r="E16" s="7" t="s">
        <v>37</v>
      </c>
      <c r="F16" s="5" t="s">
        <v>38</v>
      </c>
      <c r="G16" s="7"/>
    </row>
    <row r="17" spans="1:7" ht="20.25" customHeight="1">
      <c r="A17" s="10">
        <v>12002</v>
      </c>
      <c r="B17" s="10">
        <v>16002</v>
      </c>
      <c r="C17" s="10">
        <f t="shared" si="0"/>
        <v>12002</v>
      </c>
      <c r="D17" s="10" t="s">
        <v>17</v>
      </c>
      <c r="E17" s="7" t="s">
        <v>39</v>
      </c>
      <c r="F17" s="7"/>
      <c r="G17" s="7"/>
    </row>
    <row r="18" spans="1:7" ht="20.25" customHeight="1">
      <c r="A18" s="10">
        <v>12003</v>
      </c>
      <c r="B18" s="10">
        <v>16003</v>
      </c>
      <c r="C18" s="10">
        <f t="shared" si="0"/>
        <v>12003</v>
      </c>
      <c r="D18" s="10" t="s">
        <v>17</v>
      </c>
      <c r="E18" s="7" t="s">
        <v>40</v>
      </c>
      <c r="F18" s="7"/>
      <c r="G18" s="7"/>
    </row>
    <row r="19" spans="1:7" ht="20.25" customHeight="1">
      <c r="A19" s="10">
        <v>12004</v>
      </c>
      <c r="B19" s="10">
        <v>16004</v>
      </c>
      <c r="C19" s="10">
        <f t="shared" si="0"/>
        <v>12004</v>
      </c>
      <c r="D19" s="10" t="s">
        <v>17</v>
      </c>
      <c r="E19" s="7" t="s">
        <v>41</v>
      </c>
      <c r="F19" s="7"/>
      <c r="G19" s="7"/>
    </row>
    <row r="20" spans="1:7" ht="20.25" customHeight="1">
      <c r="A20" s="10">
        <v>12005</v>
      </c>
      <c r="B20" s="10">
        <v>16005</v>
      </c>
      <c r="C20" s="10">
        <f t="shared" si="0"/>
        <v>22005</v>
      </c>
      <c r="D20" s="10" t="s">
        <v>22</v>
      </c>
      <c r="E20" s="7" t="s">
        <v>42</v>
      </c>
      <c r="F20" s="5" t="s">
        <v>38</v>
      </c>
      <c r="G20" s="7"/>
    </row>
    <row r="21" spans="1:7" ht="20.25" customHeight="1">
      <c r="A21" s="10">
        <v>12006</v>
      </c>
      <c r="B21" s="10">
        <v>16006</v>
      </c>
      <c r="C21" s="10">
        <f t="shared" si="0"/>
        <v>22006</v>
      </c>
      <c r="D21" s="10" t="s">
        <v>22</v>
      </c>
      <c r="E21" s="7" t="s">
        <v>43</v>
      </c>
      <c r="F21" s="5" t="s">
        <v>38</v>
      </c>
      <c r="G21" s="7"/>
    </row>
    <row r="22" spans="1:7" ht="20.25" customHeight="1">
      <c r="A22" s="10">
        <v>12007</v>
      </c>
      <c r="B22" s="10">
        <v>16007</v>
      </c>
      <c r="C22" s="10">
        <f t="shared" si="0"/>
        <v>22007</v>
      </c>
      <c r="D22" s="10" t="s">
        <v>22</v>
      </c>
      <c r="E22" s="7" t="s">
        <v>44</v>
      </c>
      <c r="F22" s="5" t="s">
        <v>38</v>
      </c>
      <c r="G22" s="7"/>
    </row>
    <row r="23" spans="1:7" ht="20.25" customHeight="1">
      <c r="A23" s="10">
        <v>12008</v>
      </c>
      <c r="B23" s="10">
        <v>16008</v>
      </c>
      <c r="C23" s="10">
        <f t="shared" si="0"/>
        <v>12008</v>
      </c>
      <c r="D23" s="10" t="s">
        <v>17</v>
      </c>
      <c r="E23" s="7" t="s">
        <v>45</v>
      </c>
      <c r="F23" s="10"/>
      <c r="G23" s="7"/>
    </row>
    <row r="24" spans="1:7" ht="20.25" customHeight="1">
      <c r="A24" s="10">
        <v>12009</v>
      </c>
      <c r="B24" s="10">
        <v>16009</v>
      </c>
      <c r="C24" s="10">
        <f t="shared" si="0"/>
        <v>22009</v>
      </c>
      <c r="D24" s="10" t="s">
        <v>22</v>
      </c>
      <c r="E24" s="7" t="s">
        <v>46</v>
      </c>
      <c r="F24" s="5" t="s">
        <v>38</v>
      </c>
      <c r="G24" s="7"/>
    </row>
    <row r="25" spans="1:7" ht="20.25" customHeight="1">
      <c r="A25" s="10">
        <v>12011</v>
      </c>
      <c r="B25" s="10">
        <v>16011</v>
      </c>
      <c r="C25" s="10">
        <f t="shared" si="0"/>
        <v>12011</v>
      </c>
      <c r="D25" s="10" t="s">
        <v>17</v>
      </c>
      <c r="E25" s="7" t="s">
        <v>47</v>
      </c>
      <c r="F25" s="7"/>
      <c r="G25" s="7"/>
    </row>
    <row r="26" spans="1:7" ht="20.25" customHeight="1">
      <c r="A26" s="10">
        <v>12012</v>
      </c>
      <c r="B26" s="10">
        <v>16012</v>
      </c>
      <c r="C26" s="10">
        <f t="shared" si="0"/>
        <v>22012</v>
      </c>
      <c r="D26" s="10" t="s">
        <v>22</v>
      </c>
      <c r="E26" s="7" t="s">
        <v>48</v>
      </c>
      <c r="F26" s="5" t="s">
        <v>38</v>
      </c>
      <c r="G26" s="7"/>
    </row>
    <row r="27" spans="1:7" ht="20.25" customHeight="1">
      <c r="A27" s="10">
        <v>12013</v>
      </c>
      <c r="B27" s="10">
        <v>16013</v>
      </c>
      <c r="C27" s="10">
        <f t="shared" si="0"/>
        <v>12013</v>
      </c>
      <c r="D27" s="10" t="s">
        <v>17</v>
      </c>
      <c r="E27" s="7" t="s">
        <v>49</v>
      </c>
      <c r="F27" s="7"/>
      <c r="G27" s="7" t="s">
        <v>26</v>
      </c>
    </row>
    <row r="28" spans="1:7" ht="20.25" customHeight="1">
      <c r="A28" s="10">
        <v>12014</v>
      </c>
      <c r="B28" s="10">
        <v>16014</v>
      </c>
      <c r="C28" s="10">
        <f t="shared" si="0"/>
        <v>12014</v>
      </c>
      <c r="D28" s="10" t="s">
        <v>17</v>
      </c>
      <c r="E28" s="7" t="s">
        <v>50</v>
      </c>
      <c r="F28" s="7"/>
      <c r="G28" s="7"/>
    </row>
    <row r="29" spans="1:7" ht="20.25" customHeight="1">
      <c r="A29" s="10">
        <v>12015</v>
      </c>
      <c r="B29" s="10">
        <v>16015</v>
      </c>
      <c r="C29" s="10">
        <f t="shared" si="0"/>
        <v>12015</v>
      </c>
      <c r="D29" s="10" t="s">
        <v>17</v>
      </c>
      <c r="E29" s="7" t="s">
        <v>51</v>
      </c>
      <c r="F29" s="7"/>
      <c r="G29" s="7"/>
    </row>
    <row r="30" spans="1:7" ht="20.25" customHeight="1">
      <c r="A30" s="10">
        <v>12016</v>
      </c>
      <c r="B30" s="10">
        <v>16016</v>
      </c>
      <c r="C30" s="10">
        <f t="shared" si="0"/>
        <v>12016</v>
      </c>
      <c r="D30" s="10" t="s">
        <v>17</v>
      </c>
      <c r="E30" s="7" t="s">
        <v>52</v>
      </c>
      <c r="F30" s="7"/>
      <c r="G30" s="7"/>
    </row>
    <row r="31" spans="1:7" ht="20.25" customHeight="1">
      <c r="A31" s="10">
        <v>12017</v>
      </c>
      <c r="B31" s="10">
        <v>16017</v>
      </c>
      <c r="C31" s="10">
        <f t="shared" si="0"/>
        <v>12017</v>
      </c>
      <c r="D31" s="10" t="s">
        <v>17</v>
      </c>
      <c r="E31" s="7" t="s">
        <v>53</v>
      </c>
      <c r="F31" s="7"/>
      <c r="G31" s="7"/>
    </row>
    <row r="32" spans="1:7" ht="20.25" customHeight="1">
      <c r="A32" s="10">
        <v>12018</v>
      </c>
      <c r="B32" s="10">
        <v>16018</v>
      </c>
      <c r="C32" s="10">
        <f t="shared" si="0"/>
        <v>12018</v>
      </c>
      <c r="D32" s="10" t="s">
        <v>17</v>
      </c>
      <c r="E32" s="7" t="s">
        <v>54</v>
      </c>
      <c r="F32" s="7"/>
      <c r="G32" s="7"/>
    </row>
    <row r="33" spans="1:7" ht="20.25" customHeight="1">
      <c r="A33" s="10">
        <v>12019</v>
      </c>
      <c r="B33" s="10">
        <v>16019</v>
      </c>
      <c r="C33" s="10">
        <f t="shared" si="0"/>
        <v>12019</v>
      </c>
      <c r="D33" s="10" t="s">
        <v>17</v>
      </c>
      <c r="E33" s="7" t="s">
        <v>55</v>
      </c>
      <c r="F33" s="7"/>
      <c r="G33" s="7"/>
    </row>
    <row r="34" spans="1:7" ht="20.25" customHeight="1">
      <c r="A34" s="10">
        <v>12020</v>
      </c>
      <c r="B34" s="10">
        <v>16020</v>
      </c>
      <c r="C34" s="10">
        <f t="shared" si="0"/>
        <v>12020</v>
      </c>
      <c r="D34" s="10" t="s">
        <v>17</v>
      </c>
      <c r="E34" s="7" t="s">
        <v>56</v>
      </c>
      <c r="F34" s="7"/>
      <c r="G34" s="7"/>
    </row>
    <row r="35" spans="1:7" ht="20.25" customHeight="1">
      <c r="A35" s="10">
        <v>12021</v>
      </c>
      <c r="B35" s="10">
        <v>16021</v>
      </c>
      <c r="C35" s="10">
        <f t="shared" si="0"/>
        <v>12021</v>
      </c>
      <c r="D35" s="10" t="s">
        <v>17</v>
      </c>
      <c r="E35" s="7" t="s">
        <v>57</v>
      </c>
      <c r="F35" s="7"/>
      <c r="G35" s="7"/>
    </row>
    <row r="36" spans="1:7" ht="20.25" customHeight="1">
      <c r="A36" s="10">
        <v>12022</v>
      </c>
      <c r="B36" s="10">
        <v>16022</v>
      </c>
      <c r="C36" s="10">
        <f t="shared" si="0"/>
        <v>22022</v>
      </c>
      <c r="D36" s="10" t="s">
        <v>22</v>
      </c>
      <c r="E36" s="7" t="s">
        <v>58</v>
      </c>
      <c r="F36" s="5" t="s">
        <v>38</v>
      </c>
      <c r="G36" s="7"/>
    </row>
    <row r="37" spans="1:7" ht="20.25" customHeight="1">
      <c r="A37" s="13">
        <v>12023</v>
      </c>
      <c r="B37" s="10">
        <v>16023</v>
      </c>
      <c r="C37" s="10">
        <f t="shared" si="0"/>
        <v>12023</v>
      </c>
      <c r="D37" s="10" t="s">
        <v>17</v>
      </c>
      <c r="E37" s="7" t="s">
        <v>59</v>
      </c>
      <c r="F37" s="7"/>
      <c r="G37" s="7"/>
    </row>
    <row r="38" spans="1:7" ht="20.25" customHeight="1">
      <c r="A38" s="13">
        <v>12023</v>
      </c>
      <c r="B38" s="10">
        <v>16023</v>
      </c>
      <c r="C38" s="10">
        <f t="shared" si="0"/>
        <v>12023</v>
      </c>
      <c r="D38" s="10" t="s">
        <v>17</v>
      </c>
      <c r="E38" s="7" t="s">
        <v>60</v>
      </c>
      <c r="F38" s="7"/>
      <c r="G38" s="7"/>
    </row>
    <row r="39" spans="1:7" ht="20.25" customHeight="1">
      <c r="A39" s="10">
        <v>12024</v>
      </c>
      <c r="B39" s="10">
        <v>16024</v>
      </c>
      <c r="C39" s="10">
        <f t="shared" si="0"/>
        <v>12024</v>
      </c>
      <c r="D39" s="10" t="s">
        <v>17</v>
      </c>
      <c r="E39" s="7" t="s">
        <v>61</v>
      </c>
      <c r="F39" s="7"/>
      <c r="G39" s="7"/>
    </row>
    <row r="40" spans="1:7" ht="20.25" customHeight="1">
      <c r="A40" s="10">
        <v>12025</v>
      </c>
      <c r="B40" s="10">
        <v>16025</v>
      </c>
      <c r="C40" s="10">
        <f t="shared" si="0"/>
        <v>12025</v>
      </c>
      <c r="D40" s="10" t="s">
        <v>17</v>
      </c>
      <c r="E40" s="7" t="s">
        <v>62</v>
      </c>
      <c r="F40" s="7"/>
      <c r="G40" s="7"/>
    </row>
    <row r="41" spans="1:7" ht="20.25" customHeight="1">
      <c r="A41" s="10">
        <v>12026</v>
      </c>
      <c r="B41" s="10">
        <v>16026</v>
      </c>
      <c r="C41" s="10">
        <f t="shared" si="0"/>
        <v>12026</v>
      </c>
      <c r="D41" s="10" t="s">
        <v>17</v>
      </c>
      <c r="E41" s="7" t="s">
        <v>63</v>
      </c>
      <c r="F41" s="7"/>
      <c r="G41" s="7"/>
    </row>
    <row r="42" spans="1:7" ht="20.25" customHeight="1">
      <c r="A42" s="10">
        <v>12027</v>
      </c>
      <c r="B42" s="10">
        <v>16027</v>
      </c>
      <c r="C42" s="10">
        <f t="shared" si="0"/>
        <v>12027</v>
      </c>
      <c r="D42" s="10" t="s">
        <v>17</v>
      </c>
      <c r="E42" s="7" t="s">
        <v>64</v>
      </c>
      <c r="F42" s="10"/>
      <c r="G42" s="7"/>
    </row>
    <row r="43" spans="1:7" ht="20.25" customHeight="1">
      <c r="A43" s="10">
        <v>12028</v>
      </c>
      <c r="B43" s="10">
        <v>16028</v>
      </c>
      <c r="C43" s="10">
        <f t="shared" si="0"/>
        <v>22028</v>
      </c>
      <c r="D43" s="10" t="s">
        <v>17</v>
      </c>
      <c r="E43" s="7" t="s">
        <v>65</v>
      </c>
      <c r="F43" s="7"/>
      <c r="G43" s="7"/>
    </row>
    <row r="44" spans="1:7" ht="20.25" customHeight="1">
      <c r="A44" s="10">
        <v>12029</v>
      </c>
      <c r="B44" s="10">
        <v>16029</v>
      </c>
      <c r="C44" s="10">
        <f t="shared" si="0"/>
        <v>12029</v>
      </c>
      <c r="D44" s="10" t="s">
        <v>17</v>
      </c>
      <c r="E44" s="7" t="s">
        <v>66</v>
      </c>
      <c r="F44" s="7"/>
      <c r="G44" s="7"/>
    </row>
    <row r="45" spans="1:7" ht="20.25" customHeight="1">
      <c r="A45" s="10">
        <v>12029</v>
      </c>
      <c r="B45" s="10">
        <v>16029</v>
      </c>
      <c r="C45" s="10">
        <f t="shared" si="0"/>
        <v>12029</v>
      </c>
      <c r="D45" s="10" t="s">
        <v>67</v>
      </c>
      <c r="E45" s="7" t="s">
        <v>68</v>
      </c>
      <c r="F45" s="7"/>
      <c r="G45" s="7"/>
    </row>
    <row r="46" spans="1:7" ht="20.25" customHeight="1">
      <c r="A46" s="10">
        <v>12030</v>
      </c>
      <c r="B46" s="10">
        <v>16030</v>
      </c>
      <c r="C46" s="10">
        <f t="shared" si="0"/>
        <v>22030</v>
      </c>
      <c r="D46" s="10" t="s">
        <v>22</v>
      </c>
      <c r="E46" s="7" t="s">
        <v>69</v>
      </c>
      <c r="F46" s="5" t="s">
        <v>38</v>
      </c>
      <c r="G46" s="27"/>
    </row>
    <row r="47" spans="1:7" ht="20.25" customHeight="1">
      <c r="A47" s="10">
        <v>12031</v>
      </c>
      <c r="B47" s="10">
        <v>16031</v>
      </c>
      <c r="C47" s="10">
        <f t="shared" si="0"/>
        <v>22031</v>
      </c>
      <c r="D47" s="10" t="s">
        <v>22</v>
      </c>
      <c r="E47" s="7" t="s">
        <v>70</v>
      </c>
      <c r="F47" s="5" t="s">
        <v>38</v>
      </c>
      <c r="G47" s="7"/>
    </row>
    <row r="48" spans="1:7" ht="20.25" customHeight="1">
      <c r="A48" s="10">
        <v>12032</v>
      </c>
      <c r="B48" s="10">
        <v>16032</v>
      </c>
      <c r="C48" s="10">
        <f t="shared" si="0"/>
        <v>12032</v>
      </c>
      <c r="D48" s="10" t="s">
        <v>17</v>
      </c>
      <c r="E48" s="7" t="s">
        <v>71</v>
      </c>
      <c r="F48" s="7"/>
      <c r="G48" s="7"/>
    </row>
    <row r="49" spans="1:7" ht="20.25" customHeight="1">
      <c r="A49" s="10">
        <v>12033</v>
      </c>
      <c r="B49" s="10">
        <v>16033</v>
      </c>
      <c r="C49" s="10">
        <f t="shared" si="0"/>
        <v>12033</v>
      </c>
      <c r="D49" s="10" t="s">
        <v>17</v>
      </c>
      <c r="E49" s="7" t="s">
        <v>72</v>
      </c>
      <c r="F49" s="7"/>
      <c r="G49" s="7"/>
    </row>
    <row r="50" spans="1:7" ht="20.25" customHeight="1">
      <c r="A50" s="10">
        <v>12034</v>
      </c>
      <c r="B50" s="10">
        <v>16034</v>
      </c>
      <c r="C50" s="10">
        <f t="shared" si="0"/>
        <v>22034</v>
      </c>
      <c r="D50" s="10" t="s">
        <v>22</v>
      </c>
      <c r="E50" s="7" t="s">
        <v>73</v>
      </c>
      <c r="F50" s="5" t="s">
        <v>38</v>
      </c>
      <c r="G50" s="7"/>
    </row>
    <row r="51" spans="1:7" ht="20.25" customHeight="1">
      <c r="A51" s="10">
        <v>12035</v>
      </c>
      <c r="B51" s="10">
        <v>16035</v>
      </c>
      <c r="C51" s="10">
        <f t="shared" si="0"/>
        <v>22035</v>
      </c>
      <c r="D51" s="10" t="s">
        <v>17</v>
      </c>
      <c r="E51" s="7" t="s">
        <v>74</v>
      </c>
      <c r="F51" s="7"/>
      <c r="G51" s="7"/>
    </row>
    <row r="52" spans="1:7" ht="20.25" customHeight="1">
      <c r="A52" s="10">
        <v>12036</v>
      </c>
      <c r="B52" s="10">
        <v>16036</v>
      </c>
      <c r="C52" s="10">
        <f t="shared" si="0"/>
        <v>22036</v>
      </c>
      <c r="D52" s="10" t="s">
        <v>22</v>
      </c>
      <c r="E52" s="7" t="s">
        <v>75</v>
      </c>
      <c r="F52" s="5" t="s">
        <v>38</v>
      </c>
      <c r="G52" s="7"/>
    </row>
    <row r="53" spans="1:7" ht="20.25" customHeight="1">
      <c r="A53" s="10">
        <v>12037</v>
      </c>
      <c r="B53" s="10">
        <v>16037</v>
      </c>
      <c r="C53" s="10">
        <f t="shared" si="0"/>
        <v>12037</v>
      </c>
      <c r="D53" s="10" t="s">
        <v>17</v>
      </c>
      <c r="E53" s="7" t="s">
        <v>76</v>
      </c>
      <c r="F53" s="7"/>
      <c r="G53" s="7"/>
    </row>
    <row r="54" spans="1:7" ht="20.25" customHeight="1">
      <c r="A54" s="10">
        <v>12038</v>
      </c>
      <c r="B54" s="10">
        <v>16038</v>
      </c>
      <c r="C54" s="10">
        <f t="shared" si="0"/>
        <v>12038</v>
      </c>
      <c r="D54" s="10" t="s">
        <v>17</v>
      </c>
      <c r="E54" s="103" t="s">
        <v>77</v>
      </c>
      <c r="F54" s="7"/>
      <c r="G54" s="7"/>
    </row>
    <row r="55" spans="1:7" ht="20.25" customHeight="1">
      <c r="A55" s="10">
        <v>12039</v>
      </c>
      <c r="B55" s="10">
        <v>16039</v>
      </c>
      <c r="C55" s="10">
        <f t="shared" si="0"/>
        <v>22039</v>
      </c>
      <c r="D55" s="10" t="s">
        <v>22</v>
      </c>
      <c r="E55" s="7" t="s">
        <v>78</v>
      </c>
      <c r="F55" s="5" t="s">
        <v>38</v>
      </c>
      <c r="G55" s="7"/>
    </row>
    <row r="56" spans="1:7" ht="20.25" customHeight="1">
      <c r="A56" s="10">
        <v>12040</v>
      </c>
      <c r="B56" s="10">
        <v>16040</v>
      </c>
      <c r="C56" s="10">
        <f t="shared" si="0"/>
        <v>22040</v>
      </c>
      <c r="D56" s="10" t="s">
        <v>22</v>
      </c>
      <c r="E56" s="7" t="s">
        <v>79</v>
      </c>
      <c r="F56" s="5" t="s">
        <v>38</v>
      </c>
      <c r="G56" s="7"/>
    </row>
    <row r="57" spans="1:7" ht="20.25" customHeight="1">
      <c r="A57" s="10">
        <v>12041</v>
      </c>
      <c r="B57" s="10">
        <v>16041</v>
      </c>
      <c r="C57" s="10">
        <f t="shared" si="0"/>
        <v>22041</v>
      </c>
      <c r="D57" s="10" t="s">
        <v>22</v>
      </c>
      <c r="E57" s="7" t="s">
        <v>80</v>
      </c>
      <c r="F57" s="5" t="s">
        <v>38</v>
      </c>
      <c r="G57" s="7"/>
    </row>
    <row r="58" spans="1:7" ht="20.25" customHeight="1">
      <c r="A58" s="10">
        <v>12042</v>
      </c>
      <c r="B58" s="10">
        <v>16042</v>
      </c>
      <c r="C58" s="10">
        <f t="shared" si="0"/>
        <v>22042</v>
      </c>
      <c r="D58" s="10" t="s">
        <v>22</v>
      </c>
      <c r="E58" s="7" t="s">
        <v>81</v>
      </c>
      <c r="F58" s="5" t="s">
        <v>38</v>
      </c>
      <c r="G58" s="7"/>
    </row>
    <row r="59" spans="1:7" ht="20.25" customHeight="1">
      <c r="A59" s="10">
        <v>12043</v>
      </c>
      <c r="B59" s="10">
        <v>16043</v>
      </c>
      <c r="C59" s="10">
        <f t="shared" si="0"/>
        <v>12043</v>
      </c>
      <c r="D59" s="10" t="s">
        <v>17</v>
      </c>
      <c r="E59" s="7" t="s">
        <v>82</v>
      </c>
      <c r="F59" s="10"/>
      <c r="G59" s="7"/>
    </row>
    <row r="60" spans="1:7" ht="20.25" customHeight="1">
      <c r="A60" s="10">
        <v>12044</v>
      </c>
      <c r="B60" s="10">
        <v>16044</v>
      </c>
      <c r="C60" s="10">
        <f t="shared" si="0"/>
        <v>22044</v>
      </c>
      <c r="D60" s="10" t="s">
        <v>22</v>
      </c>
      <c r="E60" s="7" t="s">
        <v>83</v>
      </c>
      <c r="F60" s="5" t="s">
        <v>38</v>
      </c>
      <c r="G60" s="7"/>
    </row>
    <row r="61" spans="1:7" ht="20.25" customHeight="1">
      <c r="A61" s="10">
        <v>12045</v>
      </c>
      <c r="B61" s="10">
        <v>16045</v>
      </c>
      <c r="C61" s="10">
        <f t="shared" si="0"/>
        <v>12045</v>
      </c>
      <c r="D61" s="10" t="s">
        <v>17</v>
      </c>
      <c r="E61" s="7" t="s">
        <v>84</v>
      </c>
      <c r="F61" s="7"/>
      <c r="G61" s="7"/>
    </row>
    <row r="62" spans="1:7" ht="20.25" customHeight="1">
      <c r="A62" s="10">
        <v>12046</v>
      </c>
      <c r="B62" s="10">
        <v>16046</v>
      </c>
      <c r="C62" s="10">
        <f t="shared" si="0"/>
        <v>12046</v>
      </c>
      <c r="D62" s="10" t="s">
        <v>17</v>
      </c>
      <c r="E62" s="7" t="s">
        <v>85</v>
      </c>
      <c r="F62" s="7"/>
      <c r="G62" s="7"/>
    </row>
    <row r="63" spans="1:7" ht="20.25" customHeight="1">
      <c r="A63" s="10">
        <v>12047</v>
      </c>
      <c r="B63" s="10">
        <v>16047</v>
      </c>
      <c r="C63" s="10">
        <f t="shared" si="0"/>
        <v>22047</v>
      </c>
      <c r="D63" s="10" t="s">
        <v>22</v>
      </c>
      <c r="E63" s="7" t="s">
        <v>86</v>
      </c>
      <c r="F63" s="5" t="s">
        <v>38</v>
      </c>
      <c r="G63" s="27"/>
    </row>
    <row r="64" spans="1:7" ht="20.25" customHeight="1">
      <c r="A64" s="10">
        <v>12048</v>
      </c>
      <c r="B64" s="10">
        <v>16048</v>
      </c>
      <c r="C64" s="10">
        <f t="shared" si="0"/>
        <v>22048</v>
      </c>
      <c r="D64" s="10" t="s">
        <v>22</v>
      </c>
      <c r="E64" s="7" t="s">
        <v>87</v>
      </c>
      <c r="F64" s="5" t="s">
        <v>38</v>
      </c>
      <c r="G64" s="27"/>
    </row>
    <row r="65" spans="1:7" ht="20.25" customHeight="1">
      <c r="A65" s="10">
        <v>12049</v>
      </c>
      <c r="B65" s="10">
        <v>16049</v>
      </c>
      <c r="C65" s="10">
        <f t="shared" si="0"/>
        <v>12049</v>
      </c>
      <c r="D65" s="10" t="s">
        <v>17</v>
      </c>
      <c r="E65" s="7" t="s">
        <v>88</v>
      </c>
      <c r="F65" s="7"/>
      <c r="G65" s="7"/>
    </row>
    <row r="66" spans="1:7" ht="20.25" customHeight="1">
      <c r="A66" s="10">
        <v>12050</v>
      </c>
      <c r="B66" s="10">
        <v>16050</v>
      </c>
      <c r="C66" s="10">
        <f t="shared" si="0"/>
        <v>22050</v>
      </c>
      <c r="D66" s="10" t="s">
        <v>22</v>
      </c>
      <c r="E66" s="7" t="s">
        <v>89</v>
      </c>
      <c r="F66" s="5" t="s">
        <v>38</v>
      </c>
      <c r="G66" s="7"/>
    </row>
    <row r="67" spans="1:7" ht="20.25" customHeight="1">
      <c r="A67" s="10">
        <v>12051</v>
      </c>
      <c r="B67" s="10">
        <v>16051</v>
      </c>
      <c r="C67" s="10">
        <f t="shared" ref="C67:C131" si="1">IF(ISERROR(FIND("B_Epic",E67)),A67,A67+10000)</f>
        <v>12051</v>
      </c>
      <c r="D67" s="10" t="s">
        <v>17</v>
      </c>
      <c r="E67" s="7" t="s">
        <v>90</v>
      </c>
      <c r="F67" s="7"/>
      <c r="G67" s="7"/>
    </row>
    <row r="68" spans="1:7" ht="20.25" customHeight="1">
      <c r="A68" s="10">
        <v>12052</v>
      </c>
      <c r="B68" s="10">
        <v>16052</v>
      </c>
      <c r="C68" s="10">
        <f t="shared" si="1"/>
        <v>12052</v>
      </c>
      <c r="D68" s="10" t="s">
        <v>17</v>
      </c>
      <c r="E68" s="7" t="s">
        <v>91</v>
      </c>
      <c r="F68" s="7"/>
      <c r="G68" s="7"/>
    </row>
    <row r="69" spans="1:7" ht="20.25" customHeight="1">
      <c r="A69" s="10">
        <v>12053</v>
      </c>
      <c r="B69" s="10">
        <v>16053</v>
      </c>
      <c r="C69" s="10">
        <f t="shared" si="1"/>
        <v>12053</v>
      </c>
      <c r="D69" s="10" t="s">
        <v>17</v>
      </c>
      <c r="E69" s="7" t="s">
        <v>92</v>
      </c>
      <c r="F69" s="10"/>
      <c r="G69" s="7"/>
    </row>
    <row r="70" spans="1:7" ht="20.25" customHeight="1">
      <c r="A70" s="10">
        <v>12054</v>
      </c>
      <c r="B70" s="10">
        <v>16054</v>
      </c>
      <c r="C70" s="10">
        <f t="shared" si="1"/>
        <v>12054</v>
      </c>
      <c r="D70" s="10" t="s">
        <v>17</v>
      </c>
      <c r="E70" s="7" t="s">
        <v>93</v>
      </c>
      <c r="F70" s="5"/>
      <c r="G70" s="15"/>
    </row>
    <row r="71" spans="1:7" ht="32.25" customHeight="1">
      <c r="A71" s="10">
        <v>12055</v>
      </c>
      <c r="B71" s="10">
        <v>16055</v>
      </c>
      <c r="C71" s="10">
        <f t="shared" si="1"/>
        <v>12055</v>
      </c>
      <c r="D71" s="10" t="s">
        <v>17</v>
      </c>
      <c r="E71" s="7" t="s">
        <v>94</v>
      </c>
      <c r="F71" s="5"/>
      <c r="G71" s="15"/>
    </row>
    <row r="72" spans="1:7" ht="32.25" customHeight="1">
      <c r="A72" s="10">
        <v>12056</v>
      </c>
      <c r="B72" s="10">
        <v>16056</v>
      </c>
      <c r="C72" s="10">
        <f t="shared" si="1"/>
        <v>12056</v>
      </c>
      <c r="D72" s="10" t="s">
        <v>17</v>
      </c>
      <c r="E72" s="7" t="s">
        <v>95</v>
      </c>
      <c r="F72" s="7"/>
      <c r="G72" s="7"/>
    </row>
    <row r="73" spans="1:7" ht="20.25" customHeight="1">
      <c r="A73" s="10">
        <v>12057</v>
      </c>
      <c r="B73" s="10">
        <v>16057</v>
      </c>
      <c r="C73" s="10">
        <f t="shared" si="1"/>
        <v>12057</v>
      </c>
      <c r="D73" s="10" t="s">
        <v>17</v>
      </c>
      <c r="E73" s="7" t="s">
        <v>96</v>
      </c>
      <c r="F73" s="7"/>
      <c r="G73" s="7"/>
    </row>
    <row r="74" spans="1:7" ht="20.25" customHeight="1">
      <c r="A74" s="10">
        <v>12057</v>
      </c>
      <c r="B74" s="10">
        <v>16057</v>
      </c>
      <c r="C74" s="10">
        <f t="shared" si="1"/>
        <v>12057</v>
      </c>
      <c r="D74" s="10" t="s">
        <v>67</v>
      </c>
      <c r="E74" s="111" t="s">
        <v>97</v>
      </c>
      <c r="F74" s="7"/>
      <c r="G74" s="7"/>
    </row>
    <row r="75" spans="1:7" ht="20.25" customHeight="1">
      <c r="A75" s="10">
        <v>12059</v>
      </c>
      <c r="B75" s="10">
        <v>16059</v>
      </c>
      <c r="C75" s="10">
        <f t="shared" si="1"/>
        <v>12059</v>
      </c>
      <c r="D75" s="10" t="s">
        <v>67</v>
      </c>
      <c r="E75" s="7" t="s">
        <v>98</v>
      </c>
      <c r="F75" s="7"/>
      <c r="G75" s="7"/>
    </row>
    <row r="76" spans="1:7" ht="20.25" customHeight="1">
      <c r="A76" s="10">
        <v>12060</v>
      </c>
      <c r="B76" s="10">
        <v>16060</v>
      </c>
      <c r="C76" s="10">
        <f t="shared" si="1"/>
        <v>22060</v>
      </c>
      <c r="D76" s="10" t="s">
        <v>22</v>
      </c>
      <c r="E76" s="7" t="s">
        <v>99</v>
      </c>
      <c r="F76" s="5" t="s">
        <v>38</v>
      </c>
      <c r="G76" s="27"/>
    </row>
    <row r="77" spans="1:7" ht="20.25" customHeight="1">
      <c r="A77" s="10">
        <v>12061</v>
      </c>
      <c r="B77" s="10">
        <v>16061</v>
      </c>
      <c r="C77" s="10">
        <f t="shared" si="1"/>
        <v>12061</v>
      </c>
      <c r="D77" s="10" t="s">
        <v>17</v>
      </c>
      <c r="E77" s="7" t="s">
        <v>100</v>
      </c>
      <c r="F77" s="7"/>
      <c r="G77" s="7"/>
    </row>
    <row r="78" spans="1:7" ht="20.25" customHeight="1">
      <c r="A78" s="10">
        <v>12061</v>
      </c>
      <c r="B78" s="10">
        <v>16061</v>
      </c>
      <c r="C78" s="10">
        <f t="shared" si="1"/>
        <v>12061</v>
      </c>
      <c r="D78" s="10" t="s">
        <v>67</v>
      </c>
      <c r="E78" s="7" t="s">
        <v>101</v>
      </c>
      <c r="F78" s="7"/>
      <c r="G78" s="7"/>
    </row>
    <row r="79" spans="1:7" ht="20.25" customHeight="1">
      <c r="A79" s="10">
        <v>12062</v>
      </c>
      <c r="B79" s="10">
        <v>16062</v>
      </c>
      <c r="C79" s="10">
        <f t="shared" si="1"/>
        <v>12062</v>
      </c>
      <c r="D79" s="10" t="s">
        <v>67</v>
      </c>
      <c r="E79" s="1" t="s">
        <v>102</v>
      </c>
      <c r="F79" s="7"/>
      <c r="G79" s="7"/>
    </row>
    <row r="80" spans="1:7" ht="20.25" customHeight="1">
      <c r="A80" s="10">
        <v>12063</v>
      </c>
      <c r="B80" s="10">
        <v>16063</v>
      </c>
      <c r="C80" s="10">
        <f t="shared" si="1"/>
        <v>12063</v>
      </c>
      <c r="D80" s="10" t="s">
        <v>17</v>
      </c>
      <c r="E80" s="7" t="s">
        <v>103</v>
      </c>
      <c r="F80" s="23"/>
      <c r="G80" s="7"/>
    </row>
    <row r="81" spans="1:7" ht="20.25" customHeight="1">
      <c r="A81" s="10">
        <v>12064</v>
      </c>
      <c r="B81" s="10">
        <v>16064</v>
      </c>
      <c r="C81" s="10">
        <f t="shared" si="1"/>
        <v>22064</v>
      </c>
      <c r="D81" s="10" t="s">
        <v>22</v>
      </c>
      <c r="E81" s="7" t="s">
        <v>104</v>
      </c>
      <c r="F81" s="5" t="s">
        <v>38</v>
      </c>
      <c r="G81" s="7"/>
    </row>
    <row r="82" spans="1:7" ht="20.25" customHeight="1">
      <c r="A82" s="10">
        <v>12065</v>
      </c>
      <c r="B82" s="10">
        <v>16065</v>
      </c>
      <c r="C82" s="10">
        <f t="shared" si="1"/>
        <v>12065</v>
      </c>
      <c r="D82" s="10" t="s">
        <v>17</v>
      </c>
      <c r="E82" s="7" t="s">
        <v>105</v>
      </c>
      <c r="F82" s="7"/>
      <c r="G82" s="7"/>
    </row>
    <row r="83" spans="1:7" ht="20.25" customHeight="1">
      <c r="A83" s="10">
        <v>12066</v>
      </c>
      <c r="B83" s="10">
        <v>16066</v>
      </c>
      <c r="C83" s="10">
        <f t="shared" si="1"/>
        <v>12066</v>
      </c>
      <c r="D83" s="10" t="s">
        <v>17</v>
      </c>
      <c r="E83" s="7" t="s">
        <v>106</v>
      </c>
      <c r="F83" s="7"/>
      <c r="G83" s="7"/>
    </row>
    <row r="84" spans="1:7" ht="20.25" customHeight="1">
      <c r="A84" s="10">
        <v>12067</v>
      </c>
      <c r="B84" s="10">
        <v>16067</v>
      </c>
      <c r="C84" s="10">
        <f t="shared" si="1"/>
        <v>12067</v>
      </c>
      <c r="D84" s="10" t="s">
        <v>17</v>
      </c>
      <c r="E84" s="7" t="s">
        <v>107</v>
      </c>
      <c r="F84" s="7"/>
      <c r="G84" s="7" t="s">
        <v>108</v>
      </c>
    </row>
    <row r="85" spans="1:7" ht="20.25" customHeight="1">
      <c r="A85" s="10">
        <v>12068</v>
      </c>
      <c r="B85" s="10">
        <v>16068</v>
      </c>
      <c r="C85" s="10">
        <f t="shared" si="1"/>
        <v>12068</v>
      </c>
      <c r="D85" s="10" t="s">
        <v>17</v>
      </c>
      <c r="E85" s="7" t="s">
        <v>109</v>
      </c>
      <c r="F85" s="7"/>
      <c r="G85" s="7"/>
    </row>
    <row r="86" spans="1:7" ht="20.25" customHeight="1">
      <c r="A86" s="10">
        <v>12069</v>
      </c>
      <c r="B86" s="10">
        <v>16069</v>
      </c>
      <c r="C86" s="10">
        <f t="shared" si="1"/>
        <v>12069</v>
      </c>
      <c r="D86" s="10" t="s">
        <v>17</v>
      </c>
      <c r="E86" s="7"/>
      <c r="F86" s="7"/>
      <c r="G86" s="7"/>
    </row>
    <row r="87" spans="1:7" ht="20.25" customHeight="1">
      <c r="A87" s="10">
        <v>12070</v>
      </c>
      <c r="B87" s="10">
        <v>16070</v>
      </c>
      <c r="C87" s="10">
        <f t="shared" si="1"/>
        <v>12070</v>
      </c>
      <c r="D87" s="10" t="s">
        <v>17</v>
      </c>
      <c r="E87" s="7" t="s">
        <v>110</v>
      </c>
      <c r="F87" s="7"/>
      <c r="G87" s="7"/>
    </row>
    <row r="88" spans="1:7" ht="20.25" customHeight="1">
      <c r="A88" s="10">
        <v>12070</v>
      </c>
      <c r="B88" s="10">
        <v>16070</v>
      </c>
      <c r="C88" s="10">
        <f t="shared" si="1"/>
        <v>12070</v>
      </c>
      <c r="D88" s="10" t="s">
        <v>67</v>
      </c>
      <c r="E88" s="7" t="s">
        <v>111</v>
      </c>
      <c r="F88" s="7"/>
      <c r="G88" s="7"/>
    </row>
    <row r="89" spans="1:7" ht="20.25" customHeight="1">
      <c r="A89" s="10">
        <v>12071</v>
      </c>
      <c r="B89" s="10">
        <v>16071</v>
      </c>
      <c r="C89" s="10">
        <f t="shared" si="1"/>
        <v>22071</v>
      </c>
      <c r="D89" s="10" t="s">
        <v>22</v>
      </c>
      <c r="E89" s="7" t="s">
        <v>112</v>
      </c>
      <c r="F89" s="5" t="s">
        <v>38</v>
      </c>
      <c r="G89" s="27"/>
    </row>
    <row r="90" spans="1:7" ht="20.25" customHeight="1">
      <c r="A90" s="10">
        <v>12072</v>
      </c>
      <c r="B90" s="10">
        <v>16072</v>
      </c>
      <c r="C90" s="10">
        <f t="shared" si="1"/>
        <v>12072</v>
      </c>
      <c r="D90" s="10" t="s">
        <v>17</v>
      </c>
      <c r="E90" s="7" t="s">
        <v>113</v>
      </c>
      <c r="F90" s="7"/>
      <c r="G90" s="7"/>
    </row>
    <row r="91" spans="1:7" ht="20.25" customHeight="1">
      <c r="A91" s="10">
        <v>12072</v>
      </c>
      <c r="B91" s="10">
        <v>16072</v>
      </c>
      <c r="C91" s="10">
        <f t="shared" si="1"/>
        <v>12072</v>
      </c>
      <c r="D91" s="10" t="s">
        <v>67</v>
      </c>
      <c r="E91" s="7" t="s">
        <v>114</v>
      </c>
      <c r="F91" s="7"/>
      <c r="G91" s="7"/>
    </row>
    <row r="92" spans="1:7" ht="20.25" customHeight="1">
      <c r="A92" s="10">
        <v>12074</v>
      </c>
      <c r="B92" s="10">
        <v>16074</v>
      </c>
      <c r="C92" s="10">
        <f t="shared" si="1"/>
        <v>12074</v>
      </c>
      <c r="D92" s="10" t="s">
        <v>67</v>
      </c>
      <c r="E92" s="7" t="s">
        <v>115</v>
      </c>
      <c r="F92" s="7"/>
      <c r="G92" s="7"/>
    </row>
    <row r="93" spans="1:7" ht="20.25" customHeight="1">
      <c r="A93" s="10">
        <v>12075</v>
      </c>
      <c r="B93" s="10">
        <v>16075</v>
      </c>
      <c r="C93" s="10">
        <f t="shared" si="1"/>
        <v>12075</v>
      </c>
      <c r="D93" s="10" t="s">
        <v>67</v>
      </c>
      <c r="E93" s="7" t="s">
        <v>116</v>
      </c>
      <c r="F93" s="7"/>
      <c r="G93" s="7"/>
    </row>
    <row r="94" spans="1:7" ht="20.25" customHeight="1">
      <c r="A94" s="10">
        <v>12076</v>
      </c>
      <c r="B94" s="10">
        <v>16076</v>
      </c>
      <c r="C94" s="10">
        <f t="shared" si="1"/>
        <v>22076</v>
      </c>
      <c r="D94" s="10" t="s">
        <v>22</v>
      </c>
      <c r="E94" s="7" t="s">
        <v>117</v>
      </c>
      <c r="F94" s="5" t="s">
        <v>38</v>
      </c>
      <c r="G94" s="7"/>
    </row>
    <row r="95" spans="1:7" ht="20.25" customHeight="1">
      <c r="A95" s="10">
        <v>12077</v>
      </c>
      <c r="B95" s="10">
        <v>16077</v>
      </c>
      <c r="C95" s="10">
        <f t="shared" si="1"/>
        <v>22077</v>
      </c>
      <c r="D95" s="10" t="s">
        <v>22</v>
      </c>
      <c r="E95" s="7" t="s">
        <v>118</v>
      </c>
      <c r="F95" s="5" t="s">
        <v>38</v>
      </c>
      <c r="G95" s="7"/>
    </row>
    <row r="96" spans="1:7" ht="20.25" customHeight="1">
      <c r="A96" s="10">
        <v>12078</v>
      </c>
      <c r="B96" s="10">
        <v>16078</v>
      </c>
      <c r="C96" s="10">
        <f t="shared" si="1"/>
        <v>22078</v>
      </c>
      <c r="D96" s="10" t="s">
        <v>22</v>
      </c>
      <c r="E96" s="7" t="s">
        <v>119</v>
      </c>
      <c r="F96" s="5" t="s">
        <v>38</v>
      </c>
      <c r="G96" s="7"/>
    </row>
    <row r="97" spans="1:7" ht="20.25" customHeight="1">
      <c r="A97" s="10">
        <v>12079</v>
      </c>
      <c r="B97" s="10">
        <v>16079</v>
      </c>
      <c r="C97" s="10">
        <f t="shared" si="1"/>
        <v>12079</v>
      </c>
      <c r="D97" s="10" t="s">
        <v>17</v>
      </c>
      <c r="E97" s="7" t="s">
        <v>120</v>
      </c>
      <c r="F97" s="7"/>
      <c r="G97" s="7"/>
    </row>
    <row r="98" spans="1:7" ht="20.25" customHeight="1">
      <c r="A98" s="10">
        <v>12079</v>
      </c>
      <c r="B98" s="10">
        <v>16079</v>
      </c>
      <c r="C98" s="10">
        <f t="shared" si="1"/>
        <v>12079</v>
      </c>
      <c r="D98" s="10" t="s">
        <v>67</v>
      </c>
      <c r="E98" s="7" t="s">
        <v>121</v>
      </c>
      <c r="F98" s="7"/>
      <c r="G98" s="7"/>
    </row>
    <row r="99" spans="1:7" ht="20.25" customHeight="1">
      <c r="A99" s="10">
        <v>12080</v>
      </c>
      <c r="B99" s="10">
        <v>16080</v>
      </c>
      <c r="C99" s="10">
        <f t="shared" si="1"/>
        <v>12080</v>
      </c>
      <c r="D99" s="10" t="s">
        <v>67</v>
      </c>
      <c r="E99" s="7" t="s">
        <v>122</v>
      </c>
      <c r="F99" s="7"/>
      <c r="G99" s="7"/>
    </row>
    <row r="100" spans="1:7" ht="20.25" customHeight="1">
      <c r="A100" s="10">
        <v>12081</v>
      </c>
      <c r="B100" s="10">
        <v>16081</v>
      </c>
      <c r="C100" s="10">
        <f t="shared" si="1"/>
        <v>12081</v>
      </c>
      <c r="D100" s="10" t="s">
        <v>67</v>
      </c>
      <c r="E100" s="7" t="s">
        <v>123</v>
      </c>
      <c r="F100" s="7"/>
      <c r="G100" s="7"/>
    </row>
    <row r="101" spans="1:7" ht="20.25" customHeight="1">
      <c r="A101" s="10">
        <v>12082</v>
      </c>
      <c r="B101" s="10">
        <v>16082</v>
      </c>
      <c r="C101" s="10">
        <f t="shared" si="1"/>
        <v>12082</v>
      </c>
      <c r="D101" s="10" t="s">
        <v>17</v>
      </c>
      <c r="E101" s="7" t="s">
        <v>124</v>
      </c>
      <c r="F101" s="7"/>
      <c r="G101" s="7"/>
    </row>
    <row r="102" spans="1:7" ht="20.25" customHeight="1">
      <c r="A102" s="10">
        <v>12082</v>
      </c>
      <c r="B102" s="10">
        <v>16082</v>
      </c>
      <c r="C102" s="10">
        <f t="shared" si="1"/>
        <v>12082</v>
      </c>
      <c r="D102" s="10" t="s">
        <v>67</v>
      </c>
      <c r="E102" s="7" t="s">
        <v>125</v>
      </c>
      <c r="F102" s="7"/>
      <c r="G102" s="7"/>
    </row>
    <row r="103" spans="1:7" ht="20.25" customHeight="1">
      <c r="A103" s="10">
        <v>12083</v>
      </c>
      <c r="B103" s="10">
        <v>16083</v>
      </c>
      <c r="C103" s="10">
        <f t="shared" si="1"/>
        <v>12083</v>
      </c>
      <c r="D103" s="10"/>
      <c r="E103" s="7" t="s">
        <v>126</v>
      </c>
      <c r="F103" s="7"/>
      <c r="G103" s="7"/>
    </row>
    <row r="104" spans="1:7" ht="20.25" customHeight="1">
      <c r="A104" s="10">
        <v>12084</v>
      </c>
      <c r="B104" s="10">
        <v>16084</v>
      </c>
      <c r="C104" s="10">
        <f t="shared" si="1"/>
        <v>22084</v>
      </c>
      <c r="D104" s="10" t="s">
        <v>22</v>
      </c>
      <c r="E104" s="7" t="s">
        <v>127</v>
      </c>
      <c r="F104" s="5" t="s">
        <v>38</v>
      </c>
      <c r="G104" s="7"/>
    </row>
    <row r="105" spans="1:7" ht="20.25" customHeight="1">
      <c r="A105" s="10">
        <v>12085</v>
      </c>
      <c r="B105" s="10">
        <v>16085</v>
      </c>
      <c r="C105" s="10">
        <f t="shared" si="1"/>
        <v>12085</v>
      </c>
      <c r="D105" s="104" t="s">
        <v>17</v>
      </c>
      <c r="E105" s="7" t="s">
        <v>128</v>
      </c>
      <c r="F105" s="7"/>
      <c r="G105" s="7">
        <v>48987502</v>
      </c>
    </row>
    <row r="106" spans="1:7" ht="20.25" customHeight="1">
      <c r="A106" s="10">
        <v>12086</v>
      </c>
      <c r="B106" s="10">
        <v>16086</v>
      </c>
      <c r="C106" s="10">
        <f t="shared" si="1"/>
        <v>12086</v>
      </c>
      <c r="D106" s="104" t="s">
        <v>17</v>
      </c>
      <c r="E106" s="7" t="s">
        <v>129</v>
      </c>
      <c r="F106" s="105"/>
      <c r="G106" s="7">
        <v>48987502</v>
      </c>
    </row>
    <row r="107" spans="1:7" ht="20.25" customHeight="1">
      <c r="A107" s="10">
        <v>12087</v>
      </c>
      <c r="B107" s="10">
        <v>16087</v>
      </c>
      <c r="C107" s="10">
        <f t="shared" si="1"/>
        <v>12087</v>
      </c>
      <c r="D107" s="104" t="s">
        <v>17</v>
      </c>
      <c r="E107" s="7" t="s">
        <v>130</v>
      </c>
      <c r="F107" s="105"/>
      <c r="G107" s="7">
        <v>48987502</v>
      </c>
    </row>
    <row r="108" spans="1:7" ht="20.25" customHeight="1">
      <c r="A108" s="10">
        <v>12088</v>
      </c>
      <c r="B108" s="10">
        <v>16088</v>
      </c>
      <c r="C108" s="10">
        <f t="shared" si="1"/>
        <v>12088</v>
      </c>
      <c r="D108" s="104" t="s">
        <v>17</v>
      </c>
      <c r="E108" s="7" t="s">
        <v>131</v>
      </c>
      <c r="F108" s="105"/>
      <c r="G108" s="7">
        <v>48987502</v>
      </c>
    </row>
    <row r="109" spans="1:7" ht="20.25" customHeight="1">
      <c r="A109" s="10">
        <v>12089</v>
      </c>
      <c r="B109" s="10">
        <v>16089</v>
      </c>
      <c r="C109" s="10">
        <f t="shared" si="1"/>
        <v>22089</v>
      </c>
      <c r="D109" s="104" t="s">
        <v>17</v>
      </c>
      <c r="E109" s="7" t="s">
        <v>132</v>
      </c>
      <c r="F109" s="105"/>
      <c r="G109" s="27"/>
    </row>
    <row r="110" spans="1:7" ht="20.25" customHeight="1">
      <c r="A110" s="10">
        <v>12090</v>
      </c>
      <c r="B110" s="10">
        <v>16090</v>
      </c>
      <c r="C110" s="10">
        <f t="shared" si="1"/>
        <v>12090</v>
      </c>
      <c r="D110" s="104" t="s">
        <v>17</v>
      </c>
      <c r="E110" s="7" t="s">
        <v>133</v>
      </c>
      <c r="F110" s="105"/>
      <c r="G110" s="7">
        <v>48987502</v>
      </c>
    </row>
    <row r="111" spans="1:7" ht="20.25" customHeight="1">
      <c r="A111" s="10">
        <v>12091</v>
      </c>
      <c r="B111" s="10">
        <v>16091</v>
      </c>
      <c r="C111" s="10">
        <f t="shared" si="1"/>
        <v>12091</v>
      </c>
      <c r="D111" s="10" t="s">
        <v>17</v>
      </c>
      <c r="E111" s="7" t="s">
        <v>134</v>
      </c>
      <c r="F111" s="105"/>
      <c r="G111" s="22"/>
    </row>
    <row r="112" spans="1:7" ht="20.25" customHeight="1">
      <c r="A112" s="10">
        <v>12092</v>
      </c>
      <c r="B112" s="10">
        <v>16092</v>
      </c>
      <c r="C112" s="10">
        <f t="shared" si="1"/>
        <v>12092</v>
      </c>
      <c r="D112" s="102" t="s">
        <v>17</v>
      </c>
      <c r="E112" s="7"/>
      <c r="F112" s="7"/>
      <c r="G112" s="27"/>
    </row>
    <row r="113" spans="1:7" ht="20.25" customHeight="1">
      <c r="A113" s="10">
        <v>12093</v>
      </c>
      <c r="B113" s="10">
        <v>16093</v>
      </c>
      <c r="C113" s="10">
        <f t="shared" si="1"/>
        <v>22093</v>
      </c>
      <c r="D113" s="10" t="s">
        <v>17</v>
      </c>
      <c r="E113" s="7" t="s">
        <v>135</v>
      </c>
      <c r="F113" s="7"/>
      <c r="G113" s="172" t="s">
        <v>136</v>
      </c>
    </row>
    <row r="114" spans="1:7" ht="20.25" customHeight="1">
      <c r="A114" s="10">
        <v>12094</v>
      </c>
      <c r="B114" s="10">
        <v>16094</v>
      </c>
      <c r="C114" s="10">
        <f t="shared" si="1"/>
        <v>12094</v>
      </c>
      <c r="D114" s="10" t="s">
        <v>17</v>
      </c>
      <c r="E114" s="7" t="s">
        <v>137</v>
      </c>
      <c r="F114" s="7"/>
    </row>
    <row r="115" spans="1:7" ht="20.25" customHeight="1">
      <c r="A115" s="10">
        <v>12095</v>
      </c>
      <c r="B115" s="10">
        <v>16095</v>
      </c>
      <c r="C115" s="10">
        <f t="shared" si="1"/>
        <v>12095</v>
      </c>
      <c r="D115" s="10" t="s">
        <v>67</v>
      </c>
      <c r="E115" s="7" t="s">
        <v>138</v>
      </c>
      <c r="F115" s="7"/>
      <c r="G115" s="7"/>
    </row>
    <row r="116" spans="1:7" ht="20.25" customHeight="1">
      <c r="A116" s="10">
        <v>12096</v>
      </c>
      <c r="B116" s="10">
        <v>16096</v>
      </c>
      <c r="C116" s="10">
        <f t="shared" si="1"/>
        <v>22096</v>
      </c>
      <c r="D116" s="10" t="s">
        <v>22</v>
      </c>
      <c r="E116" s="7" t="s">
        <v>139</v>
      </c>
      <c r="F116" s="5" t="s">
        <v>38</v>
      </c>
      <c r="G116" s="7"/>
    </row>
    <row r="117" spans="1:7" ht="20.25" customHeight="1">
      <c r="A117" s="10">
        <v>12097</v>
      </c>
      <c r="B117" s="10">
        <v>16097</v>
      </c>
      <c r="C117" s="10">
        <f t="shared" si="1"/>
        <v>12097</v>
      </c>
      <c r="D117" s="10" t="s">
        <v>67</v>
      </c>
      <c r="E117" s="7" t="s">
        <v>140</v>
      </c>
      <c r="F117" s="7"/>
      <c r="G117" s="7"/>
    </row>
    <row r="118" spans="1:7" ht="20.25" customHeight="1">
      <c r="A118" s="10">
        <v>12097</v>
      </c>
      <c r="B118" s="10">
        <v>16097</v>
      </c>
      <c r="C118" s="10">
        <f t="shared" si="1"/>
        <v>12097</v>
      </c>
      <c r="D118" s="10" t="s">
        <v>17</v>
      </c>
      <c r="E118" s="7" t="s">
        <v>141</v>
      </c>
      <c r="F118" s="7"/>
      <c r="G118" s="7"/>
    </row>
    <row r="119" spans="1:7" ht="20.25" customHeight="1">
      <c r="A119" s="10">
        <v>12098</v>
      </c>
      <c r="B119" s="10">
        <v>16098</v>
      </c>
      <c r="C119" s="10">
        <f t="shared" si="1"/>
        <v>22098</v>
      </c>
      <c r="D119" s="10" t="s">
        <v>22</v>
      </c>
      <c r="E119" s="7" t="s">
        <v>142</v>
      </c>
      <c r="F119" s="5" t="s">
        <v>38</v>
      </c>
      <c r="G119" s="7"/>
    </row>
    <row r="120" spans="1:7" ht="20.25" customHeight="1">
      <c r="A120" s="10">
        <v>12099</v>
      </c>
      <c r="B120" s="10">
        <v>16099</v>
      </c>
      <c r="C120" s="10">
        <f t="shared" si="1"/>
        <v>12099</v>
      </c>
      <c r="D120" s="10" t="s">
        <v>67</v>
      </c>
      <c r="E120" s="7" t="s">
        <v>143</v>
      </c>
      <c r="F120" s="7"/>
      <c r="G120" s="7"/>
    </row>
    <row r="121" spans="1:7" ht="20.25" customHeight="1">
      <c r="A121" s="10">
        <v>12100</v>
      </c>
      <c r="B121" s="10">
        <v>16100</v>
      </c>
      <c r="C121" s="10">
        <f t="shared" si="1"/>
        <v>12100</v>
      </c>
      <c r="D121" s="10" t="s">
        <v>22</v>
      </c>
      <c r="E121" s="7" t="s">
        <v>144</v>
      </c>
      <c r="F121" s="7"/>
      <c r="G121" s="7"/>
    </row>
    <row r="122" spans="1:7" ht="20.25" customHeight="1">
      <c r="A122" s="10">
        <v>12101</v>
      </c>
      <c r="B122" s="10">
        <v>16101</v>
      </c>
      <c r="C122" s="10">
        <f t="shared" si="1"/>
        <v>22101</v>
      </c>
      <c r="D122" s="10" t="s">
        <v>22</v>
      </c>
      <c r="E122" s="7" t="s">
        <v>145</v>
      </c>
      <c r="F122" s="7"/>
      <c r="G122" s="7"/>
    </row>
    <row r="123" spans="1:7" ht="20.25" customHeight="1">
      <c r="A123" s="10">
        <v>12102</v>
      </c>
      <c r="B123" s="10">
        <v>16102</v>
      </c>
      <c r="C123" s="10">
        <f t="shared" si="1"/>
        <v>12102</v>
      </c>
      <c r="D123" s="10" t="s">
        <v>22</v>
      </c>
      <c r="E123" s="7" t="s">
        <v>146</v>
      </c>
      <c r="F123" s="7"/>
      <c r="G123" s="7" t="s">
        <v>147</v>
      </c>
    </row>
    <row r="124" spans="1:7" ht="20.25" customHeight="1">
      <c r="A124" s="10">
        <v>12103</v>
      </c>
      <c r="B124" s="10">
        <v>16103</v>
      </c>
      <c r="C124" s="10">
        <f t="shared" si="1"/>
        <v>12103</v>
      </c>
      <c r="D124" s="10" t="s">
        <v>22</v>
      </c>
      <c r="E124" s="7" t="s">
        <v>148</v>
      </c>
      <c r="F124" s="7"/>
      <c r="G124" s="7" t="s">
        <v>147</v>
      </c>
    </row>
    <row r="125" spans="1:7" ht="20.25" customHeight="1">
      <c r="A125" s="10">
        <v>12104</v>
      </c>
      <c r="B125" s="10">
        <v>16104</v>
      </c>
      <c r="C125" s="10">
        <f t="shared" si="1"/>
        <v>12104</v>
      </c>
      <c r="D125" s="10" t="s">
        <v>22</v>
      </c>
      <c r="E125" s="7" t="s">
        <v>149</v>
      </c>
      <c r="F125" s="7"/>
      <c r="G125" s="7"/>
    </row>
    <row r="126" spans="1:7" ht="20.25" customHeight="1" thickBot="1">
      <c r="A126" s="10">
        <v>12105</v>
      </c>
      <c r="B126" s="10">
        <v>16105</v>
      </c>
      <c r="C126" s="10">
        <f t="shared" si="1"/>
        <v>12105</v>
      </c>
      <c r="D126" s="10" t="s">
        <v>22</v>
      </c>
      <c r="E126" s="229"/>
      <c r="F126" s="7"/>
      <c r="G126" s="7"/>
    </row>
    <row r="127" spans="1:7" ht="20.25" customHeight="1">
      <c r="A127" s="10">
        <v>12106</v>
      </c>
      <c r="B127" s="10">
        <v>16106</v>
      </c>
      <c r="C127" s="10">
        <f t="shared" si="1"/>
        <v>22106</v>
      </c>
      <c r="D127" s="10" t="s">
        <v>22</v>
      </c>
      <c r="E127" s="7" t="s">
        <v>150</v>
      </c>
      <c r="F127" s="7"/>
      <c r="G127" s="7"/>
    </row>
    <row r="128" spans="1:7" ht="20.25" customHeight="1">
      <c r="A128" s="10">
        <v>12107</v>
      </c>
      <c r="B128" s="10">
        <v>16107</v>
      </c>
      <c r="C128" s="10">
        <f t="shared" si="1"/>
        <v>12107</v>
      </c>
      <c r="D128" s="10" t="s">
        <v>22</v>
      </c>
      <c r="E128" s="7" t="s">
        <v>151</v>
      </c>
      <c r="F128" s="7"/>
      <c r="G128" s="7"/>
    </row>
    <row r="129" spans="1:7" ht="20.25" customHeight="1">
      <c r="A129" s="10">
        <v>12107</v>
      </c>
      <c r="B129" s="10">
        <v>16107</v>
      </c>
      <c r="C129" s="10">
        <f t="shared" ref="C129" si="2">IF(ISERROR(FIND("B_Epic",E129)),A129,A129+10000)</f>
        <v>12107</v>
      </c>
      <c r="D129" s="10" t="s">
        <v>67</v>
      </c>
      <c r="E129" s="7" t="s">
        <v>152</v>
      </c>
      <c r="F129" s="7"/>
      <c r="G129" s="7"/>
    </row>
    <row r="130" spans="1:7" ht="20.25" customHeight="1">
      <c r="A130" s="10">
        <v>12108</v>
      </c>
      <c r="B130" s="10">
        <v>16108</v>
      </c>
      <c r="C130" s="10">
        <f t="shared" si="1"/>
        <v>12108</v>
      </c>
      <c r="D130" s="10" t="s">
        <v>22</v>
      </c>
      <c r="E130" s="7" t="s">
        <v>153</v>
      </c>
      <c r="F130" s="7"/>
      <c r="G130" s="7" t="s">
        <v>147</v>
      </c>
    </row>
    <row r="131" spans="1:7" ht="20.25" customHeight="1">
      <c r="A131" s="10">
        <v>12109</v>
      </c>
      <c r="B131" s="10">
        <v>16109</v>
      </c>
      <c r="C131" s="10">
        <f t="shared" si="1"/>
        <v>12109</v>
      </c>
      <c r="D131" s="10" t="s">
        <v>22</v>
      </c>
      <c r="E131" s="7" t="s">
        <v>154</v>
      </c>
      <c r="F131" s="7"/>
      <c r="G131" s="7" t="s">
        <v>147</v>
      </c>
    </row>
    <row r="132" spans="1:7" ht="20.25" customHeight="1">
      <c r="A132" s="10">
        <v>12110</v>
      </c>
      <c r="B132" s="10">
        <v>16110</v>
      </c>
      <c r="C132" s="10">
        <f t="shared" ref="C132:C195" si="3">IF(ISERROR(FIND("B_Epic",E132)),A132,A132+10000)</f>
        <v>12110</v>
      </c>
      <c r="D132" s="10" t="s">
        <v>22</v>
      </c>
      <c r="E132" s="7"/>
      <c r="F132" s="7"/>
      <c r="G132" s="7"/>
    </row>
    <row r="133" spans="1:7" ht="20.25" customHeight="1">
      <c r="A133" s="10">
        <v>12111</v>
      </c>
      <c r="B133" s="10">
        <v>16111</v>
      </c>
      <c r="C133" s="10">
        <f t="shared" si="3"/>
        <v>12111</v>
      </c>
      <c r="D133" s="10" t="s">
        <v>22</v>
      </c>
      <c r="E133" s="7"/>
      <c r="F133" s="7"/>
      <c r="G133" s="7"/>
    </row>
    <row r="134" spans="1:7" ht="20.25" customHeight="1">
      <c r="A134" s="10">
        <v>12112</v>
      </c>
      <c r="B134" s="10">
        <v>16112</v>
      </c>
      <c r="C134" s="10">
        <f t="shared" si="3"/>
        <v>12112</v>
      </c>
      <c r="D134" s="10" t="s">
        <v>22</v>
      </c>
      <c r="E134" s="7"/>
      <c r="F134" s="7"/>
      <c r="G134" s="7"/>
    </row>
    <row r="135" spans="1:7" ht="20.25" customHeight="1">
      <c r="A135" s="10">
        <v>12113</v>
      </c>
      <c r="B135" s="10">
        <v>16113</v>
      </c>
      <c r="C135" s="10">
        <f t="shared" si="3"/>
        <v>12113</v>
      </c>
      <c r="D135" s="10" t="s">
        <v>22</v>
      </c>
      <c r="E135" s="7"/>
      <c r="F135" s="7"/>
      <c r="G135" s="7"/>
    </row>
    <row r="136" spans="1:7" ht="20.25" customHeight="1">
      <c r="A136" s="10">
        <v>12114</v>
      </c>
      <c r="B136" s="10">
        <v>16114</v>
      </c>
      <c r="C136" s="10">
        <f t="shared" si="3"/>
        <v>12114</v>
      </c>
      <c r="D136" s="10" t="s">
        <v>22</v>
      </c>
      <c r="E136" s="7"/>
      <c r="F136" s="7"/>
      <c r="G136" s="7"/>
    </row>
    <row r="137" spans="1:7" ht="20.25" customHeight="1">
      <c r="A137" s="10">
        <v>12115</v>
      </c>
      <c r="B137" s="10">
        <v>16115</v>
      </c>
      <c r="C137" s="10">
        <f t="shared" si="3"/>
        <v>12115</v>
      </c>
      <c r="D137" s="10" t="s">
        <v>22</v>
      </c>
      <c r="E137" s="7"/>
      <c r="F137" s="7"/>
      <c r="G137" s="7"/>
    </row>
    <row r="138" spans="1:7" ht="20.25" customHeight="1">
      <c r="A138" s="10">
        <v>12116</v>
      </c>
      <c r="B138" s="10">
        <v>16116</v>
      </c>
      <c r="C138" s="10">
        <f t="shared" si="3"/>
        <v>12116</v>
      </c>
      <c r="D138" s="10" t="s">
        <v>22</v>
      </c>
      <c r="E138" s="7"/>
      <c r="F138" s="7"/>
      <c r="G138" s="7"/>
    </row>
    <row r="139" spans="1:7" ht="20.25" customHeight="1">
      <c r="A139" s="10">
        <v>12117</v>
      </c>
      <c r="B139" s="10">
        <v>16117</v>
      </c>
      <c r="C139" s="10">
        <f t="shared" si="3"/>
        <v>12117</v>
      </c>
      <c r="D139" s="10" t="s">
        <v>22</v>
      </c>
      <c r="E139" s="7"/>
      <c r="F139" s="7"/>
      <c r="G139" s="7"/>
    </row>
    <row r="140" spans="1:7" ht="20.25" customHeight="1">
      <c r="A140" s="10">
        <v>12118</v>
      </c>
      <c r="B140" s="10">
        <v>16118</v>
      </c>
      <c r="C140" s="10">
        <f t="shared" si="3"/>
        <v>12118</v>
      </c>
      <c r="D140" s="10" t="s">
        <v>22</v>
      </c>
      <c r="E140" s="7"/>
      <c r="F140" s="7"/>
      <c r="G140" s="7"/>
    </row>
    <row r="141" spans="1:7" ht="20.25" customHeight="1">
      <c r="A141" s="10">
        <v>12119</v>
      </c>
      <c r="B141" s="10">
        <v>16119</v>
      </c>
      <c r="C141" s="10">
        <f t="shared" si="3"/>
        <v>12119</v>
      </c>
      <c r="D141" s="10" t="s">
        <v>22</v>
      </c>
      <c r="E141" s="7"/>
      <c r="F141" s="7"/>
      <c r="G141" s="7"/>
    </row>
    <row r="142" spans="1:7" ht="20.25" customHeight="1">
      <c r="A142" s="10">
        <v>12120</v>
      </c>
      <c r="B142" s="10">
        <v>16120</v>
      </c>
      <c r="C142" s="10">
        <f t="shared" si="3"/>
        <v>12120</v>
      </c>
      <c r="D142" s="10" t="s">
        <v>22</v>
      </c>
      <c r="E142" s="7"/>
      <c r="F142" s="7"/>
      <c r="G142" s="7"/>
    </row>
    <row r="143" spans="1:7" ht="20.25" customHeight="1">
      <c r="A143" s="10">
        <v>12121</v>
      </c>
      <c r="B143" s="10">
        <v>16121</v>
      </c>
      <c r="C143" s="10">
        <f t="shared" si="3"/>
        <v>12121</v>
      </c>
      <c r="D143" s="10" t="s">
        <v>22</v>
      </c>
      <c r="E143" s="7"/>
      <c r="F143" s="7"/>
      <c r="G143" s="7"/>
    </row>
    <row r="144" spans="1:7" ht="20.25" customHeight="1">
      <c r="A144" s="10">
        <v>12122</v>
      </c>
      <c r="B144" s="10">
        <v>16122</v>
      </c>
      <c r="C144" s="10">
        <f t="shared" si="3"/>
        <v>12122</v>
      </c>
      <c r="D144" s="10" t="s">
        <v>22</v>
      </c>
      <c r="E144" s="7"/>
      <c r="F144" s="7"/>
      <c r="G144" s="7"/>
    </row>
    <row r="145" spans="1:7" ht="20.25" customHeight="1">
      <c r="A145" s="10">
        <v>12123</v>
      </c>
      <c r="B145" s="10">
        <v>16123</v>
      </c>
      <c r="C145" s="10">
        <f t="shared" si="3"/>
        <v>12123</v>
      </c>
      <c r="D145" s="10" t="s">
        <v>22</v>
      </c>
      <c r="E145" s="7"/>
      <c r="F145" s="7"/>
      <c r="G145" s="7"/>
    </row>
    <row r="146" spans="1:7" ht="20.25" customHeight="1">
      <c r="A146" s="10">
        <v>12124</v>
      </c>
      <c r="B146" s="10">
        <v>16124</v>
      </c>
      <c r="C146" s="10">
        <f t="shared" si="3"/>
        <v>12124</v>
      </c>
      <c r="D146" s="10" t="s">
        <v>22</v>
      </c>
      <c r="E146" s="7"/>
      <c r="F146" s="7"/>
      <c r="G146" s="7"/>
    </row>
    <row r="147" spans="1:7" ht="20.25" customHeight="1">
      <c r="A147" s="10">
        <v>12125</v>
      </c>
      <c r="B147" s="10">
        <v>16125</v>
      </c>
      <c r="C147" s="10">
        <f t="shared" si="3"/>
        <v>12125</v>
      </c>
      <c r="D147" s="10" t="s">
        <v>22</v>
      </c>
      <c r="E147" s="7"/>
      <c r="F147" s="7"/>
      <c r="G147" s="7"/>
    </row>
    <row r="148" spans="1:7" ht="20.25" customHeight="1">
      <c r="A148" s="10">
        <v>12126</v>
      </c>
      <c r="B148" s="10">
        <v>16126</v>
      </c>
      <c r="C148" s="10">
        <f t="shared" si="3"/>
        <v>12126</v>
      </c>
      <c r="D148" s="10" t="s">
        <v>22</v>
      </c>
      <c r="E148" s="7"/>
      <c r="F148" s="7"/>
      <c r="G148" s="7"/>
    </row>
    <row r="149" spans="1:7" ht="20.25" customHeight="1">
      <c r="A149" s="10">
        <v>12127</v>
      </c>
      <c r="B149" s="10">
        <v>16127</v>
      </c>
      <c r="C149" s="10">
        <f t="shared" si="3"/>
        <v>12127</v>
      </c>
      <c r="D149" s="10" t="s">
        <v>22</v>
      </c>
      <c r="E149" s="7"/>
      <c r="F149" s="7"/>
      <c r="G149" s="7"/>
    </row>
    <row r="150" spans="1:7" ht="20.25" customHeight="1">
      <c r="A150" s="10">
        <v>12128</v>
      </c>
      <c r="B150" s="10">
        <v>16128</v>
      </c>
      <c r="C150" s="10">
        <f t="shared" si="3"/>
        <v>12128</v>
      </c>
      <c r="D150" s="10" t="s">
        <v>22</v>
      </c>
      <c r="E150" s="7"/>
      <c r="F150" s="7"/>
      <c r="G150" s="7"/>
    </row>
    <row r="151" spans="1:7" ht="20.25" customHeight="1">
      <c r="A151" s="10">
        <v>12129</v>
      </c>
      <c r="B151" s="10">
        <v>16129</v>
      </c>
      <c r="C151" s="10">
        <f t="shared" si="3"/>
        <v>12129</v>
      </c>
      <c r="D151" s="10" t="s">
        <v>22</v>
      </c>
      <c r="E151" s="7"/>
      <c r="F151" s="7"/>
      <c r="G151" s="7"/>
    </row>
    <row r="152" spans="1:7" ht="20.25" customHeight="1">
      <c r="A152" s="10">
        <v>12130</v>
      </c>
      <c r="B152" s="10">
        <v>16130</v>
      </c>
      <c r="C152" s="10">
        <f t="shared" si="3"/>
        <v>12130</v>
      </c>
      <c r="D152" s="10" t="s">
        <v>22</v>
      </c>
      <c r="E152" s="7"/>
      <c r="F152" s="7"/>
      <c r="G152" s="7"/>
    </row>
    <row r="153" spans="1:7" ht="20.25" customHeight="1">
      <c r="A153" s="10">
        <v>12131</v>
      </c>
      <c r="B153" s="10">
        <v>16131</v>
      </c>
      <c r="C153" s="10">
        <f t="shared" si="3"/>
        <v>12131</v>
      </c>
      <c r="D153" s="10" t="s">
        <v>22</v>
      </c>
      <c r="E153" s="7"/>
      <c r="F153" s="7"/>
      <c r="G153" s="7"/>
    </row>
    <row r="154" spans="1:7" ht="20.25" customHeight="1">
      <c r="A154" s="10">
        <v>12132</v>
      </c>
      <c r="B154" s="10">
        <v>16132</v>
      </c>
      <c r="C154" s="10">
        <f t="shared" si="3"/>
        <v>12132</v>
      </c>
      <c r="D154" s="10" t="s">
        <v>22</v>
      </c>
      <c r="E154" s="7"/>
      <c r="F154" s="7"/>
      <c r="G154" s="7"/>
    </row>
    <row r="155" spans="1:7" ht="20.25" customHeight="1">
      <c r="A155" s="10">
        <v>12133</v>
      </c>
      <c r="B155" s="10">
        <v>16133</v>
      </c>
      <c r="C155" s="10">
        <f t="shared" si="3"/>
        <v>12133</v>
      </c>
      <c r="D155" s="10" t="s">
        <v>22</v>
      </c>
      <c r="E155" s="7"/>
      <c r="F155" s="7"/>
      <c r="G155" s="7"/>
    </row>
    <row r="156" spans="1:7" ht="20.25" customHeight="1">
      <c r="A156" s="10">
        <v>12134</v>
      </c>
      <c r="B156" s="10">
        <v>16134</v>
      </c>
      <c r="C156" s="10">
        <f t="shared" si="3"/>
        <v>12134</v>
      </c>
      <c r="D156" s="10" t="s">
        <v>22</v>
      </c>
      <c r="E156" s="7"/>
      <c r="F156" s="7"/>
      <c r="G156" s="7"/>
    </row>
    <row r="157" spans="1:7" ht="20.25" customHeight="1">
      <c r="A157" s="10">
        <v>12135</v>
      </c>
      <c r="B157" s="10">
        <v>16135</v>
      </c>
      <c r="C157" s="10">
        <f t="shared" si="3"/>
        <v>12135</v>
      </c>
      <c r="D157" s="10" t="s">
        <v>22</v>
      </c>
      <c r="E157" s="7"/>
      <c r="F157" s="7"/>
      <c r="G157" s="7"/>
    </row>
    <row r="158" spans="1:7" ht="20.25" customHeight="1">
      <c r="A158" s="10">
        <v>12136</v>
      </c>
      <c r="B158" s="10">
        <v>16136</v>
      </c>
      <c r="C158" s="10">
        <f t="shared" si="3"/>
        <v>12136</v>
      </c>
      <c r="D158" s="10" t="s">
        <v>22</v>
      </c>
      <c r="E158" s="7"/>
      <c r="F158" s="7"/>
      <c r="G158" s="7"/>
    </row>
    <row r="159" spans="1:7" ht="20.25" customHeight="1">
      <c r="A159" s="10">
        <v>12137</v>
      </c>
      <c r="B159" s="10">
        <v>16137</v>
      </c>
      <c r="C159" s="10">
        <f t="shared" si="3"/>
        <v>12137</v>
      </c>
      <c r="D159" s="10" t="s">
        <v>22</v>
      </c>
      <c r="E159" s="7"/>
      <c r="F159" s="7"/>
      <c r="G159" s="7"/>
    </row>
    <row r="160" spans="1:7" ht="20.25" customHeight="1">
      <c r="A160" s="10">
        <v>12138</v>
      </c>
      <c r="B160" s="10">
        <v>16138</v>
      </c>
      <c r="C160" s="10">
        <f t="shared" si="3"/>
        <v>12138</v>
      </c>
      <c r="D160" s="10" t="s">
        <v>22</v>
      </c>
      <c r="E160" s="7"/>
      <c r="F160" s="7"/>
      <c r="G160" s="7"/>
    </row>
    <row r="161" spans="1:7" ht="20.25" customHeight="1">
      <c r="A161" s="10">
        <v>12139</v>
      </c>
      <c r="B161" s="10">
        <v>16139</v>
      </c>
      <c r="C161" s="10">
        <f t="shared" si="3"/>
        <v>12139</v>
      </c>
      <c r="D161" s="10" t="s">
        <v>22</v>
      </c>
      <c r="E161" s="7"/>
      <c r="F161" s="7"/>
      <c r="G161" s="7"/>
    </row>
    <row r="162" spans="1:7" ht="20.25" customHeight="1">
      <c r="A162" s="10">
        <v>12140</v>
      </c>
      <c r="B162" s="10">
        <v>16140</v>
      </c>
      <c r="C162" s="10">
        <f t="shared" si="3"/>
        <v>12140</v>
      </c>
      <c r="D162" s="10" t="s">
        <v>22</v>
      </c>
      <c r="E162" s="7"/>
      <c r="F162" s="7"/>
      <c r="G162" s="7"/>
    </row>
    <row r="163" spans="1:7" ht="20.25" customHeight="1">
      <c r="A163" s="10">
        <v>12141</v>
      </c>
      <c r="B163" s="10">
        <v>16141</v>
      </c>
      <c r="C163" s="10">
        <f t="shared" si="3"/>
        <v>12141</v>
      </c>
      <c r="D163" s="10" t="s">
        <v>22</v>
      </c>
      <c r="E163" s="7"/>
      <c r="F163" s="7"/>
      <c r="G163" s="7"/>
    </row>
    <row r="164" spans="1:7" ht="20.25" customHeight="1">
      <c r="A164" s="10">
        <v>12142</v>
      </c>
      <c r="B164" s="10">
        <v>16142</v>
      </c>
      <c r="C164" s="10">
        <f t="shared" si="3"/>
        <v>12142</v>
      </c>
      <c r="D164" s="10" t="s">
        <v>22</v>
      </c>
      <c r="E164" s="7"/>
      <c r="F164" s="7"/>
      <c r="G164" s="7"/>
    </row>
    <row r="165" spans="1:7" ht="20.25" customHeight="1">
      <c r="A165" s="10">
        <v>12143</v>
      </c>
      <c r="B165" s="10">
        <v>16143</v>
      </c>
      <c r="C165" s="10">
        <f t="shared" si="3"/>
        <v>12143</v>
      </c>
      <c r="D165" s="10" t="s">
        <v>22</v>
      </c>
      <c r="E165" s="7"/>
      <c r="F165" s="7"/>
      <c r="G165" s="7"/>
    </row>
    <row r="166" spans="1:7" ht="20.25" customHeight="1">
      <c r="A166" s="10">
        <v>12144</v>
      </c>
      <c r="B166" s="10">
        <v>16144</v>
      </c>
      <c r="C166" s="10">
        <f t="shared" si="3"/>
        <v>12144</v>
      </c>
      <c r="D166" s="10" t="s">
        <v>22</v>
      </c>
      <c r="E166" s="7"/>
      <c r="F166" s="7"/>
      <c r="G166" s="7"/>
    </row>
    <row r="167" spans="1:7" ht="20.25" customHeight="1">
      <c r="A167" s="10">
        <v>12145</v>
      </c>
      <c r="B167" s="10">
        <v>16145</v>
      </c>
      <c r="C167" s="10">
        <f t="shared" si="3"/>
        <v>12145</v>
      </c>
      <c r="D167" s="10" t="s">
        <v>22</v>
      </c>
      <c r="E167" s="7"/>
      <c r="F167" s="7"/>
      <c r="G167" s="7"/>
    </row>
    <row r="168" spans="1:7" ht="20.25" customHeight="1">
      <c r="A168" s="10">
        <v>12146</v>
      </c>
      <c r="B168" s="10">
        <v>16146</v>
      </c>
      <c r="C168" s="10">
        <f t="shared" si="3"/>
        <v>12146</v>
      </c>
      <c r="D168" s="10" t="s">
        <v>22</v>
      </c>
      <c r="E168" s="7"/>
      <c r="F168" s="7"/>
      <c r="G168" s="7"/>
    </row>
    <row r="169" spans="1:7" ht="20.25" customHeight="1">
      <c r="A169" s="10">
        <v>12147</v>
      </c>
      <c r="B169" s="10">
        <v>16147</v>
      </c>
      <c r="C169" s="10">
        <f t="shared" si="3"/>
        <v>12147</v>
      </c>
      <c r="D169" s="10" t="s">
        <v>22</v>
      </c>
      <c r="E169" s="7"/>
      <c r="F169" s="7"/>
      <c r="G169" s="7"/>
    </row>
    <row r="170" spans="1:7" ht="20.25" customHeight="1">
      <c r="A170" s="10">
        <v>12148</v>
      </c>
      <c r="B170" s="10">
        <v>16148</v>
      </c>
      <c r="C170" s="10">
        <f t="shared" si="3"/>
        <v>12148</v>
      </c>
      <c r="D170" s="10" t="s">
        <v>22</v>
      </c>
      <c r="E170" s="7"/>
      <c r="F170" s="7"/>
      <c r="G170" s="7"/>
    </row>
    <row r="171" spans="1:7" ht="20.25" customHeight="1">
      <c r="A171" s="10">
        <v>12149</v>
      </c>
      <c r="B171" s="10">
        <v>16149</v>
      </c>
      <c r="C171" s="10">
        <f t="shared" si="3"/>
        <v>12149</v>
      </c>
      <c r="D171" s="10" t="s">
        <v>22</v>
      </c>
      <c r="E171" s="7"/>
      <c r="F171" s="7"/>
      <c r="G171" s="7"/>
    </row>
    <row r="172" spans="1:7" ht="20.25" customHeight="1">
      <c r="A172" s="10">
        <v>12150</v>
      </c>
      <c r="B172" s="10">
        <v>16150</v>
      </c>
      <c r="C172" s="10">
        <f t="shared" si="3"/>
        <v>12150</v>
      </c>
      <c r="D172" s="10" t="s">
        <v>22</v>
      </c>
      <c r="E172" s="7"/>
      <c r="F172" s="7"/>
      <c r="G172" s="7"/>
    </row>
    <row r="173" spans="1:7" ht="20.25" customHeight="1">
      <c r="A173" s="10">
        <v>12151</v>
      </c>
      <c r="B173" s="10">
        <v>16151</v>
      </c>
      <c r="C173" s="10">
        <f t="shared" si="3"/>
        <v>12151</v>
      </c>
      <c r="D173" s="10" t="s">
        <v>17</v>
      </c>
      <c r="E173" s="7" t="s">
        <v>155</v>
      </c>
      <c r="F173" s="7"/>
      <c r="G173" s="7"/>
    </row>
    <row r="174" spans="1:7" ht="20.25" customHeight="1">
      <c r="A174" s="10">
        <v>12152</v>
      </c>
      <c r="B174" s="10">
        <v>16152</v>
      </c>
      <c r="C174" s="10">
        <f t="shared" si="3"/>
        <v>12152</v>
      </c>
      <c r="D174" s="10" t="s">
        <v>17</v>
      </c>
      <c r="E174" s="7" t="s">
        <v>156</v>
      </c>
      <c r="F174" s="7"/>
      <c r="G174" s="7"/>
    </row>
    <row r="175" spans="1:7" ht="20.25" customHeight="1">
      <c r="A175" s="10">
        <v>12153</v>
      </c>
      <c r="B175" s="10">
        <v>16153</v>
      </c>
      <c r="C175" s="10">
        <f t="shared" si="3"/>
        <v>12153</v>
      </c>
      <c r="D175" s="10" t="s">
        <v>67</v>
      </c>
      <c r="E175" s="7" t="s">
        <v>157</v>
      </c>
      <c r="F175" s="7"/>
      <c r="G175" s="7"/>
    </row>
    <row r="176" spans="1:7" ht="20.25" customHeight="1">
      <c r="A176" s="10">
        <v>12154</v>
      </c>
      <c r="B176" s="10">
        <v>16154</v>
      </c>
      <c r="C176" s="10">
        <f t="shared" si="3"/>
        <v>12154</v>
      </c>
      <c r="D176" s="10" t="s">
        <v>17</v>
      </c>
      <c r="E176" s="7" t="s">
        <v>158</v>
      </c>
      <c r="F176" s="7"/>
      <c r="G176" s="7"/>
    </row>
    <row r="177" spans="1:7" ht="20.25" customHeight="1">
      <c r="A177" s="10">
        <v>12155</v>
      </c>
      <c r="B177" s="10">
        <v>16155</v>
      </c>
      <c r="C177" s="10">
        <f t="shared" si="3"/>
        <v>12155</v>
      </c>
      <c r="D177" s="10" t="s">
        <v>17</v>
      </c>
      <c r="E177" s="7" t="s">
        <v>159</v>
      </c>
      <c r="F177" s="7"/>
      <c r="G177" s="7"/>
    </row>
    <row r="178" spans="1:7" ht="20.25" customHeight="1">
      <c r="A178" s="10">
        <v>12156</v>
      </c>
      <c r="B178" s="10">
        <v>16156</v>
      </c>
      <c r="C178" s="10">
        <f t="shared" si="3"/>
        <v>12156</v>
      </c>
      <c r="D178" s="10" t="s">
        <v>17</v>
      </c>
      <c r="E178" s="7" t="s">
        <v>160</v>
      </c>
      <c r="F178" s="7"/>
      <c r="G178" s="7"/>
    </row>
    <row r="179" spans="1:7" ht="20.25" customHeight="1">
      <c r="A179" s="10">
        <v>12157</v>
      </c>
      <c r="B179" s="10">
        <v>16157</v>
      </c>
      <c r="C179" s="10">
        <f t="shared" si="3"/>
        <v>12157</v>
      </c>
      <c r="D179" s="10" t="s">
        <v>17</v>
      </c>
      <c r="E179" s="7" t="s">
        <v>161</v>
      </c>
      <c r="F179" s="7"/>
      <c r="G179" s="7"/>
    </row>
    <row r="180" spans="1:7" ht="20.25" customHeight="1">
      <c r="A180" s="10">
        <v>12158</v>
      </c>
      <c r="B180" s="10">
        <v>16158</v>
      </c>
      <c r="C180" s="10">
        <f t="shared" si="3"/>
        <v>12158</v>
      </c>
      <c r="D180" s="10" t="s">
        <v>17</v>
      </c>
      <c r="E180" s="7" t="s">
        <v>162</v>
      </c>
      <c r="F180" s="7"/>
      <c r="G180" s="27"/>
    </row>
    <row r="181" spans="1:7" ht="20.25" customHeight="1">
      <c r="A181" s="10">
        <v>12159</v>
      </c>
      <c r="B181" s="10">
        <v>16159</v>
      </c>
      <c r="C181" s="10">
        <f t="shared" si="3"/>
        <v>12159</v>
      </c>
      <c r="D181" s="10" t="s">
        <v>17</v>
      </c>
      <c r="E181" s="7" t="s">
        <v>163</v>
      </c>
      <c r="F181" s="7"/>
      <c r="G181" s="7"/>
    </row>
    <row r="182" spans="1:7" ht="20.25" customHeight="1">
      <c r="A182" s="10">
        <v>12160</v>
      </c>
      <c r="B182" s="10">
        <v>16160</v>
      </c>
      <c r="C182" s="10">
        <f t="shared" si="3"/>
        <v>22160</v>
      </c>
      <c r="D182" s="10" t="s">
        <v>22</v>
      </c>
      <c r="E182" s="7" t="s">
        <v>164</v>
      </c>
      <c r="F182" s="5" t="s">
        <v>38</v>
      </c>
      <c r="G182" s="7"/>
    </row>
    <row r="183" spans="1:7" ht="20.25" customHeight="1">
      <c r="A183" s="10">
        <v>12161</v>
      </c>
      <c r="B183" s="10">
        <v>16161</v>
      </c>
      <c r="C183" s="10">
        <f t="shared" si="3"/>
        <v>12161</v>
      </c>
      <c r="D183" s="10" t="s">
        <v>22</v>
      </c>
      <c r="E183" s="7"/>
      <c r="F183" s="7"/>
      <c r="G183" s="7"/>
    </row>
    <row r="184" spans="1:7" ht="20.25" customHeight="1">
      <c r="A184" s="10">
        <v>12162</v>
      </c>
      <c r="B184" s="10">
        <v>16162</v>
      </c>
      <c r="C184" s="10">
        <f t="shared" si="3"/>
        <v>12162</v>
      </c>
      <c r="D184" s="10" t="s">
        <v>17</v>
      </c>
      <c r="E184" s="7" t="s">
        <v>165</v>
      </c>
      <c r="F184" s="7"/>
      <c r="G184" s="7"/>
    </row>
    <row r="185" spans="1:7" ht="20.25" customHeight="1">
      <c r="A185" s="10">
        <v>12163</v>
      </c>
      <c r="B185" s="10">
        <v>16163</v>
      </c>
      <c r="C185" s="10">
        <f t="shared" si="3"/>
        <v>22163</v>
      </c>
      <c r="D185" s="10" t="s">
        <v>22</v>
      </c>
      <c r="E185" s="7" t="s">
        <v>166</v>
      </c>
      <c r="F185" s="5" t="s">
        <v>38</v>
      </c>
      <c r="G185" s="7"/>
    </row>
    <row r="186" spans="1:7" ht="20.25" customHeight="1">
      <c r="A186" s="10">
        <v>12164</v>
      </c>
      <c r="B186" s="10">
        <v>16164</v>
      </c>
      <c r="C186" s="10">
        <f t="shared" si="3"/>
        <v>22164</v>
      </c>
      <c r="D186" s="10" t="s">
        <v>22</v>
      </c>
      <c r="E186" s="7" t="s">
        <v>167</v>
      </c>
      <c r="F186" s="5" t="s">
        <v>38</v>
      </c>
      <c r="G186" s="7"/>
    </row>
    <row r="187" spans="1:7" ht="20.25" customHeight="1">
      <c r="A187" s="10">
        <v>12165</v>
      </c>
      <c r="B187" s="10">
        <v>16165</v>
      </c>
      <c r="C187" s="10">
        <f t="shared" si="3"/>
        <v>12165</v>
      </c>
      <c r="D187" s="10" t="s">
        <v>17</v>
      </c>
      <c r="E187" s="7" t="s">
        <v>168</v>
      </c>
      <c r="F187" s="5"/>
      <c r="G187" s="27"/>
    </row>
    <row r="188" spans="1:7" ht="20.25" customHeight="1">
      <c r="A188" s="10">
        <v>12166</v>
      </c>
      <c r="B188" s="10">
        <v>16166</v>
      </c>
      <c r="C188" s="10">
        <f t="shared" si="3"/>
        <v>12166</v>
      </c>
      <c r="D188" s="10" t="s">
        <v>17</v>
      </c>
      <c r="E188" s="7" t="s">
        <v>169</v>
      </c>
      <c r="F188" s="7"/>
      <c r="G188" s="7"/>
    </row>
    <row r="189" spans="1:7" ht="20.25" customHeight="1">
      <c r="A189" s="10">
        <v>12167</v>
      </c>
      <c r="B189" s="10">
        <v>16167</v>
      </c>
      <c r="C189" s="10">
        <f t="shared" si="3"/>
        <v>22167</v>
      </c>
      <c r="D189" s="10" t="s">
        <v>22</v>
      </c>
      <c r="E189" s="7" t="s">
        <v>170</v>
      </c>
      <c r="F189" s="5" t="s">
        <v>38</v>
      </c>
      <c r="G189" s="7"/>
    </row>
    <row r="190" spans="1:7" ht="20.25" customHeight="1">
      <c r="A190" s="10">
        <v>12168</v>
      </c>
      <c r="B190" s="10">
        <v>16168</v>
      </c>
      <c r="C190" s="10">
        <f t="shared" si="3"/>
        <v>12168</v>
      </c>
      <c r="D190" s="10" t="s">
        <v>67</v>
      </c>
      <c r="E190" s="7" t="s">
        <v>171</v>
      </c>
      <c r="F190" s="7"/>
      <c r="G190" s="7" t="s">
        <v>172</v>
      </c>
    </row>
    <row r="191" spans="1:7" ht="20.25" customHeight="1">
      <c r="A191" s="10">
        <v>12169</v>
      </c>
      <c r="B191" s="10">
        <v>16169</v>
      </c>
      <c r="C191" s="10">
        <f t="shared" si="3"/>
        <v>12169</v>
      </c>
      <c r="D191" s="10" t="s">
        <v>67</v>
      </c>
      <c r="E191" s="7" t="s">
        <v>173</v>
      </c>
      <c r="F191" s="7"/>
      <c r="G191" s="7" t="s">
        <v>172</v>
      </c>
    </row>
    <row r="192" spans="1:7" ht="20.25" customHeight="1">
      <c r="A192" s="10">
        <v>12170</v>
      </c>
      <c r="B192" s="10">
        <v>16170</v>
      </c>
      <c r="C192" s="10">
        <f t="shared" si="3"/>
        <v>12170</v>
      </c>
      <c r="D192" s="10" t="s">
        <v>17</v>
      </c>
      <c r="E192" s="7" t="s">
        <v>174</v>
      </c>
      <c r="F192" s="7"/>
      <c r="G192" s="7"/>
    </row>
    <row r="193" spans="1:7" ht="20.25" customHeight="1">
      <c r="A193" s="10">
        <v>12171</v>
      </c>
      <c r="B193" s="10">
        <v>16171</v>
      </c>
      <c r="C193" s="10">
        <f t="shared" si="3"/>
        <v>12171</v>
      </c>
      <c r="D193" s="10" t="s">
        <v>67</v>
      </c>
      <c r="E193" s="7" t="s">
        <v>175</v>
      </c>
      <c r="F193" s="7"/>
      <c r="G193" s="7"/>
    </row>
    <row r="194" spans="1:7" ht="20.25" customHeight="1">
      <c r="A194" s="10">
        <v>12172</v>
      </c>
      <c r="B194" s="10">
        <v>16172</v>
      </c>
      <c r="C194" s="10">
        <f t="shared" si="3"/>
        <v>12172</v>
      </c>
      <c r="D194" s="10" t="s">
        <v>17</v>
      </c>
      <c r="E194" s="7" t="s">
        <v>176</v>
      </c>
      <c r="F194" s="7"/>
      <c r="G194" s="27"/>
    </row>
    <row r="195" spans="1:7" ht="20.25" customHeight="1">
      <c r="A195" s="10">
        <v>12173</v>
      </c>
      <c r="B195" s="10">
        <v>16173</v>
      </c>
      <c r="C195" s="10">
        <f t="shared" si="3"/>
        <v>12173</v>
      </c>
      <c r="D195" s="10" t="s">
        <v>17</v>
      </c>
      <c r="E195" s="7" t="s">
        <v>177</v>
      </c>
      <c r="F195" s="7"/>
      <c r="G195" s="27"/>
    </row>
    <row r="196" spans="1:7" ht="20.25" customHeight="1">
      <c r="A196" s="10">
        <v>12174</v>
      </c>
      <c r="B196" s="10">
        <v>16174</v>
      </c>
      <c r="C196" s="10">
        <f t="shared" ref="C196:C258" si="4">IF(ISERROR(FIND("B_Epic",E196)),A196,A196+10000)</f>
        <v>12174</v>
      </c>
      <c r="D196" s="10" t="s">
        <v>17</v>
      </c>
      <c r="E196" s="7" t="s">
        <v>178</v>
      </c>
      <c r="F196" s="7"/>
      <c r="G196" s="27"/>
    </row>
    <row r="197" spans="1:7" ht="20.25" customHeight="1">
      <c r="A197" s="10">
        <v>12175</v>
      </c>
      <c r="B197" s="10">
        <v>16175</v>
      </c>
      <c r="C197" s="10">
        <f t="shared" si="4"/>
        <v>12175</v>
      </c>
      <c r="D197" s="10" t="s">
        <v>17</v>
      </c>
      <c r="E197" s="7" t="s">
        <v>179</v>
      </c>
      <c r="F197" s="7"/>
      <c r="G197" s="27"/>
    </row>
    <row r="198" spans="1:7" ht="20.25" customHeight="1">
      <c r="A198" s="10">
        <v>12176</v>
      </c>
      <c r="B198" s="10">
        <v>16176</v>
      </c>
      <c r="C198" s="10">
        <f t="shared" si="4"/>
        <v>22176</v>
      </c>
      <c r="D198" s="10" t="s">
        <v>22</v>
      </c>
      <c r="E198" s="7" t="s">
        <v>180</v>
      </c>
      <c r="F198" s="5" t="s">
        <v>38</v>
      </c>
      <c r="G198" s="22"/>
    </row>
    <row r="199" spans="1:7" ht="20.25" customHeight="1">
      <c r="A199" s="10">
        <v>12177</v>
      </c>
      <c r="B199" s="10">
        <v>16177</v>
      </c>
      <c r="C199" s="10">
        <f t="shared" si="4"/>
        <v>12177</v>
      </c>
      <c r="D199" s="10" t="s">
        <v>17</v>
      </c>
      <c r="E199" s="7" t="s">
        <v>181</v>
      </c>
      <c r="F199" s="7"/>
      <c r="G199" s="22" t="s">
        <v>182</v>
      </c>
    </row>
    <row r="200" spans="1:7" ht="20.25" customHeight="1">
      <c r="A200" s="10">
        <v>12178</v>
      </c>
      <c r="B200" s="10">
        <v>16178</v>
      </c>
      <c r="C200" s="10">
        <f t="shared" si="4"/>
        <v>12178</v>
      </c>
      <c r="D200" s="10" t="s">
        <v>17</v>
      </c>
      <c r="E200" s="7" t="s">
        <v>183</v>
      </c>
      <c r="F200" s="7"/>
      <c r="G200" s="7"/>
    </row>
    <row r="201" spans="1:7" ht="20.25" customHeight="1">
      <c r="A201" s="10">
        <v>12179</v>
      </c>
      <c r="B201" s="10">
        <v>16179</v>
      </c>
      <c r="C201" s="10">
        <f t="shared" si="4"/>
        <v>12179</v>
      </c>
      <c r="D201" s="10" t="s">
        <v>17</v>
      </c>
      <c r="E201" s="7" t="s">
        <v>184</v>
      </c>
      <c r="F201" s="7"/>
      <c r="G201" s="7"/>
    </row>
    <row r="202" spans="1:7" ht="20.25" customHeight="1">
      <c r="A202" s="10">
        <v>12180</v>
      </c>
      <c r="B202" s="10">
        <v>16180</v>
      </c>
      <c r="C202" s="10">
        <f t="shared" si="4"/>
        <v>12180</v>
      </c>
      <c r="D202" s="10" t="s">
        <v>17</v>
      </c>
      <c r="E202" s="7" t="s">
        <v>185</v>
      </c>
      <c r="F202" s="7"/>
      <c r="G202" s="7"/>
    </row>
    <row r="203" spans="1:7" ht="20.25" customHeight="1">
      <c r="A203" s="10">
        <v>12181</v>
      </c>
      <c r="B203" s="10">
        <v>16181</v>
      </c>
      <c r="C203" s="10">
        <f t="shared" si="4"/>
        <v>12181</v>
      </c>
      <c r="D203" s="10" t="s">
        <v>17</v>
      </c>
      <c r="E203" s="7" t="s">
        <v>186</v>
      </c>
      <c r="F203" s="7"/>
      <c r="G203" s="7"/>
    </row>
    <row r="204" spans="1:7" ht="20.25" customHeight="1">
      <c r="A204" s="10">
        <v>12182</v>
      </c>
      <c r="B204" s="10">
        <v>16182</v>
      </c>
      <c r="C204" s="10">
        <f t="shared" si="4"/>
        <v>12182</v>
      </c>
      <c r="D204" s="10" t="s">
        <v>17</v>
      </c>
      <c r="E204" s="7" t="s">
        <v>187</v>
      </c>
      <c r="F204" s="7"/>
      <c r="G204" s="7"/>
    </row>
    <row r="205" spans="1:7" ht="20.25" customHeight="1">
      <c r="A205" s="10">
        <v>12183</v>
      </c>
      <c r="B205" s="10">
        <v>16183</v>
      </c>
      <c r="C205" s="10">
        <f t="shared" si="4"/>
        <v>12183</v>
      </c>
      <c r="D205" s="10" t="s">
        <v>17</v>
      </c>
      <c r="E205" s="7" t="s">
        <v>188</v>
      </c>
      <c r="F205" s="7"/>
      <c r="G205" s="7"/>
    </row>
    <row r="206" spans="1:7" ht="20.25" customHeight="1">
      <c r="A206" s="10">
        <v>12184</v>
      </c>
      <c r="B206" s="10">
        <v>16184</v>
      </c>
      <c r="C206" s="10">
        <f t="shared" si="4"/>
        <v>12184</v>
      </c>
      <c r="D206" s="10" t="s">
        <v>17</v>
      </c>
      <c r="E206" s="7" t="s">
        <v>189</v>
      </c>
      <c r="F206" s="7"/>
      <c r="G206" s="7"/>
    </row>
    <row r="207" spans="1:7" ht="20.25" customHeight="1">
      <c r="A207" s="10">
        <v>12185</v>
      </c>
      <c r="B207" s="10">
        <v>16185</v>
      </c>
      <c r="C207" s="10">
        <f t="shared" si="4"/>
        <v>12185</v>
      </c>
      <c r="D207" s="10" t="str">
        <f>D206</f>
        <v>CP5</v>
      </c>
      <c r="E207" s="7" t="s">
        <v>190</v>
      </c>
      <c r="F207" s="7"/>
      <c r="G207" s="7">
        <v>49584166</v>
      </c>
    </row>
    <row r="208" spans="1:7" ht="20.25" customHeight="1">
      <c r="A208" s="10">
        <v>12186</v>
      </c>
      <c r="B208" s="10">
        <v>16186</v>
      </c>
      <c r="C208" s="10">
        <f t="shared" si="4"/>
        <v>12186</v>
      </c>
      <c r="D208" s="10" t="s">
        <v>17</v>
      </c>
      <c r="E208" s="7" t="s">
        <v>191</v>
      </c>
      <c r="F208" s="7"/>
      <c r="G208" s="7">
        <v>49584166</v>
      </c>
    </row>
    <row r="209" spans="1:7" ht="20.25" customHeight="1">
      <c r="A209" s="10">
        <v>12187</v>
      </c>
      <c r="B209" s="10">
        <v>16187</v>
      </c>
      <c r="C209" s="10">
        <f t="shared" si="4"/>
        <v>22187</v>
      </c>
      <c r="D209" s="10" t="s">
        <v>22</v>
      </c>
      <c r="E209" s="7" t="s">
        <v>192</v>
      </c>
      <c r="F209" s="5" t="s">
        <v>38</v>
      </c>
      <c r="G209" s="7"/>
    </row>
    <row r="210" spans="1:7" ht="20.25" customHeight="1">
      <c r="A210" s="10">
        <v>12188</v>
      </c>
      <c r="B210" s="10">
        <v>16188</v>
      </c>
      <c r="C210" s="10">
        <f t="shared" si="4"/>
        <v>22188</v>
      </c>
      <c r="D210" s="10" t="s">
        <v>22</v>
      </c>
      <c r="E210" s="7" t="s">
        <v>193</v>
      </c>
      <c r="F210" s="5" t="s">
        <v>38</v>
      </c>
      <c r="G210" s="7"/>
    </row>
    <row r="211" spans="1:7" ht="20.25" customHeight="1">
      <c r="A211" s="10">
        <v>12189</v>
      </c>
      <c r="B211" s="10">
        <v>16189</v>
      </c>
      <c r="C211" s="10">
        <f t="shared" si="4"/>
        <v>12189</v>
      </c>
      <c r="D211" s="10" t="s">
        <v>22</v>
      </c>
      <c r="E211" s="7"/>
      <c r="F211" s="10"/>
      <c r="G211" s="7"/>
    </row>
    <row r="212" spans="1:7" ht="20.25" customHeight="1">
      <c r="A212" s="10">
        <v>12190</v>
      </c>
      <c r="B212" s="10">
        <v>16190</v>
      </c>
      <c r="C212" s="10">
        <f t="shared" si="4"/>
        <v>12190</v>
      </c>
      <c r="D212" s="10" t="s">
        <v>17</v>
      </c>
      <c r="E212" s="7" t="s">
        <v>194</v>
      </c>
      <c r="F212" s="10"/>
      <c r="G212" s="7"/>
    </row>
    <row r="213" spans="1:7" ht="20.25" customHeight="1">
      <c r="A213" s="10">
        <v>12191</v>
      </c>
      <c r="B213" s="10">
        <v>16191</v>
      </c>
      <c r="C213" s="10">
        <f t="shared" si="4"/>
        <v>12191</v>
      </c>
      <c r="D213" s="10" t="s">
        <v>17</v>
      </c>
      <c r="E213" s="7" t="s">
        <v>195</v>
      </c>
      <c r="F213" s="10"/>
      <c r="G213" s="22"/>
    </row>
    <row r="214" spans="1:7" ht="20.25" customHeight="1">
      <c r="A214" s="10">
        <v>12192</v>
      </c>
      <c r="B214" s="10">
        <v>16192</v>
      </c>
      <c r="C214" s="10">
        <f t="shared" si="4"/>
        <v>12192</v>
      </c>
      <c r="D214" s="10" t="s">
        <v>22</v>
      </c>
      <c r="E214" s="7" t="s">
        <v>196</v>
      </c>
      <c r="F214" s="10"/>
      <c r="G214" s="22"/>
    </row>
    <row r="215" spans="1:7" ht="20.25" customHeight="1">
      <c r="A215" s="10">
        <v>12193</v>
      </c>
      <c r="B215" s="10">
        <v>16193</v>
      </c>
      <c r="C215" s="10">
        <f t="shared" si="4"/>
        <v>12193</v>
      </c>
      <c r="D215" s="10" t="s">
        <v>22</v>
      </c>
      <c r="E215" s="7" t="s">
        <v>197</v>
      </c>
      <c r="F215" s="10"/>
      <c r="G215" s="22"/>
    </row>
    <row r="216" spans="1:7" ht="20.25" customHeight="1">
      <c r="A216" s="10">
        <v>12194</v>
      </c>
      <c r="B216" s="10">
        <v>16194</v>
      </c>
      <c r="C216" s="10">
        <f t="shared" si="4"/>
        <v>12194</v>
      </c>
      <c r="D216" s="10" t="s">
        <v>17</v>
      </c>
      <c r="E216" s="7" t="s">
        <v>198</v>
      </c>
      <c r="F216" s="10"/>
      <c r="G216" s="7"/>
    </row>
    <row r="217" spans="1:7" ht="20.25" customHeight="1">
      <c r="A217" s="10">
        <v>12195</v>
      </c>
      <c r="B217" s="10">
        <v>16195</v>
      </c>
      <c r="C217" s="10">
        <f t="shared" si="4"/>
        <v>12195</v>
      </c>
      <c r="D217" s="10" t="s">
        <v>17</v>
      </c>
      <c r="E217" s="7" t="s">
        <v>199</v>
      </c>
      <c r="F217" s="7"/>
      <c r="G217" s="7"/>
    </row>
    <row r="218" spans="1:7" ht="20.25" customHeight="1">
      <c r="A218" s="10">
        <v>12196</v>
      </c>
      <c r="B218" s="10">
        <v>16196</v>
      </c>
      <c r="C218" s="10">
        <f t="shared" si="4"/>
        <v>12196</v>
      </c>
      <c r="D218" s="10" t="s">
        <v>17</v>
      </c>
      <c r="E218" s="7" t="s">
        <v>200</v>
      </c>
      <c r="F218" s="7"/>
      <c r="G218" s="7"/>
    </row>
    <row r="219" spans="1:7" ht="20.25" customHeight="1">
      <c r="A219" s="10">
        <v>12197</v>
      </c>
      <c r="B219" s="10">
        <v>16197</v>
      </c>
      <c r="C219" s="10">
        <f t="shared" si="4"/>
        <v>22197</v>
      </c>
      <c r="D219" s="10" t="s">
        <v>22</v>
      </c>
      <c r="E219" s="7" t="s">
        <v>201</v>
      </c>
      <c r="F219" s="5" t="s">
        <v>38</v>
      </c>
      <c r="G219" s="7"/>
    </row>
    <row r="220" spans="1:7" ht="20.25" customHeight="1">
      <c r="A220" s="10">
        <v>12198</v>
      </c>
      <c r="B220" s="10">
        <v>16198</v>
      </c>
      <c r="C220" s="10">
        <f t="shared" si="4"/>
        <v>22198</v>
      </c>
      <c r="D220" s="10" t="s">
        <v>22</v>
      </c>
      <c r="E220" s="7" t="s">
        <v>202</v>
      </c>
      <c r="F220" s="5" t="s">
        <v>38</v>
      </c>
      <c r="G220" s="7"/>
    </row>
    <row r="221" spans="1:7" ht="20.25" customHeight="1">
      <c r="A221" s="10">
        <v>12199</v>
      </c>
      <c r="B221" s="10">
        <v>16199</v>
      </c>
      <c r="C221" s="10">
        <f t="shared" si="4"/>
        <v>22199</v>
      </c>
      <c r="D221" s="10" t="s">
        <v>22</v>
      </c>
      <c r="E221" s="7" t="s">
        <v>203</v>
      </c>
      <c r="F221" s="5" t="s">
        <v>38</v>
      </c>
      <c r="G221" s="7"/>
    </row>
    <row r="222" spans="1:7" ht="20.25" customHeight="1">
      <c r="A222" s="10">
        <v>12200</v>
      </c>
      <c r="B222" s="10">
        <v>16200</v>
      </c>
      <c r="C222" s="10">
        <f t="shared" si="4"/>
        <v>12200</v>
      </c>
      <c r="D222" s="10" t="s">
        <v>17</v>
      </c>
      <c r="E222" s="7" t="s">
        <v>204</v>
      </c>
      <c r="F222" s="7"/>
      <c r="G222" s="22"/>
    </row>
    <row r="223" spans="1:7" ht="20.25" customHeight="1">
      <c r="A223" s="10">
        <v>12201</v>
      </c>
      <c r="B223" s="10">
        <v>16201</v>
      </c>
      <c r="C223" s="10">
        <f t="shared" si="4"/>
        <v>22201</v>
      </c>
      <c r="D223" s="10" t="s">
        <v>22</v>
      </c>
      <c r="E223" s="7" t="s">
        <v>205</v>
      </c>
      <c r="F223" s="5" t="s">
        <v>38</v>
      </c>
      <c r="G223" s="7"/>
    </row>
    <row r="224" spans="1:7" ht="20.25" customHeight="1">
      <c r="A224" s="10">
        <v>12202</v>
      </c>
      <c r="B224" s="10">
        <v>16202</v>
      </c>
      <c r="C224" s="10">
        <f t="shared" si="4"/>
        <v>22202</v>
      </c>
      <c r="D224" s="10" t="s">
        <v>22</v>
      </c>
      <c r="E224" s="7" t="s">
        <v>206</v>
      </c>
      <c r="F224" s="5" t="s">
        <v>38</v>
      </c>
      <c r="G224" s="7"/>
    </row>
    <row r="225" spans="1:7" ht="20.25" customHeight="1">
      <c r="A225" s="10">
        <v>12203</v>
      </c>
      <c r="B225" s="10">
        <v>16203</v>
      </c>
      <c r="C225" s="10">
        <f t="shared" si="4"/>
        <v>22203</v>
      </c>
      <c r="D225" s="10" t="s">
        <v>22</v>
      </c>
      <c r="E225" s="7" t="s">
        <v>207</v>
      </c>
      <c r="F225" s="5" t="s">
        <v>38</v>
      </c>
      <c r="G225" s="7"/>
    </row>
    <row r="226" spans="1:7" ht="20.25" customHeight="1">
      <c r="A226" s="10">
        <v>12204</v>
      </c>
      <c r="B226" s="10">
        <v>16204</v>
      </c>
      <c r="C226" s="10">
        <f t="shared" si="4"/>
        <v>22204</v>
      </c>
      <c r="D226" s="10" t="s">
        <v>22</v>
      </c>
      <c r="E226" s="7" t="s">
        <v>208</v>
      </c>
      <c r="F226" s="5" t="s">
        <v>38</v>
      </c>
      <c r="G226" s="7"/>
    </row>
    <row r="227" spans="1:7" ht="20.25" customHeight="1">
      <c r="A227" s="10">
        <v>12205</v>
      </c>
      <c r="B227" s="10">
        <v>16205</v>
      </c>
      <c r="C227" s="10">
        <f t="shared" si="4"/>
        <v>22205</v>
      </c>
      <c r="D227" s="10" t="s">
        <v>22</v>
      </c>
      <c r="E227" s="7" t="s">
        <v>209</v>
      </c>
      <c r="F227" s="5" t="s">
        <v>38</v>
      </c>
      <c r="G227" s="7"/>
    </row>
    <row r="228" spans="1:7" ht="20.25" customHeight="1">
      <c r="A228" s="10">
        <v>12206</v>
      </c>
      <c r="B228" s="10">
        <v>16206</v>
      </c>
      <c r="C228" s="10">
        <f t="shared" si="4"/>
        <v>22206</v>
      </c>
      <c r="D228" s="10" t="s">
        <v>22</v>
      </c>
      <c r="E228" s="7" t="s">
        <v>210</v>
      </c>
      <c r="F228" s="5" t="s">
        <v>38</v>
      </c>
      <c r="G228" s="7"/>
    </row>
    <row r="229" spans="1:7" ht="20.25" customHeight="1">
      <c r="A229" s="10">
        <v>12207</v>
      </c>
      <c r="B229" s="10">
        <v>16207</v>
      </c>
      <c r="C229" s="10">
        <f t="shared" si="4"/>
        <v>22207</v>
      </c>
      <c r="D229" s="10" t="s">
        <v>22</v>
      </c>
      <c r="E229" s="7" t="s">
        <v>211</v>
      </c>
      <c r="F229" s="5" t="s">
        <v>38</v>
      </c>
      <c r="G229" s="7"/>
    </row>
    <row r="230" spans="1:7" ht="20.25" customHeight="1">
      <c r="A230" s="10">
        <v>12208</v>
      </c>
      <c r="B230" s="10">
        <v>16208</v>
      </c>
      <c r="C230" s="10">
        <f t="shared" si="4"/>
        <v>22208</v>
      </c>
      <c r="D230" s="10" t="s">
        <v>22</v>
      </c>
      <c r="E230" s="7" t="s">
        <v>212</v>
      </c>
      <c r="F230" s="5" t="s">
        <v>38</v>
      </c>
      <c r="G230" s="7"/>
    </row>
    <row r="231" spans="1:7" ht="20.25" customHeight="1">
      <c r="A231" s="10">
        <v>12209</v>
      </c>
      <c r="B231" s="10">
        <v>16209</v>
      </c>
      <c r="C231" s="10">
        <f t="shared" si="4"/>
        <v>22209</v>
      </c>
      <c r="D231" s="10" t="s">
        <v>22</v>
      </c>
      <c r="E231" s="7" t="s">
        <v>213</v>
      </c>
      <c r="F231" s="5" t="s">
        <v>38</v>
      </c>
      <c r="G231" s="7"/>
    </row>
    <row r="232" spans="1:7" ht="20.25" customHeight="1">
      <c r="A232" s="10">
        <v>12210</v>
      </c>
      <c r="B232" s="10">
        <v>16210</v>
      </c>
      <c r="C232" s="10">
        <f t="shared" si="4"/>
        <v>22210</v>
      </c>
      <c r="D232" s="10" t="s">
        <v>22</v>
      </c>
      <c r="E232" s="7" t="s">
        <v>214</v>
      </c>
      <c r="F232" s="5" t="s">
        <v>38</v>
      </c>
      <c r="G232" s="7"/>
    </row>
    <row r="233" spans="1:7" ht="20.25" customHeight="1">
      <c r="A233" s="10">
        <v>12211</v>
      </c>
      <c r="B233" s="10">
        <v>16211</v>
      </c>
      <c r="C233" s="10">
        <f t="shared" si="4"/>
        <v>22211</v>
      </c>
      <c r="D233" s="10" t="s">
        <v>22</v>
      </c>
      <c r="E233" s="7" t="s">
        <v>215</v>
      </c>
      <c r="F233" s="5" t="s">
        <v>38</v>
      </c>
      <c r="G233" s="27"/>
    </row>
    <row r="234" spans="1:7" ht="20.25" customHeight="1">
      <c r="A234" s="10">
        <v>12212</v>
      </c>
      <c r="B234" s="10">
        <v>16212</v>
      </c>
      <c r="C234" s="10">
        <f t="shared" si="4"/>
        <v>12212</v>
      </c>
      <c r="D234" s="10" t="s">
        <v>17</v>
      </c>
      <c r="E234" s="7" t="s">
        <v>216</v>
      </c>
      <c r="F234" s="7"/>
      <c r="G234" s="27"/>
    </row>
    <row r="235" spans="1:7" ht="20.25" customHeight="1">
      <c r="A235" s="10">
        <v>12213</v>
      </c>
      <c r="B235" s="10">
        <v>16213</v>
      </c>
      <c r="C235" s="10">
        <f t="shared" si="4"/>
        <v>12213</v>
      </c>
      <c r="D235" s="10" t="s">
        <v>17</v>
      </c>
      <c r="E235" s="7" t="s">
        <v>217</v>
      </c>
      <c r="F235" s="5"/>
      <c r="G235" s="27"/>
    </row>
    <row r="236" spans="1:7" ht="20.25" customHeight="1">
      <c r="A236" s="10">
        <v>12214</v>
      </c>
      <c r="B236" s="10">
        <v>16214</v>
      </c>
      <c r="C236" s="10">
        <f t="shared" si="4"/>
        <v>12214</v>
      </c>
      <c r="D236" s="10" t="s">
        <v>17</v>
      </c>
      <c r="E236" s="7" t="s">
        <v>218</v>
      </c>
      <c r="F236" s="7"/>
      <c r="G236" s="27"/>
    </row>
    <row r="237" spans="1:7" ht="20.25" customHeight="1">
      <c r="A237" s="10">
        <v>12215</v>
      </c>
      <c r="B237" s="10">
        <v>16215</v>
      </c>
      <c r="C237" s="10">
        <f t="shared" si="4"/>
        <v>12215</v>
      </c>
      <c r="D237" s="10" t="s">
        <v>17</v>
      </c>
      <c r="E237" s="7" t="s">
        <v>219</v>
      </c>
      <c r="F237" s="7"/>
      <c r="G237" s="27"/>
    </row>
    <row r="238" spans="1:7" ht="20.25" customHeight="1">
      <c r="A238" s="10">
        <v>12216</v>
      </c>
      <c r="B238" s="10">
        <v>16216</v>
      </c>
      <c r="C238" s="10">
        <f t="shared" si="4"/>
        <v>12216</v>
      </c>
      <c r="D238" s="10" t="s">
        <v>17</v>
      </c>
      <c r="E238" s="7" t="s">
        <v>220</v>
      </c>
      <c r="F238" s="7" t="s">
        <v>221</v>
      </c>
      <c r="G238" s="7"/>
    </row>
    <row r="239" spans="1:7" ht="20.25" customHeight="1">
      <c r="A239" s="10">
        <v>12217</v>
      </c>
      <c r="B239" s="10">
        <v>16217</v>
      </c>
      <c r="C239" s="10">
        <f t="shared" si="4"/>
        <v>12217</v>
      </c>
      <c r="D239" s="10" t="s">
        <v>17</v>
      </c>
      <c r="E239" s="7" t="s">
        <v>222</v>
      </c>
      <c r="F239" s="7"/>
      <c r="G239" s="27"/>
    </row>
    <row r="240" spans="1:7" ht="20.25" customHeight="1">
      <c r="A240" s="10">
        <v>12218</v>
      </c>
      <c r="B240" s="10">
        <v>16218</v>
      </c>
      <c r="C240" s="10">
        <f t="shared" si="4"/>
        <v>12218</v>
      </c>
      <c r="D240" s="10" t="s">
        <v>17</v>
      </c>
      <c r="E240" s="7" t="s">
        <v>223</v>
      </c>
      <c r="F240" s="7"/>
      <c r="G240" s="27"/>
    </row>
    <row r="241" spans="1:7" ht="20.25" customHeight="1">
      <c r="A241" s="10">
        <v>12219</v>
      </c>
      <c r="B241" s="10">
        <v>16219</v>
      </c>
      <c r="C241" s="10">
        <f t="shared" si="4"/>
        <v>12219</v>
      </c>
      <c r="D241" s="10" t="s">
        <v>17</v>
      </c>
      <c r="E241" s="7" t="s">
        <v>224</v>
      </c>
      <c r="F241" s="7"/>
      <c r="G241" s="27"/>
    </row>
    <row r="242" spans="1:7" ht="20.25" customHeight="1">
      <c r="A242" s="10">
        <v>12220</v>
      </c>
      <c r="B242" s="10">
        <v>16220</v>
      </c>
      <c r="C242" s="10">
        <f t="shared" si="4"/>
        <v>12220</v>
      </c>
      <c r="D242" s="10" t="s">
        <v>17</v>
      </c>
      <c r="E242" s="7" t="s">
        <v>225</v>
      </c>
      <c r="F242" s="7"/>
      <c r="G242" s="7"/>
    </row>
    <row r="243" spans="1:7" ht="20.25" customHeight="1">
      <c r="A243" s="10">
        <v>12221</v>
      </c>
      <c r="B243" s="10">
        <v>16221</v>
      </c>
      <c r="C243" s="10">
        <f t="shared" si="4"/>
        <v>12221</v>
      </c>
      <c r="D243" s="10"/>
      <c r="E243" s="7" t="s">
        <v>226</v>
      </c>
      <c r="F243" s="7"/>
      <c r="G243" s="7"/>
    </row>
    <row r="244" spans="1:7" ht="20.25" customHeight="1">
      <c r="A244" s="10">
        <v>12222</v>
      </c>
      <c r="B244" s="10">
        <v>16222</v>
      </c>
      <c r="C244" s="10">
        <f t="shared" si="4"/>
        <v>12222</v>
      </c>
      <c r="D244" s="10" t="s">
        <v>17</v>
      </c>
      <c r="E244" s="7" t="s">
        <v>227</v>
      </c>
      <c r="F244" s="7"/>
      <c r="G244" s="7"/>
    </row>
    <row r="245" spans="1:7" ht="20.25" customHeight="1">
      <c r="A245" s="10">
        <v>12223</v>
      </c>
      <c r="B245" s="10">
        <v>16223</v>
      </c>
      <c r="C245" s="10">
        <f t="shared" si="4"/>
        <v>12223</v>
      </c>
      <c r="D245" s="10" t="s">
        <v>17</v>
      </c>
      <c r="E245" s="7" t="s">
        <v>228</v>
      </c>
      <c r="F245" s="7"/>
      <c r="G245" s="7"/>
    </row>
    <row r="246" spans="1:7" ht="20.25" customHeight="1">
      <c r="A246" s="10">
        <v>12224</v>
      </c>
      <c r="B246" s="10">
        <v>16224</v>
      </c>
      <c r="C246" s="10">
        <f t="shared" si="4"/>
        <v>12224</v>
      </c>
      <c r="D246" s="10" t="s">
        <v>17</v>
      </c>
      <c r="E246" s="7" t="s">
        <v>229</v>
      </c>
      <c r="F246" s="7"/>
      <c r="G246" s="7"/>
    </row>
    <row r="247" spans="1:7" ht="20.25" customHeight="1">
      <c r="A247" s="10">
        <v>12225</v>
      </c>
      <c r="B247" s="10">
        <v>16225</v>
      </c>
      <c r="C247" s="10">
        <f t="shared" si="4"/>
        <v>12225</v>
      </c>
      <c r="D247" s="10" t="s">
        <v>17</v>
      </c>
      <c r="E247" s="7" t="s">
        <v>230</v>
      </c>
      <c r="F247" s="7"/>
      <c r="G247" s="7"/>
    </row>
    <row r="248" spans="1:7" ht="20.25" customHeight="1">
      <c r="A248" s="10">
        <v>12226</v>
      </c>
      <c r="B248" s="10">
        <v>16226</v>
      </c>
      <c r="C248" s="10">
        <f t="shared" si="4"/>
        <v>12226</v>
      </c>
      <c r="D248" s="10" t="s">
        <v>17</v>
      </c>
      <c r="E248" s="7" t="s">
        <v>231</v>
      </c>
      <c r="F248" s="7"/>
      <c r="G248" s="7"/>
    </row>
    <row r="249" spans="1:7" ht="20.25" customHeight="1">
      <c r="A249" s="10">
        <v>12227</v>
      </c>
      <c r="B249" s="10">
        <v>16227</v>
      </c>
      <c r="C249" s="10">
        <f t="shared" si="4"/>
        <v>22227</v>
      </c>
      <c r="D249" s="10" t="s">
        <v>22</v>
      </c>
      <c r="E249" s="7" t="s">
        <v>232</v>
      </c>
      <c r="F249" s="5" t="s">
        <v>38</v>
      </c>
      <c r="G249" s="7"/>
    </row>
    <row r="250" spans="1:7" ht="20.25" customHeight="1">
      <c r="A250" s="10">
        <v>12228</v>
      </c>
      <c r="B250" s="10">
        <v>16228</v>
      </c>
      <c r="C250" s="10">
        <f t="shared" si="4"/>
        <v>12228</v>
      </c>
      <c r="D250" s="10" t="s">
        <v>17</v>
      </c>
      <c r="E250" s="7" t="s">
        <v>233</v>
      </c>
      <c r="F250" s="7"/>
      <c r="G250" s="22"/>
    </row>
    <row r="251" spans="1:7" ht="20.25" customHeight="1">
      <c r="A251" s="10">
        <v>12229</v>
      </c>
      <c r="B251" s="10">
        <v>16229</v>
      </c>
      <c r="C251" s="10">
        <f t="shared" si="4"/>
        <v>12229</v>
      </c>
      <c r="D251" s="10" t="s">
        <v>17</v>
      </c>
      <c r="E251" s="7" t="s">
        <v>234</v>
      </c>
      <c r="F251" s="7"/>
      <c r="G251" s="7"/>
    </row>
    <row r="252" spans="1:7" ht="20.25" customHeight="1">
      <c r="A252" s="10">
        <v>12230</v>
      </c>
      <c r="B252" s="10">
        <v>17210</v>
      </c>
      <c r="C252" s="10">
        <f t="shared" si="4"/>
        <v>12230</v>
      </c>
      <c r="D252" s="10" t="s">
        <v>17</v>
      </c>
      <c r="E252" s="7" t="s">
        <v>235</v>
      </c>
      <c r="F252" s="7"/>
      <c r="G252" s="7"/>
    </row>
    <row r="253" spans="1:7" ht="20.25" customHeight="1">
      <c r="A253" s="10">
        <v>12231</v>
      </c>
      <c r="B253" s="10">
        <v>16231</v>
      </c>
      <c r="C253" s="10">
        <f t="shared" si="4"/>
        <v>22231</v>
      </c>
      <c r="D253" s="10" t="s">
        <v>22</v>
      </c>
      <c r="E253" s="7" t="s">
        <v>236</v>
      </c>
      <c r="F253" s="5" t="s">
        <v>38</v>
      </c>
      <c r="G253" s="27"/>
    </row>
    <row r="254" spans="1:7" ht="20.25" customHeight="1">
      <c r="A254" s="10">
        <v>12232</v>
      </c>
      <c r="B254" s="10">
        <v>16232</v>
      </c>
      <c r="C254" s="10">
        <f t="shared" si="4"/>
        <v>12232</v>
      </c>
      <c r="D254" s="10" t="s">
        <v>17</v>
      </c>
      <c r="E254" s="7" t="s">
        <v>237</v>
      </c>
      <c r="F254" s="7"/>
      <c r="G254" s="27"/>
    </row>
    <row r="255" spans="1:7" ht="20.25" customHeight="1">
      <c r="A255" s="10">
        <v>12233</v>
      </c>
      <c r="B255" s="10">
        <v>16233</v>
      </c>
      <c r="C255" s="10">
        <f t="shared" si="4"/>
        <v>12233</v>
      </c>
      <c r="D255" s="10" t="s">
        <v>17</v>
      </c>
      <c r="E255" s="7" t="s">
        <v>238</v>
      </c>
      <c r="F255" s="7"/>
      <c r="G255" s="7"/>
    </row>
    <row r="256" spans="1:7" ht="20.25" customHeight="1">
      <c r="A256" s="10">
        <v>12234</v>
      </c>
      <c r="B256" s="10">
        <v>16234</v>
      </c>
      <c r="C256" s="10">
        <f t="shared" si="4"/>
        <v>12234</v>
      </c>
      <c r="D256" s="10" t="s">
        <v>17</v>
      </c>
      <c r="E256" s="7" t="s">
        <v>239</v>
      </c>
      <c r="F256" s="7"/>
      <c r="G256" s="7"/>
    </row>
    <row r="257" spans="1:7" ht="20.25" customHeight="1">
      <c r="A257" s="10">
        <v>12235</v>
      </c>
      <c r="B257" s="10">
        <v>16235</v>
      </c>
      <c r="C257" s="10">
        <f t="shared" si="4"/>
        <v>12235</v>
      </c>
      <c r="D257" s="10" t="s">
        <v>17</v>
      </c>
      <c r="E257" s="7" t="s">
        <v>240</v>
      </c>
      <c r="F257" s="7"/>
      <c r="G257" s="169" t="s">
        <v>182</v>
      </c>
    </row>
    <row r="258" spans="1:7" ht="20.25" customHeight="1">
      <c r="A258" s="10">
        <v>12236</v>
      </c>
      <c r="B258" s="10">
        <v>16236</v>
      </c>
      <c r="C258" s="10">
        <f t="shared" si="4"/>
        <v>12236</v>
      </c>
      <c r="D258" s="10" t="s">
        <v>17</v>
      </c>
      <c r="E258" s="7" t="s">
        <v>241</v>
      </c>
      <c r="F258" s="7"/>
      <c r="G258" s="7"/>
    </row>
    <row r="259" spans="1:7" ht="20.25" customHeight="1">
      <c r="A259" s="10">
        <v>12237</v>
      </c>
      <c r="B259" s="10">
        <v>16237</v>
      </c>
      <c r="C259" s="10">
        <f t="shared" ref="C259:C322" si="5">IF(ISERROR(FIND("B_Epic",E259)),A259,A259+10000)</f>
        <v>12237</v>
      </c>
      <c r="D259" s="10" t="s">
        <v>17</v>
      </c>
      <c r="E259" s="7" t="s">
        <v>242</v>
      </c>
      <c r="F259" s="7"/>
      <c r="G259" s="7"/>
    </row>
    <row r="260" spans="1:7" ht="20.25" customHeight="1">
      <c r="A260" s="10">
        <v>12238</v>
      </c>
      <c r="B260" s="10">
        <v>16238</v>
      </c>
      <c r="C260" s="10">
        <f t="shared" si="5"/>
        <v>12238</v>
      </c>
      <c r="D260" s="10" t="s">
        <v>17</v>
      </c>
      <c r="E260" s="7" t="s">
        <v>243</v>
      </c>
      <c r="F260" s="7"/>
      <c r="G260" s="7"/>
    </row>
    <row r="261" spans="1:7" ht="20.25" customHeight="1">
      <c r="A261" s="10">
        <v>12239</v>
      </c>
      <c r="B261" s="10">
        <v>16239</v>
      </c>
      <c r="C261" s="10">
        <f t="shared" si="5"/>
        <v>12239</v>
      </c>
      <c r="D261" s="10" t="s">
        <v>17</v>
      </c>
      <c r="E261" s="7" t="s">
        <v>244</v>
      </c>
      <c r="F261" s="7"/>
    </row>
    <row r="262" spans="1:7" ht="20.25" customHeight="1">
      <c r="A262" s="10">
        <v>12240</v>
      </c>
      <c r="B262" s="10">
        <v>16240</v>
      </c>
      <c r="C262" s="10">
        <f t="shared" si="5"/>
        <v>12240</v>
      </c>
      <c r="D262" s="10" t="s">
        <v>17</v>
      </c>
      <c r="E262" s="7" t="s">
        <v>245</v>
      </c>
      <c r="F262" s="7"/>
      <c r="G262" s="7"/>
    </row>
    <row r="263" spans="1:7" ht="20.25" customHeight="1">
      <c r="A263" s="10">
        <v>12241</v>
      </c>
      <c r="B263" s="10">
        <v>16241</v>
      </c>
      <c r="C263" s="10">
        <f t="shared" si="5"/>
        <v>12241</v>
      </c>
      <c r="D263" s="10" t="s">
        <v>22</v>
      </c>
      <c r="E263" s="7" t="s">
        <v>246</v>
      </c>
      <c r="F263" s="7"/>
      <c r="G263" s="7"/>
    </row>
    <row r="264" spans="1:7" ht="20.25" customHeight="1">
      <c r="A264" s="10">
        <v>12242</v>
      </c>
      <c r="B264" s="10">
        <v>16242</v>
      </c>
      <c r="C264" s="10">
        <f t="shared" si="5"/>
        <v>12242</v>
      </c>
      <c r="D264" s="10" t="s">
        <v>22</v>
      </c>
      <c r="E264" s="7" t="s">
        <v>247</v>
      </c>
      <c r="F264" s="7"/>
      <c r="G264" s="7"/>
    </row>
    <row r="265" spans="1:7" ht="20.25" customHeight="1">
      <c r="A265" s="10">
        <v>12243</v>
      </c>
      <c r="B265" s="10">
        <v>16243</v>
      </c>
      <c r="C265" s="10">
        <f t="shared" si="5"/>
        <v>12243</v>
      </c>
      <c r="D265" s="10" t="s">
        <v>17</v>
      </c>
      <c r="E265" s="7" t="s">
        <v>248</v>
      </c>
      <c r="F265" s="7"/>
      <c r="G265" s="7" t="s">
        <v>249</v>
      </c>
    </row>
    <row r="266" spans="1:7" ht="20.25" customHeight="1">
      <c r="A266" s="10">
        <v>12244</v>
      </c>
      <c r="B266" s="10">
        <v>16244</v>
      </c>
      <c r="C266" s="10">
        <f t="shared" si="5"/>
        <v>12244</v>
      </c>
      <c r="D266" s="10" t="s">
        <v>17</v>
      </c>
      <c r="E266" s="7" t="s">
        <v>250</v>
      </c>
      <c r="F266" s="7"/>
      <c r="G266" s="7" t="s">
        <v>249</v>
      </c>
    </row>
    <row r="267" spans="1:7" ht="20.25" customHeight="1">
      <c r="A267" s="10">
        <v>12245</v>
      </c>
      <c r="B267" s="10">
        <v>16245</v>
      </c>
      <c r="C267" s="10">
        <f t="shared" si="5"/>
        <v>12245</v>
      </c>
      <c r="D267" s="10" t="s">
        <v>17</v>
      </c>
      <c r="E267" s="7" t="s">
        <v>251</v>
      </c>
      <c r="F267" s="7"/>
      <c r="G267" s="7" t="s">
        <v>249</v>
      </c>
    </row>
    <row r="268" spans="1:7" ht="20.25" customHeight="1">
      <c r="A268" s="10">
        <v>12247</v>
      </c>
      <c r="B268" s="10">
        <v>16247</v>
      </c>
      <c r="C268" s="10">
        <f t="shared" si="5"/>
        <v>12247</v>
      </c>
      <c r="D268" s="10" t="s">
        <v>17</v>
      </c>
      <c r="E268" s="7" t="s">
        <v>252</v>
      </c>
      <c r="F268" s="7"/>
      <c r="G268" s="7">
        <v>19875000</v>
      </c>
    </row>
    <row r="269" spans="1:7" ht="20.25" customHeight="1">
      <c r="A269" s="10">
        <v>12248</v>
      </c>
      <c r="B269" s="10">
        <v>16248</v>
      </c>
      <c r="C269" s="10">
        <f t="shared" si="5"/>
        <v>22248</v>
      </c>
      <c r="D269" s="10" t="s">
        <v>22</v>
      </c>
      <c r="E269" s="7" t="s">
        <v>253</v>
      </c>
      <c r="F269" s="5" t="s">
        <v>38</v>
      </c>
      <c r="G269" s="7"/>
    </row>
    <row r="270" spans="1:7" ht="20.25" customHeight="1">
      <c r="A270" s="10">
        <v>12249</v>
      </c>
      <c r="B270" s="10">
        <v>16249</v>
      </c>
      <c r="C270" s="10">
        <f t="shared" si="5"/>
        <v>22249</v>
      </c>
      <c r="D270" s="10" t="s">
        <v>22</v>
      </c>
      <c r="E270" s="7" t="s">
        <v>254</v>
      </c>
      <c r="F270" s="5" t="s">
        <v>38</v>
      </c>
      <c r="G270" s="7"/>
    </row>
    <row r="271" spans="1:7" ht="20.25" customHeight="1">
      <c r="A271" s="10">
        <v>12250</v>
      </c>
      <c r="B271" s="10">
        <v>16250</v>
      </c>
      <c r="C271" s="10">
        <f t="shared" si="5"/>
        <v>12250</v>
      </c>
      <c r="D271" s="10" t="s">
        <v>17</v>
      </c>
      <c r="E271" s="7" t="s">
        <v>255</v>
      </c>
      <c r="F271" s="7" t="s">
        <v>256</v>
      </c>
      <c r="G271" s="7"/>
    </row>
    <row r="272" spans="1:7" ht="20.25" customHeight="1">
      <c r="A272" s="10">
        <v>12251</v>
      </c>
      <c r="B272" s="10">
        <v>16251</v>
      </c>
      <c r="C272" s="10">
        <f t="shared" si="5"/>
        <v>12251</v>
      </c>
      <c r="D272" s="10" t="s">
        <v>17</v>
      </c>
      <c r="E272" s="7" t="s">
        <v>257</v>
      </c>
      <c r="F272" s="7"/>
      <c r="G272" s="7"/>
    </row>
    <row r="273" spans="1:7" ht="20.25" customHeight="1">
      <c r="A273" s="10">
        <v>12252</v>
      </c>
      <c r="B273" s="10">
        <v>16252</v>
      </c>
      <c r="C273" s="10">
        <f t="shared" si="5"/>
        <v>12252</v>
      </c>
      <c r="D273" s="10" t="s">
        <v>17</v>
      </c>
      <c r="E273" s="7" t="s">
        <v>258</v>
      </c>
      <c r="F273" s="7"/>
      <c r="G273" s="7"/>
    </row>
    <row r="274" spans="1:7" ht="20.25" customHeight="1">
      <c r="A274" s="10">
        <v>12253</v>
      </c>
      <c r="B274" s="10">
        <v>16253</v>
      </c>
      <c r="C274" s="10">
        <f t="shared" si="5"/>
        <v>12253</v>
      </c>
      <c r="D274" s="10" t="s">
        <v>17</v>
      </c>
      <c r="E274" s="7" t="s">
        <v>259</v>
      </c>
      <c r="F274" s="7"/>
      <c r="G274" s="7"/>
    </row>
    <row r="275" spans="1:7" ht="20.25" customHeight="1">
      <c r="A275" s="10">
        <v>12254</v>
      </c>
      <c r="B275" s="10">
        <v>16254</v>
      </c>
      <c r="C275" s="10">
        <f t="shared" si="5"/>
        <v>12254</v>
      </c>
      <c r="D275" s="10" t="s">
        <v>17</v>
      </c>
      <c r="E275" s="7" t="s">
        <v>260</v>
      </c>
      <c r="F275" s="7"/>
      <c r="G275" s="7"/>
    </row>
    <row r="276" spans="1:7" ht="20.25" customHeight="1">
      <c r="A276" s="10">
        <v>12255</v>
      </c>
      <c r="B276" s="10">
        <v>16255</v>
      </c>
      <c r="C276" s="10">
        <f t="shared" si="5"/>
        <v>12255</v>
      </c>
      <c r="D276" s="10" t="s">
        <v>17</v>
      </c>
      <c r="E276" s="7" t="s">
        <v>261</v>
      </c>
      <c r="F276" s="7"/>
      <c r="G276" s="7">
        <v>93386300</v>
      </c>
    </row>
    <row r="277" spans="1:7" ht="20.25" customHeight="1">
      <c r="A277" s="10">
        <v>12256</v>
      </c>
      <c r="B277" s="10">
        <v>16256</v>
      </c>
      <c r="C277" s="10">
        <f t="shared" si="5"/>
        <v>12256</v>
      </c>
      <c r="D277" s="10" t="s">
        <v>17</v>
      </c>
      <c r="E277" s="7" t="s">
        <v>262</v>
      </c>
      <c r="F277" s="7"/>
      <c r="G277" s="7">
        <v>93386300</v>
      </c>
    </row>
    <row r="278" spans="1:7" ht="20.25" customHeight="1">
      <c r="A278" s="10">
        <v>12257</v>
      </c>
      <c r="B278" s="10">
        <v>16257</v>
      </c>
      <c r="C278" s="10">
        <f t="shared" si="5"/>
        <v>12257</v>
      </c>
      <c r="D278" s="10" t="s">
        <v>17</v>
      </c>
      <c r="E278" s="7" t="s">
        <v>263</v>
      </c>
      <c r="F278" s="7"/>
      <c r="G278" s="7" t="s">
        <v>264</v>
      </c>
    </row>
    <row r="279" spans="1:7" ht="20.25" customHeight="1">
      <c r="A279" s="10">
        <v>12258</v>
      </c>
      <c r="B279" s="10">
        <v>16258</v>
      </c>
      <c r="C279" s="10">
        <f t="shared" si="5"/>
        <v>12258</v>
      </c>
      <c r="D279" s="10" t="s">
        <v>17</v>
      </c>
      <c r="E279" s="7" t="s">
        <v>265</v>
      </c>
      <c r="F279" s="7"/>
      <c r="G279" s="7" t="s">
        <v>264</v>
      </c>
    </row>
    <row r="280" spans="1:7" ht="20.25" customHeight="1">
      <c r="A280" s="10">
        <v>12259</v>
      </c>
      <c r="B280" s="10">
        <v>16259</v>
      </c>
      <c r="C280" s="10">
        <f t="shared" si="5"/>
        <v>12259</v>
      </c>
      <c r="D280" s="10" t="s">
        <v>17</v>
      </c>
      <c r="E280" s="7" t="s">
        <v>266</v>
      </c>
      <c r="F280" s="7"/>
      <c r="G280" s="7"/>
    </row>
    <row r="281" spans="1:7" ht="20.25" customHeight="1">
      <c r="A281" s="10">
        <v>12260</v>
      </c>
      <c r="B281" s="10">
        <v>16260</v>
      </c>
      <c r="C281" s="10">
        <f t="shared" si="5"/>
        <v>12260</v>
      </c>
      <c r="D281" s="10" t="s">
        <v>17</v>
      </c>
      <c r="E281" s="7" t="s">
        <v>267</v>
      </c>
      <c r="F281" s="7"/>
      <c r="G281" s="7" t="s">
        <v>268</v>
      </c>
    </row>
    <row r="282" spans="1:7" ht="20.25" customHeight="1">
      <c r="A282" s="10">
        <v>12261</v>
      </c>
      <c r="B282" s="10">
        <v>16261</v>
      </c>
      <c r="C282" s="10">
        <f t="shared" si="5"/>
        <v>12261</v>
      </c>
      <c r="D282" s="10" t="s">
        <v>17</v>
      </c>
      <c r="E282" s="7" t="s">
        <v>269</v>
      </c>
      <c r="F282" s="7"/>
      <c r="G282" s="7" t="s">
        <v>268</v>
      </c>
    </row>
    <row r="283" spans="1:7" ht="20.25" customHeight="1">
      <c r="A283" s="10">
        <v>12262</v>
      </c>
      <c r="B283" s="10">
        <v>16262</v>
      </c>
      <c r="C283" s="10">
        <f t="shared" si="5"/>
        <v>22262</v>
      </c>
      <c r="D283" s="10" t="s">
        <v>22</v>
      </c>
      <c r="E283" s="7" t="s">
        <v>270</v>
      </c>
      <c r="F283" s="5" t="s">
        <v>38</v>
      </c>
      <c r="G283" s="7"/>
    </row>
    <row r="284" spans="1:7" ht="20.25" customHeight="1">
      <c r="A284" s="10">
        <v>12263</v>
      </c>
      <c r="B284" s="10">
        <v>16263</v>
      </c>
      <c r="C284" s="10">
        <f t="shared" si="5"/>
        <v>12263</v>
      </c>
      <c r="D284" s="10" t="s">
        <v>17</v>
      </c>
      <c r="E284" s="7" t="s">
        <v>271</v>
      </c>
      <c r="F284" s="7"/>
      <c r="G284" s="7" t="s">
        <v>268</v>
      </c>
    </row>
    <row r="285" spans="1:7" ht="20.25" customHeight="1">
      <c r="A285" s="10">
        <v>12264</v>
      </c>
      <c r="B285" s="10">
        <v>16264</v>
      </c>
      <c r="C285" s="10">
        <f t="shared" si="5"/>
        <v>22264</v>
      </c>
      <c r="D285" s="10" t="s">
        <v>22</v>
      </c>
      <c r="E285" s="7" t="s">
        <v>272</v>
      </c>
      <c r="F285" s="5" t="s">
        <v>38</v>
      </c>
      <c r="G285" s="7"/>
    </row>
    <row r="286" spans="1:7" ht="20.25" customHeight="1">
      <c r="A286" s="10">
        <v>12265</v>
      </c>
      <c r="B286" s="10">
        <v>16265</v>
      </c>
      <c r="C286" s="10">
        <f t="shared" si="5"/>
        <v>12265</v>
      </c>
      <c r="D286" s="10" t="s">
        <v>17</v>
      </c>
      <c r="E286" s="7" t="s">
        <v>273</v>
      </c>
      <c r="F286" s="7"/>
      <c r="G286" s="11">
        <v>55495970009</v>
      </c>
    </row>
    <row r="287" spans="1:7" ht="20.25" customHeight="1">
      <c r="A287" s="10">
        <v>12266</v>
      </c>
      <c r="B287" s="10">
        <v>16266</v>
      </c>
      <c r="C287" s="10">
        <f t="shared" si="5"/>
        <v>12266</v>
      </c>
      <c r="D287" s="10" t="s">
        <v>17</v>
      </c>
      <c r="E287" s="7" t="s">
        <v>274</v>
      </c>
      <c r="F287" s="7"/>
      <c r="G287" s="11">
        <v>55495970009</v>
      </c>
    </row>
    <row r="288" spans="1:7" ht="20.25" customHeight="1">
      <c r="A288" s="10">
        <v>12267</v>
      </c>
      <c r="B288" s="10">
        <v>16267</v>
      </c>
      <c r="C288" s="10">
        <f t="shared" si="5"/>
        <v>12267</v>
      </c>
      <c r="D288" s="10" t="s">
        <v>17</v>
      </c>
      <c r="E288" s="7" t="s">
        <v>275</v>
      </c>
      <c r="F288" s="7"/>
      <c r="G288" s="121">
        <v>55495970009</v>
      </c>
    </row>
    <row r="289" spans="1:7" ht="20.25" customHeight="1">
      <c r="A289" s="10">
        <v>12268</v>
      </c>
      <c r="B289" s="10">
        <v>16268</v>
      </c>
      <c r="C289" s="10">
        <f t="shared" si="5"/>
        <v>22268</v>
      </c>
      <c r="D289" s="10" t="s">
        <v>22</v>
      </c>
      <c r="E289" s="7" t="s">
        <v>276</v>
      </c>
      <c r="F289" s="5" t="s">
        <v>38</v>
      </c>
    </row>
    <row r="290" spans="1:7" ht="20.25" customHeight="1">
      <c r="A290" s="10">
        <v>12269</v>
      </c>
      <c r="B290" s="10">
        <v>16269</v>
      </c>
      <c r="C290" s="10">
        <f t="shared" si="5"/>
        <v>22269</v>
      </c>
      <c r="D290" s="10" t="s">
        <v>22</v>
      </c>
      <c r="E290" s="7" t="s">
        <v>277</v>
      </c>
      <c r="F290" s="5" t="s">
        <v>38</v>
      </c>
    </row>
    <row r="291" spans="1:7" ht="20.25" customHeight="1">
      <c r="A291" s="10">
        <v>12270</v>
      </c>
      <c r="B291" s="10">
        <v>16270</v>
      </c>
      <c r="C291" s="10">
        <f t="shared" si="5"/>
        <v>22270</v>
      </c>
      <c r="D291" s="10" t="s">
        <v>22</v>
      </c>
      <c r="E291" s="7" t="s">
        <v>278</v>
      </c>
      <c r="F291" s="5" t="s">
        <v>38</v>
      </c>
      <c r="G291" s="7"/>
    </row>
    <row r="292" spans="1:7" ht="20.25" customHeight="1">
      <c r="A292" s="10">
        <v>12271</v>
      </c>
      <c r="B292" s="10">
        <v>16271</v>
      </c>
      <c r="C292" s="10">
        <f t="shared" si="5"/>
        <v>12271</v>
      </c>
      <c r="D292" s="10" t="s">
        <v>17</v>
      </c>
      <c r="E292" s="7" t="s">
        <v>279</v>
      </c>
      <c r="F292" s="7"/>
      <c r="G292" s="7">
        <v>49584906</v>
      </c>
    </row>
    <row r="293" spans="1:7" ht="20.25" customHeight="1">
      <c r="A293" s="10">
        <v>12272</v>
      </c>
      <c r="B293" s="10">
        <v>16272</v>
      </c>
      <c r="C293" s="10">
        <f t="shared" si="5"/>
        <v>22272</v>
      </c>
      <c r="D293" s="10" t="s">
        <v>22</v>
      </c>
      <c r="E293" s="7" t="s">
        <v>280</v>
      </c>
      <c r="F293" s="5" t="s">
        <v>38</v>
      </c>
      <c r="G293" s="7"/>
    </row>
    <row r="294" spans="1:7" ht="20.25" customHeight="1">
      <c r="A294" s="10">
        <v>12273</v>
      </c>
      <c r="B294" s="10">
        <v>16273</v>
      </c>
      <c r="C294" s="10">
        <f t="shared" si="5"/>
        <v>22273</v>
      </c>
      <c r="D294" s="10" t="s">
        <v>22</v>
      </c>
      <c r="E294" s="7" t="s">
        <v>281</v>
      </c>
      <c r="F294" s="5" t="s">
        <v>38</v>
      </c>
      <c r="G294" s="7"/>
    </row>
    <row r="295" spans="1:7" ht="20.25" customHeight="1">
      <c r="A295" s="10">
        <v>12274</v>
      </c>
      <c r="B295" s="10">
        <v>16274</v>
      </c>
      <c r="C295" s="10">
        <f t="shared" si="5"/>
        <v>22274</v>
      </c>
      <c r="D295" s="10" t="s">
        <v>17</v>
      </c>
      <c r="E295" s="7" t="s">
        <v>282</v>
      </c>
      <c r="F295" s="7"/>
      <c r="G295" s="7"/>
    </row>
    <row r="296" spans="1:7" ht="20.25" customHeight="1">
      <c r="A296" s="10">
        <v>12275</v>
      </c>
      <c r="B296" s="10">
        <v>16275</v>
      </c>
      <c r="C296" s="10">
        <f t="shared" si="5"/>
        <v>22275</v>
      </c>
      <c r="D296" s="10" t="s">
        <v>22</v>
      </c>
      <c r="E296" s="7" t="s">
        <v>283</v>
      </c>
      <c r="F296" s="5" t="s">
        <v>38</v>
      </c>
      <c r="G296" s="7"/>
    </row>
    <row r="297" spans="1:7" ht="20.25" customHeight="1">
      <c r="A297" s="10">
        <v>12276</v>
      </c>
      <c r="B297" s="10">
        <v>16276</v>
      </c>
      <c r="C297" s="10">
        <f t="shared" si="5"/>
        <v>12276</v>
      </c>
      <c r="D297" s="10" t="s">
        <v>17</v>
      </c>
      <c r="E297" s="7" t="s">
        <v>284</v>
      </c>
      <c r="F297" s="7"/>
      <c r="G297" s="7">
        <v>49584906</v>
      </c>
    </row>
    <row r="298" spans="1:7" ht="20.25" customHeight="1">
      <c r="A298" s="10">
        <v>12277</v>
      </c>
      <c r="B298" s="10">
        <v>16277</v>
      </c>
      <c r="C298" s="10">
        <f t="shared" si="5"/>
        <v>12277</v>
      </c>
      <c r="D298" s="10" t="s">
        <v>17</v>
      </c>
      <c r="E298" s="7" t="s">
        <v>285</v>
      </c>
      <c r="F298" s="7"/>
      <c r="G298" s="7"/>
    </row>
    <row r="299" spans="1:7" ht="20.25" customHeight="1">
      <c r="A299" s="10">
        <v>12278</v>
      </c>
      <c r="B299" s="10">
        <v>16278</v>
      </c>
      <c r="C299" s="10">
        <f t="shared" si="5"/>
        <v>12278</v>
      </c>
      <c r="D299" s="10" t="s">
        <v>17</v>
      </c>
      <c r="E299" s="133" t="s">
        <v>286</v>
      </c>
      <c r="F299" s="7"/>
      <c r="G299" s="9">
        <v>43986100</v>
      </c>
    </row>
    <row r="300" spans="1:7" ht="20.25" customHeight="1">
      <c r="A300" s="10">
        <v>12279</v>
      </c>
      <c r="B300" s="10">
        <v>16279</v>
      </c>
      <c r="C300" s="10">
        <f t="shared" si="5"/>
        <v>22279</v>
      </c>
      <c r="D300" s="10" t="s">
        <v>22</v>
      </c>
      <c r="E300" s="7" t="s">
        <v>287</v>
      </c>
      <c r="F300" s="5" t="s">
        <v>38</v>
      </c>
      <c r="G300" s="9"/>
    </row>
    <row r="301" spans="1:7" ht="20.25" customHeight="1">
      <c r="A301" s="10">
        <v>12280</v>
      </c>
      <c r="B301" s="10">
        <v>16280</v>
      </c>
      <c r="C301" s="10">
        <f t="shared" si="5"/>
        <v>22280</v>
      </c>
      <c r="D301" s="10" t="s">
        <v>22</v>
      </c>
      <c r="E301" s="7" t="s">
        <v>288</v>
      </c>
      <c r="F301" s="5" t="s">
        <v>38</v>
      </c>
      <c r="G301" s="7"/>
    </row>
    <row r="302" spans="1:7" ht="20.25" customHeight="1">
      <c r="A302" s="10">
        <v>12281</v>
      </c>
      <c r="B302" s="10">
        <v>16281</v>
      </c>
      <c r="C302" s="10">
        <f t="shared" si="5"/>
        <v>12281</v>
      </c>
      <c r="D302" s="10" t="s">
        <v>17</v>
      </c>
      <c r="E302" s="7" t="s">
        <v>289</v>
      </c>
      <c r="F302" s="7"/>
      <c r="G302" s="7" t="s">
        <v>268</v>
      </c>
    </row>
    <row r="303" spans="1:7" ht="20.25" customHeight="1">
      <c r="A303" s="10">
        <v>12282</v>
      </c>
      <c r="B303" s="10">
        <v>16282</v>
      </c>
      <c r="C303" s="10">
        <f t="shared" si="5"/>
        <v>12282</v>
      </c>
      <c r="D303" s="10" t="s">
        <v>17</v>
      </c>
      <c r="E303" s="7" t="s">
        <v>290</v>
      </c>
      <c r="F303" s="7"/>
      <c r="G303" s="7" t="s">
        <v>268</v>
      </c>
    </row>
    <row r="304" spans="1:7" ht="20.25" customHeight="1">
      <c r="A304" s="10">
        <v>12283</v>
      </c>
      <c r="B304" s="10">
        <v>16283</v>
      </c>
      <c r="C304" s="10">
        <f t="shared" si="5"/>
        <v>12283</v>
      </c>
      <c r="D304" s="10" t="s">
        <v>17</v>
      </c>
      <c r="E304" s="7" t="s">
        <v>291</v>
      </c>
      <c r="F304" s="7"/>
      <c r="G304" s="7">
        <v>93386200</v>
      </c>
    </row>
    <row r="305" spans="1:7" ht="20.25" customHeight="1">
      <c r="A305" s="10">
        <v>12284</v>
      </c>
      <c r="B305" s="10">
        <v>16284</v>
      </c>
      <c r="C305" s="10">
        <f t="shared" si="5"/>
        <v>12284</v>
      </c>
      <c r="D305" s="10" t="s">
        <v>17</v>
      </c>
      <c r="E305" s="7" t="s">
        <v>292</v>
      </c>
      <c r="F305" s="7"/>
      <c r="G305" s="7">
        <v>93386200</v>
      </c>
    </row>
    <row r="306" spans="1:7" ht="20.25" customHeight="1">
      <c r="A306" s="10">
        <v>12285</v>
      </c>
      <c r="B306" s="10">
        <v>16285</v>
      </c>
      <c r="C306" s="10">
        <f t="shared" si="5"/>
        <v>22285</v>
      </c>
      <c r="D306" s="10" t="s">
        <v>22</v>
      </c>
      <c r="E306" s="7" t="s">
        <v>293</v>
      </c>
      <c r="F306" s="7"/>
      <c r="G306" s="7"/>
    </row>
    <row r="307" spans="1:7" ht="20.25" customHeight="1">
      <c r="A307" s="10">
        <v>12286</v>
      </c>
      <c r="B307" s="10">
        <v>16286</v>
      </c>
      <c r="C307" s="10">
        <f t="shared" si="5"/>
        <v>12286</v>
      </c>
      <c r="D307" s="10" t="s">
        <v>22</v>
      </c>
      <c r="E307" s="7" t="s">
        <v>294</v>
      </c>
      <c r="F307" s="7"/>
      <c r="G307" s="7"/>
    </row>
    <row r="308" spans="1:7" ht="20.25" customHeight="1">
      <c r="A308" s="10">
        <v>12287</v>
      </c>
      <c r="B308" s="10">
        <v>16287</v>
      </c>
      <c r="C308" s="10">
        <f t="shared" si="5"/>
        <v>12287</v>
      </c>
      <c r="D308" s="10"/>
      <c r="E308" s="7"/>
      <c r="F308" s="7"/>
      <c r="G308" s="7"/>
    </row>
    <row r="309" spans="1:7" ht="20.25" customHeight="1">
      <c r="A309" s="10">
        <v>12288</v>
      </c>
      <c r="B309" s="10">
        <v>16288</v>
      </c>
      <c r="C309" s="10">
        <f t="shared" si="5"/>
        <v>12288</v>
      </c>
      <c r="D309" s="10"/>
      <c r="E309" s="7"/>
      <c r="F309" s="7"/>
      <c r="G309" s="7"/>
    </row>
    <row r="310" spans="1:7" ht="20.25" customHeight="1">
      <c r="A310" s="10">
        <v>12289</v>
      </c>
      <c r="B310" s="10">
        <v>16289</v>
      </c>
      <c r="C310" s="10">
        <f t="shared" si="5"/>
        <v>12289</v>
      </c>
      <c r="D310" s="10" t="s">
        <v>17</v>
      </c>
      <c r="E310" s="7" t="s">
        <v>295</v>
      </c>
      <c r="F310" s="7"/>
      <c r="G310" s="7"/>
    </row>
    <row r="311" spans="1:7" ht="20.25" customHeight="1">
      <c r="A311" s="10">
        <v>12290</v>
      </c>
      <c r="B311" s="10">
        <v>16290</v>
      </c>
      <c r="C311" s="10">
        <f t="shared" si="5"/>
        <v>12290</v>
      </c>
      <c r="D311" s="10" t="s">
        <v>17</v>
      </c>
      <c r="E311" s="7" t="s">
        <v>296</v>
      </c>
      <c r="F311" s="7"/>
      <c r="G311" s="7"/>
    </row>
    <row r="312" spans="1:7" ht="20.25" customHeight="1">
      <c r="A312" s="10">
        <v>12291</v>
      </c>
      <c r="B312" s="10">
        <v>16291</v>
      </c>
      <c r="C312" s="10">
        <f t="shared" si="5"/>
        <v>12291</v>
      </c>
      <c r="D312" s="10" t="s">
        <v>17</v>
      </c>
      <c r="E312" s="7" t="s">
        <v>297</v>
      </c>
      <c r="F312" s="7"/>
      <c r="G312" s="7"/>
    </row>
    <row r="313" spans="1:7" ht="20.25" customHeight="1">
      <c r="A313" s="10">
        <v>12292</v>
      </c>
      <c r="B313" s="10">
        <v>16292</v>
      </c>
      <c r="C313" s="10">
        <f t="shared" si="5"/>
        <v>12292</v>
      </c>
      <c r="D313" s="10" t="s">
        <v>17</v>
      </c>
      <c r="E313" s="7" t="s">
        <v>298</v>
      </c>
      <c r="F313" s="7"/>
      <c r="G313" s="7"/>
    </row>
    <row r="314" spans="1:7" ht="20.25" customHeight="1">
      <c r="A314" s="10">
        <v>12293</v>
      </c>
      <c r="B314" s="10">
        <v>16293</v>
      </c>
      <c r="C314" s="10">
        <f t="shared" si="5"/>
        <v>12293</v>
      </c>
      <c r="D314" s="10" t="s">
        <v>67</v>
      </c>
      <c r="E314" s="7" t="s">
        <v>299</v>
      </c>
      <c r="F314" s="10"/>
      <c r="G314" s="7"/>
    </row>
    <row r="315" spans="1:7" ht="20.25" customHeight="1">
      <c r="A315" s="10">
        <v>12294</v>
      </c>
      <c r="B315" s="10">
        <v>16294</v>
      </c>
      <c r="C315" s="10">
        <f t="shared" si="5"/>
        <v>12294</v>
      </c>
      <c r="D315" s="10" t="s">
        <v>17</v>
      </c>
      <c r="E315" s="7" t="s">
        <v>300</v>
      </c>
      <c r="F315" s="7"/>
      <c r="G315" s="7"/>
    </row>
    <row r="316" spans="1:7" ht="20.25" customHeight="1">
      <c r="A316" s="10">
        <v>12295</v>
      </c>
      <c r="B316" s="10">
        <v>16295</v>
      </c>
      <c r="C316" s="10">
        <f t="shared" si="5"/>
        <v>12295</v>
      </c>
      <c r="D316" s="10" t="s">
        <v>17</v>
      </c>
      <c r="E316" s="7" t="s">
        <v>301</v>
      </c>
      <c r="F316" s="7"/>
      <c r="G316" s="7"/>
    </row>
    <row r="317" spans="1:7" ht="20.25" customHeight="1">
      <c r="A317" s="10">
        <v>12296</v>
      </c>
      <c r="B317" s="10">
        <v>16296</v>
      </c>
      <c r="C317" s="10">
        <f t="shared" si="5"/>
        <v>12296</v>
      </c>
      <c r="D317" s="10" t="s">
        <v>17</v>
      </c>
      <c r="E317" s="7" t="s">
        <v>302</v>
      </c>
      <c r="F317" s="7"/>
      <c r="G317" s="7"/>
    </row>
    <row r="318" spans="1:7" ht="20.25" customHeight="1">
      <c r="A318" s="10">
        <v>12297</v>
      </c>
      <c r="B318" s="10">
        <v>16297</v>
      </c>
      <c r="C318" s="10">
        <f t="shared" si="5"/>
        <v>22297</v>
      </c>
      <c r="D318" s="10" t="s">
        <v>17</v>
      </c>
      <c r="E318" s="7" t="s">
        <v>303</v>
      </c>
      <c r="F318" s="7"/>
      <c r="G318" s="7"/>
    </row>
    <row r="319" spans="1:7" ht="20.25" customHeight="1">
      <c r="A319" s="10">
        <v>12298</v>
      </c>
      <c r="B319" s="10">
        <v>16298</v>
      </c>
      <c r="C319" s="10">
        <f t="shared" si="5"/>
        <v>12298</v>
      </c>
      <c r="D319" s="10" t="s">
        <v>22</v>
      </c>
      <c r="E319" s="7"/>
      <c r="F319" s="7"/>
      <c r="G319" s="27"/>
    </row>
    <row r="320" spans="1:7" ht="20.25" customHeight="1">
      <c r="A320" s="10">
        <v>12299</v>
      </c>
      <c r="B320" s="10">
        <v>16299</v>
      </c>
      <c r="C320" s="10">
        <f t="shared" si="5"/>
        <v>12299</v>
      </c>
      <c r="D320" s="10" t="s">
        <v>17</v>
      </c>
      <c r="E320" s="7" t="s">
        <v>304</v>
      </c>
      <c r="F320" s="7"/>
      <c r="G320" s="7"/>
    </row>
    <row r="321" spans="1:7" ht="20.25" customHeight="1">
      <c r="A321" s="10">
        <v>12300</v>
      </c>
      <c r="B321" s="10">
        <v>16300</v>
      </c>
      <c r="C321" s="10">
        <f t="shared" si="5"/>
        <v>12300</v>
      </c>
      <c r="D321" s="10" t="s">
        <v>17</v>
      </c>
      <c r="E321" s="7" t="s">
        <v>305</v>
      </c>
      <c r="F321" s="7"/>
      <c r="G321" s="7"/>
    </row>
    <row r="322" spans="1:7" ht="20.25" customHeight="1">
      <c r="A322" s="10">
        <v>12301</v>
      </c>
      <c r="B322" s="10">
        <v>16301</v>
      </c>
      <c r="C322" s="10">
        <f t="shared" si="5"/>
        <v>12301</v>
      </c>
      <c r="D322" s="10" t="s">
        <v>17</v>
      </c>
      <c r="E322" s="7" t="s">
        <v>306</v>
      </c>
      <c r="F322" s="7"/>
      <c r="G322" s="7"/>
    </row>
    <row r="323" spans="1:7" ht="20.25" customHeight="1">
      <c r="A323" s="10">
        <v>12302</v>
      </c>
      <c r="B323" s="10">
        <v>16302</v>
      </c>
      <c r="C323" s="10">
        <f t="shared" ref="C323:C386" si="6">IF(ISERROR(FIND("B_Epic",E323)),A323,A323+10000)</f>
        <v>12302</v>
      </c>
      <c r="D323" s="10" t="s">
        <v>17</v>
      </c>
      <c r="E323" s="7" t="s">
        <v>307</v>
      </c>
      <c r="F323" s="7"/>
      <c r="G323" s="7"/>
    </row>
    <row r="324" spans="1:7" ht="20.25" customHeight="1">
      <c r="A324" s="10">
        <v>12303</v>
      </c>
      <c r="B324" s="10">
        <v>16303</v>
      </c>
      <c r="C324" s="10">
        <f t="shared" si="6"/>
        <v>12303</v>
      </c>
      <c r="D324" s="10" t="s">
        <v>17</v>
      </c>
      <c r="E324" s="7" t="s">
        <v>308</v>
      </c>
      <c r="F324" s="7"/>
      <c r="G324" s="7"/>
    </row>
    <row r="325" spans="1:7" ht="20.25" customHeight="1">
      <c r="A325" s="10">
        <v>12304</v>
      </c>
      <c r="B325" s="10">
        <v>16304</v>
      </c>
      <c r="C325" s="10">
        <f t="shared" si="6"/>
        <v>12304</v>
      </c>
      <c r="D325" s="10" t="s">
        <v>17</v>
      </c>
      <c r="E325" s="7" t="s">
        <v>309</v>
      </c>
      <c r="F325" s="7"/>
      <c r="G325" s="7"/>
    </row>
    <row r="326" spans="1:7" ht="20.25" customHeight="1">
      <c r="A326" s="10">
        <v>12305</v>
      </c>
      <c r="B326" s="10">
        <v>16305</v>
      </c>
      <c r="C326" s="10">
        <f t="shared" si="6"/>
        <v>12305</v>
      </c>
      <c r="D326" s="10" t="s">
        <v>17</v>
      </c>
      <c r="E326" s="7" t="s">
        <v>310</v>
      </c>
      <c r="F326" s="7"/>
      <c r="G326" s="7"/>
    </row>
    <row r="327" spans="1:7" ht="20.25" customHeight="1">
      <c r="A327" s="10">
        <v>12306</v>
      </c>
      <c r="B327" s="10">
        <v>16306</v>
      </c>
      <c r="C327" s="10">
        <f t="shared" si="6"/>
        <v>12306</v>
      </c>
      <c r="D327" s="10" t="s">
        <v>17</v>
      </c>
      <c r="E327" s="7" t="s">
        <v>311</v>
      </c>
      <c r="F327" s="7"/>
      <c r="G327" s="7"/>
    </row>
    <row r="328" spans="1:7" ht="20.25" customHeight="1">
      <c r="A328" s="10">
        <v>12307</v>
      </c>
      <c r="B328" s="10">
        <v>16307</v>
      </c>
      <c r="C328" s="10">
        <f t="shared" si="6"/>
        <v>12307</v>
      </c>
      <c r="D328" s="10" t="s">
        <v>17</v>
      </c>
      <c r="E328" s="7" t="s">
        <v>312</v>
      </c>
      <c r="F328" s="7"/>
      <c r="G328" s="7"/>
    </row>
    <row r="329" spans="1:7" ht="20.25" customHeight="1">
      <c r="A329" s="10">
        <v>12308</v>
      </c>
      <c r="B329" s="10">
        <v>16308</v>
      </c>
      <c r="C329" s="10">
        <f t="shared" si="6"/>
        <v>12308</v>
      </c>
      <c r="D329" s="10" t="s">
        <v>17</v>
      </c>
      <c r="E329" s="7" t="s">
        <v>313</v>
      </c>
      <c r="F329" s="7"/>
      <c r="G329" s="7"/>
    </row>
    <row r="330" spans="1:7" ht="20.25" customHeight="1">
      <c r="A330" s="10">
        <v>12309</v>
      </c>
      <c r="B330" s="10">
        <v>16309</v>
      </c>
      <c r="C330" s="10">
        <f t="shared" si="6"/>
        <v>12309</v>
      </c>
      <c r="D330" s="10" t="s">
        <v>17</v>
      </c>
      <c r="E330" s="7" t="s">
        <v>314</v>
      </c>
      <c r="F330" s="7"/>
      <c r="G330" s="7"/>
    </row>
    <row r="331" spans="1:7" ht="20.25" customHeight="1">
      <c r="A331" s="10">
        <v>12310</v>
      </c>
      <c r="B331" s="10">
        <v>16310</v>
      </c>
      <c r="C331" s="10">
        <f t="shared" si="6"/>
        <v>12310</v>
      </c>
      <c r="D331" s="10" t="s">
        <v>17</v>
      </c>
      <c r="E331" s="7" t="s">
        <v>315</v>
      </c>
      <c r="F331" s="7"/>
      <c r="G331" s="9"/>
    </row>
    <row r="332" spans="1:7" ht="20.25" customHeight="1">
      <c r="A332" s="10">
        <v>12311</v>
      </c>
      <c r="B332" s="10">
        <v>16311</v>
      </c>
      <c r="C332" s="10">
        <f t="shared" si="6"/>
        <v>12311</v>
      </c>
      <c r="D332" s="10" t="s">
        <v>17</v>
      </c>
      <c r="E332" s="7" t="s">
        <v>316</v>
      </c>
      <c r="F332" s="7"/>
      <c r="G332" s="9"/>
    </row>
    <row r="333" spans="1:7" ht="20.25" customHeight="1">
      <c r="A333" s="10">
        <v>12312</v>
      </c>
      <c r="B333" s="10">
        <v>16312</v>
      </c>
      <c r="C333" s="10">
        <f t="shared" si="6"/>
        <v>12312</v>
      </c>
      <c r="D333" s="10" t="s">
        <v>17</v>
      </c>
      <c r="E333" s="7" t="s">
        <v>317</v>
      </c>
      <c r="F333" s="7"/>
      <c r="G333" s="9"/>
    </row>
    <row r="334" spans="1:7" ht="20.25" customHeight="1">
      <c r="A334" s="10">
        <v>12313</v>
      </c>
      <c r="B334" s="10">
        <v>16313</v>
      </c>
      <c r="C334" s="10">
        <f t="shared" si="6"/>
        <v>12313</v>
      </c>
      <c r="D334" s="10" t="s">
        <v>17</v>
      </c>
      <c r="E334" s="7" t="s">
        <v>318</v>
      </c>
      <c r="F334" s="7"/>
      <c r="G334" s="9"/>
    </row>
    <row r="335" spans="1:7" ht="20.25" customHeight="1">
      <c r="A335" s="10">
        <v>12314</v>
      </c>
      <c r="B335" s="10">
        <v>16314</v>
      </c>
      <c r="C335" s="10">
        <f t="shared" si="6"/>
        <v>22314</v>
      </c>
      <c r="D335" s="10" t="s">
        <v>22</v>
      </c>
      <c r="E335" s="7" t="s">
        <v>319</v>
      </c>
      <c r="F335" s="5" t="s">
        <v>38</v>
      </c>
      <c r="G335" s="7"/>
    </row>
    <row r="336" spans="1:7" ht="20.25" customHeight="1">
      <c r="A336" s="10">
        <v>12315</v>
      </c>
      <c r="B336" s="10">
        <v>16315</v>
      </c>
      <c r="C336" s="10">
        <f t="shared" si="6"/>
        <v>22315</v>
      </c>
      <c r="D336" s="10" t="s">
        <v>22</v>
      </c>
      <c r="E336" s="7" t="s">
        <v>320</v>
      </c>
      <c r="F336" s="5" t="s">
        <v>38</v>
      </c>
      <c r="G336" s="7"/>
    </row>
    <row r="337" spans="1:7" ht="20.25" customHeight="1">
      <c r="A337" s="10">
        <v>12316</v>
      </c>
      <c r="B337" s="10">
        <v>16316</v>
      </c>
      <c r="C337" s="10">
        <f t="shared" si="6"/>
        <v>12316</v>
      </c>
      <c r="D337" s="10" t="s">
        <v>17</v>
      </c>
      <c r="E337" s="7" t="s">
        <v>321</v>
      </c>
      <c r="F337" s="7"/>
      <c r="G337" s="7"/>
    </row>
    <row r="338" spans="1:7" ht="20.25" customHeight="1">
      <c r="A338" s="10">
        <v>12317</v>
      </c>
      <c r="B338" s="10">
        <v>16317</v>
      </c>
      <c r="C338" s="10">
        <f t="shared" si="6"/>
        <v>12317</v>
      </c>
      <c r="D338" s="10" t="s">
        <v>17</v>
      </c>
      <c r="E338" s="7" t="s">
        <v>322</v>
      </c>
      <c r="F338" s="7"/>
      <c r="G338" s="7"/>
    </row>
    <row r="339" spans="1:7" ht="20.25" customHeight="1">
      <c r="A339" s="10">
        <v>12318</v>
      </c>
      <c r="B339" s="10">
        <v>16318</v>
      </c>
      <c r="C339" s="10">
        <f t="shared" si="6"/>
        <v>22318</v>
      </c>
      <c r="D339" s="10" t="s">
        <v>22</v>
      </c>
      <c r="E339" s="7" t="s">
        <v>323</v>
      </c>
      <c r="F339" s="5" t="s">
        <v>38</v>
      </c>
      <c r="G339" s="7"/>
    </row>
    <row r="340" spans="1:7" ht="20.25" customHeight="1">
      <c r="A340" s="10">
        <v>12319</v>
      </c>
      <c r="B340" s="10">
        <v>16319</v>
      </c>
      <c r="C340" s="10">
        <f t="shared" si="6"/>
        <v>12319</v>
      </c>
      <c r="D340" s="10" t="s">
        <v>17</v>
      </c>
      <c r="E340" s="7" t="s">
        <v>324</v>
      </c>
      <c r="F340" s="7"/>
      <c r="G340" s="7"/>
    </row>
    <row r="341" spans="1:7" ht="20.25" customHeight="1">
      <c r="A341" s="10">
        <v>12320</v>
      </c>
      <c r="B341" s="10">
        <v>16320</v>
      </c>
      <c r="C341" s="10">
        <f t="shared" si="6"/>
        <v>12320</v>
      </c>
      <c r="D341" s="10" t="s">
        <v>17</v>
      </c>
      <c r="E341" s="7" t="s">
        <v>325</v>
      </c>
      <c r="F341" s="7"/>
      <c r="G341" s="7"/>
    </row>
    <row r="342" spans="1:7" ht="20.25" customHeight="1">
      <c r="A342" s="10">
        <v>12321</v>
      </c>
      <c r="B342" s="10">
        <v>16321</v>
      </c>
      <c r="C342" s="10">
        <f t="shared" si="6"/>
        <v>12321</v>
      </c>
      <c r="D342" s="10" t="s">
        <v>17</v>
      </c>
      <c r="E342" s="7" t="s">
        <v>326</v>
      </c>
      <c r="F342" s="7"/>
      <c r="G342" s="7"/>
    </row>
    <row r="343" spans="1:7" ht="20.25" customHeight="1">
      <c r="A343" s="10">
        <v>12322</v>
      </c>
      <c r="B343" s="10">
        <v>16322</v>
      </c>
      <c r="C343" s="10">
        <f t="shared" si="6"/>
        <v>12322</v>
      </c>
      <c r="D343" s="10" t="s">
        <v>17</v>
      </c>
      <c r="E343" s="7" t="s">
        <v>327</v>
      </c>
      <c r="F343" s="7"/>
      <c r="G343" s="7"/>
    </row>
    <row r="344" spans="1:7" ht="20.25" customHeight="1">
      <c r="A344" s="10">
        <v>12323</v>
      </c>
      <c r="B344" s="10">
        <v>16323</v>
      </c>
      <c r="C344" s="10">
        <f t="shared" si="6"/>
        <v>22323</v>
      </c>
      <c r="D344" s="10" t="s">
        <v>17</v>
      </c>
      <c r="E344" s="7" t="s">
        <v>328</v>
      </c>
      <c r="F344" s="7"/>
      <c r="G344" s="7"/>
    </row>
    <row r="345" spans="1:7" ht="20.25" customHeight="1">
      <c r="A345" s="10">
        <v>12324</v>
      </c>
      <c r="B345" s="10">
        <v>16324</v>
      </c>
      <c r="C345" s="10">
        <f t="shared" si="6"/>
        <v>12324</v>
      </c>
      <c r="D345" s="10" t="s">
        <v>17</v>
      </c>
      <c r="E345" s="7" t="s">
        <v>329</v>
      </c>
      <c r="F345" s="7"/>
      <c r="G345" s="133"/>
    </row>
    <row r="346" spans="1:7" ht="20.25" customHeight="1">
      <c r="A346" s="10">
        <v>12325</v>
      </c>
      <c r="B346" s="10">
        <v>16325</v>
      </c>
      <c r="C346" s="10">
        <f t="shared" si="6"/>
        <v>22325</v>
      </c>
      <c r="D346" s="10" t="s">
        <v>22</v>
      </c>
      <c r="E346" s="7" t="s">
        <v>330</v>
      </c>
      <c r="F346" s="5" t="s">
        <v>38</v>
      </c>
      <c r="G346" s="133"/>
    </row>
    <row r="347" spans="1:7" ht="20.25" customHeight="1">
      <c r="A347" s="10">
        <v>12326</v>
      </c>
      <c r="B347" s="10">
        <v>16326</v>
      </c>
      <c r="C347" s="10">
        <f t="shared" si="6"/>
        <v>12326</v>
      </c>
      <c r="D347" s="10" t="s">
        <v>17</v>
      </c>
      <c r="E347" s="7" t="s">
        <v>331</v>
      </c>
      <c r="F347" s="7"/>
      <c r="G347" s="133"/>
    </row>
    <row r="348" spans="1:7" ht="20.25" customHeight="1">
      <c r="A348" s="10">
        <v>12327</v>
      </c>
      <c r="B348" s="10">
        <v>16327</v>
      </c>
      <c r="C348" s="10">
        <f t="shared" si="6"/>
        <v>22327</v>
      </c>
      <c r="D348" s="10" t="s">
        <v>22</v>
      </c>
      <c r="E348" s="7" t="s">
        <v>332</v>
      </c>
      <c r="F348" s="5" t="s">
        <v>38</v>
      </c>
      <c r="G348" s="133"/>
    </row>
    <row r="349" spans="1:7" ht="20.25" customHeight="1">
      <c r="A349" s="10">
        <v>12328</v>
      </c>
      <c r="B349" s="10">
        <v>16328</v>
      </c>
      <c r="C349" s="10">
        <f t="shared" si="6"/>
        <v>22328</v>
      </c>
      <c r="D349" s="10" t="s">
        <v>22</v>
      </c>
      <c r="E349" s="7" t="s">
        <v>333</v>
      </c>
      <c r="F349" s="5" t="s">
        <v>38</v>
      </c>
      <c r="G349" s="133"/>
    </row>
    <row r="350" spans="1:7" ht="20.25" customHeight="1">
      <c r="A350" s="10">
        <v>12329</v>
      </c>
      <c r="B350" s="10">
        <v>16329</v>
      </c>
      <c r="C350" s="10">
        <f t="shared" si="6"/>
        <v>12329</v>
      </c>
      <c r="D350" s="10" t="s">
        <v>17</v>
      </c>
      <c r="E350" s="7" t="s">
        <v>334</v>
      </c>
      <c r="F350" s="7"/>
      <c r="G350" s="133"/>
    </row>
    <row r="351" spans="1:7" ht="20.25" customHeight="1">
      <c r="A351" s="10">
        <v>12330</v>
      </c>
      <c r="B351" s="10">
        <v>16330</v>
      </c>
      <c r="C351" s="10">
        <f t="shared" si="6"/>
        <v>12330</v>
      </c>
      <c r="D351" s="10" t="s">
        <v>17</v>
      </c>
      <c r="E351" s="7" t="s">
        <v>335</v>
      </c>
      <c r="F351" s="7"/>
      <c r="G351" s="7"/>
    </row>
    <row r="352" spans="1:7" ht="20.25" customHeight="1">
      <c r="A352" s="10">
        <v>12331</v>
      </c>
      <c r="B352" s="10">
        <v>16331</v>
      </c>
      <c r="C352" s="10">
        <f t="shared" si="6"/>
        <v>12331</v>
      </c>
      <c r="D352" s="10" t="s">
        <v>17</v>
      </c>
      <c r="E352" s="7" t="s">
        <v>336</v>
      </c>
      <c r="F352" s="5" t="s">
        <v>337</v>
      </c>
      <c r="G352" s="22" t="s">
        <v>338</v>
      </c>
    </row>
    <row r="353" spans="1:7" ht="20.25" customHeight="1">
      <c r="A353" s="10">
        <v>12332</v>
      </c>
      <c r="B353" s="10">
        <v>16332</v>
      </c>
      <c r="C353" s="10">
        <f t="shared" si="6"/>
        <v>12332</v>
      </c>
      <c r="D353" s="10" t="s">
        <v>17</v>
      </c>
      <c r="E353" s="7" t="s">
        <v>339</v>
      </c>
      <c r="F353" s="5" t="s">
        <v>337</v>
      </c>
      <c r="G353" s="22" t="s">
        <v>338</v>
      </c>
    </row>
    <row r="354" spans="1:7" ht="20.25" customHeight="1">
      <c r="A354" s="10">
        <v>12333</v>
      </c>
      <c r="B354" s="10">
        <v>16333</v>
      </c>
      <c r="C354" s="10">
        <f t="shared" si="6"/>
        <v>12333</v>
      </c>
      <c r="D354" s="10" t="s">
        <v>17</v>
      </c>
      <c r="E354" s="7" t="s">
        <v>340</v>
      </c>
      <c r="F354" s="7"/>
      <c r="G354" s="7"/>
    </row>
    <row r="355" spans="1:7" ht="20.25" customHeight="1">
      <c r="A355" s="10">
        <v>12334</v>
      </c>
      <c r="B355" s="10">
        <v>16334</v>
      </c>
      <c r="C355" s="10">
        <f t="shared" si="6"/>
        <v>22334</v>
      </c>
      <c r="D355" s="10" t="s">
        <v>17</v>
      </c>
      <c r="E355" s="7" t="s">
        <v>341</v>
      </c>
      <c r="F355" s="177" t="s">
        <v>342</v>
      </c>
      <c r="G355" s="22"/>
    </row>
    <row r="356" spans="1:7" ht="20.25" customHeight="1">
      <c r="A356" s="10">
        <v>12334</v>
      </c>
      <c r="B356" s="10">
        <v>16334</v>
      </c>
      <c r="C356" s="10">
        <f t="shared" si="6"/>
        <v>12334</v>
      </c>
      <c r="D356" s="10" t="s">
        <v>17</v>
      </c>
      <c r="E356" s="7" t="s">
        <v>343</v>
      </c>
      <c r="F356" s="177"/>
      <c r="G356" s="22"/>
    </row>
    <row r="357" spans="1:7" ht="20.25" customHeight="1">
      <c r="A357" s="10">
        <v>12335</v>
      </c>
      <c r="B357" s="10">
        <v>16335</v>
      </c>
      <c r="C357" s="10">
        <f t="shared" si="6"/>
        <v>12335</v>
      </c>
      <c r="D357" s="10" t="s">
        <v>17</v>
      </c>
      <c r="E357" s="7" t="s">
        <v>344</v>
      </c>
      <c r="F357" s="8" t="s">
        <v>345</v>
      </c>
      <c r="G357" s="22"/>
    </row>
    <row r="358" spans="1:7" ht="20.25" customHeight="1">
      <c r="A358" s="10">
        <v>12336</v>
      </c>
      <c r="B358" s="10">
        <v>16336</v>
      </c>
      <c r="C358" s="10">
        <f t="shared" si="6"/>
        <v>22336</v>
      </c>
      <c r="D358" s="10" t="s">
        <v>17</v>
      </c>
      <c r="E358" s="7" t="s">
        <v>346</v>
      </c>
      <c r="F358" s="177" t="s">
        <v>342</v>
      </c>
      <c r="G358" s="22"/>
    </row>
    <row r="359" spans="1:7" ht="20.25" customHeight="1">
      <c r="A359" s="10">
        <v>12336</v>
      </c>
      <c r="B359" s="10">
        <v>16336</v>
      </c>
      <c r="C359" s="10">
        <f t="shared" si="6"/>
        <v>12336</v>
      </c>
      <c r="D359" s="10" t="s">
        <v>17</v>
      </c>
      <c r="E359" s="7" t="s">
        <v>347</v>
      </c>
      <c r="F359" s="177"/>
      <c r="G359" s="22"/>
    </row>
    <row r="360" spans="1:7" ht="20.25" customHeight="1">
      <c r="A360" s="10">
        <v>12337</v>
      </c>
      <c r="B360" s="10">
        <v>16337</v>
      </c>
      <c r="C360" s="10">
        <f t="shared" si="6"/>
        <v>12337</v>
      </c>
      <c r="D360" s="10" t="s">
        <v>17</v>
      </c>
      <c r="E360" s="7" t="s">
        <v>348</v>
      </c>
      <c r="F360" s="8" t="s">
        <v>345</v>
      </c>
      <c r="G360" s="22"/>
    </row>
    <row r="361" spans="1:7" ht="20.25" customHeight="1">
      <c r="A361" s="10">
        <v>12338</v>
      </c>
      <c r="B361" s="10">
        <v>16338</v>
      </c>
      <c r="C361" s="10">
        <f t="shared" si="6"/>
        <v>22338</v>
      </c>
      <c r="D361" s="10" t="s">
        <v>17</v>
      </c>
      <c r="E361" s="7" t="s">
        <v>349</v>
      </c>
      <c r="F361" s="7" t="s">
        <v>345</v>
      </c>
      <c r="G361" s="22"/>
    </row>
    <row r="362" spans="1:7" ht="20.25" customHeight="1">
      <c r="A362" s="10">
        <v>12339</v>
      </c>
      <c r="B362" s="10">
        <v>16339</v>
      </c>
      <c r="C362" s="10">
        <f t="shared" si="6"/>
        <v>12339</v>
      </c>
      <c r="D362" s="10" t="s">
        <v>17</v>
      </c>
      <c r="E362" s="7" t="s">
        <v>350</v>
      </c>
      <c r="F362" s="7" t="s">
        <v>345</v>
      </c>
      <c r="G362" s="22"/>
    </row>
    <row r="363" spans="1:7" ht="20.25" customHeight="1">
      <c r="A363" s="10">
        <v>12340</v>
      </c>
      <c r="B363" s="10">
        <v>16340</v>
      </c>
      <c r="C363" s="10">
        <f t="shared" si="6"/>
        <v>22340</v>
      </c>
      <c r="D363" s="10" t="s">
        <v>22</v>
      </c>
      <c r="E363" s="7" t="s">
        <v>351</v>
      </c>
      <c r="F363" s="5" t="s">
        <v>38</v>
      </c>
      <c r="G363" s="135"/>
    </row>
    <row r="364" spans="1:7" ht="20.25" customHeight="1">
      <c r="A364" s="10">
        <v>12341</v>
      </c>
      <c r="B364" s="10">
        <v>16341</v>
      </c>
      <c r="C364" s="10">
        <f t="shared" si="6"/>
        <v>22341</v>
      </c>
      <c r="D364" s="10" t="s">
        <v>22</v>
      </c>
      <c r="E364" s="7" t="s">
        <v>352</v>
      </c>
      <c r="F364" s="5" t="s">
        <v>38</v>
      </c>
      <c r="G364" s="135"/>
    </row>
    <row r="365" spans="1:7" ht="20.25" customHeight="1">
      <c r="A365" s="10">
        <v>12342</v>
      </c>
      <c r="B365" s="10">
        <v>16342</v>
      </c>
      <c r="C365" s="10">
        <f t="shared" si="6"/>
        <v>12342</v>
      </c>
      <c r="D365" s="10" t="s">
        <v>17</v>
      </c>
      <c r="E365" s="7" t="s">
        <v>353</v>
      </c>
      <c r="F365" s="7"/>
      <c r="G365" s="134"/>
    </row>
    <row r="366" spans="1:7" ht="20.25" customHeight="1">
      <c r="A366" s="10">
        <v>12343</v>
      </c>
      <c r="B366" s="10">
        <v>16343</v>
      </c>
      <c r="C366" s="10">
        <f t="shared" si="6"/>
        <v>12343</v>
      </c>
      <c r="D366" s="10" t="s">
        <v>17</v>
      </c>
      <c r="E366" s="7" t="s">
        <v>354</v>
      </c>
      <c r="F366" s="7" t="s">
        <v>355</v>
      </c>
      <c r="G366" s="22" t="s">
        <v>356</v>
      </c>
    </row>
    <row r="367" spans="1:7" ht="20.25" customHeight="1">
      <c r="A367" s="10">
        <v>12344</v>
      </c>
      <c r="B367" s="10">
        <v>16344</v>
      </c>
      <c r="C367" s="10">
        <f t="shared" si="6"/>
        <v>12344</v>
      </c>
      <c r="D367" s="10" t="s">
        <v>17</v>
      </c>
      <c r="E367" s="7" t="s">
        <v>357</v>
      </c>
      <c r="F367" s="7" t="s">
        <v>358</v>
      </c>
      <c r="G367" s="7"/>
    </row>
    <row r="368" spans="1:7" ht="20.25" customHeight="1">
      <c r="A368" s="10">
        <v>12345</v>
      </c>
      <c r="C368" s="10">
        <f t="shared" si="6"/>
        <v>12345</v>
      </c>
      <c r="D368" s="10" t="s">
        <v>67</v>
      </c>
      <c r="E368" s="7" t="s">
        <v>359</v>
      </c>
      <c r="F368" s="7"/>
      <c r="G368" s="7"/>
    </row>
    <row r="369" spans="1:7" ht="20.25" customHeight="1">
      <c r="A369" s="10">
        <v>12346</v>
      </c>
      <c r="B369" s="10">
        <v>16346</v>
      </c>
      <c r="C369" s="10">
        <f t="shared" si="6"/>
        <v>12346</v>
      </c>
      <c r="D369" s="10" t="s">
        <v>17</v>
      </c>
      <c r="E369" s="7" t="s">
        <v>360</v>
      </c>
      <c r="F369" s="7"/>
      <c r="G369" s="7"/>
    </row>
    <row r="370" spans="1:7" ht="20.25" customHeight="1">
      <c r="A370" s="10">
        <v>12347</v>
      </c>
      <c r="B370" s="10">
        <v>16347</v>
      </c>
      <c r="C370" s="10">
        <f t="shared" si="6"/>
        <v>12347</v>
      </c>
      <c r="D370" s="10" t="s">
        <v>17</v>
      </c>
      <c r="E370" s="7" t="s">
        <v>361</v>
      </c>
      <c r="F370" s="7"/>
      <c r="G370" s="7"/>
    </row>
    <row r="371" spans="1:7" ht="20.25" customHeight="1">
      <c r="A371" s="10">
        <v>12348</v>
      </c>
      <c r="B371" s="10">
        <v>16348</v>
      </c>
      <c r="C371" s="10">
        <f t="shared" si="6"/>
        <v>22348</v>
      </c>
      <c r="D371" s="10" t="s">
        <v>22</v>
      </c>
      <c r="E371" s="7" t="s">
        <v>362</v>
      </c>
      <c r="F371" s="5" t="s">
        <v>38</v>
      </c>
      <c r="G371" s="7"/>
    </row>
    <row r="372" spans="1:7" ht="20.25" customHeight="1">
      <c r="A372" s="10">
        <v>12349</v>
      </c>
      <c r="B372" s="10">
        <v>16349</v>
      </c>
      <c r="C372" s="10">
        <f t="shared" si="6"/>
        <v>12349</v>
      </c>
      <c r="D372" s="10" t="s">
        <v>17</v>
      </c>
      <c r="E372" s="7" t="s">
        <v>363</v>
      </c>
      <c r="F372" s="7"/>
      <c r="G372" s="7" t="s">
        <v>364</v>
      </c>
    </row>
    <row r="373" spans="1:7" ht="20.25" customHeight="1">
      <c r="A373" s="10">
        <v>12350</v>
      </c>
      <c r="B373" s="10">
        <v>16350</v>
      </c>
      <c r="C373" s="10">
        <f t="shared" si="6"/>
        <v>12350</v>
      </c>
      <c r="D373" s="10" t="s">
        <v>22</v>
      </c>
      <c r="E373" s="7"/>
      <c r="F373" s="7"/>
      <c r="G373" s="7"/>
    </row>
    <row r="374" spans="1:7" ht="20.25" customHeight="1">
      <c r="A374" s="10">
        <v>12351</v>
      </c>
      <c r="B374" s="10">
        <v>16351</v>
      </c>
      <c r="C374" s="10">
        <f t="shared" si="6"/>
        <v>12351</v>
      </c>
      <c r="D374" s="10" t="s">
        <v>17</v>
      </c>
      <c r="E374" s="7" t="s">
        <v>365</v>
      </c>
      <c r="F374" s="7"/>
      <c r="G374" s="7" t="s">
        <v>366</v>
      </c>
    </row>
    <row r="375" spans="1:7" ht="20.25" customHeight="1">
      <c r="A375" s="10">
        <v>12352</v>
      </c>
      <c r="B375" s="10">
        <v>16352</v>
      </c>
      <c r="C375" s="10">
        <f t="shared" si="6"/>
        <v>12352</v>
      </c>
      <c r="D375" s="10" t="s">
        <v>22</v>
      </c>
      <c r="E375" s="7" t="s">
        <v>367</v>
      </c>
      <c r="F375" s="7"/>
      <c r="G375" s="7"/>
    </row>
    <row r="376" spans="1:7" ht="20.25" customHeight="1">
      <c r="A376" s="10">
        <v>12353</v>
      </c>
      <c r="B376" s="10">
        <v>16353</v>
      </c>
      <c r="C376" s="10">
        <f t="shared" si="6"/>
        <v>22353</v>
      </c>
      <c r="D376" s="10" t="s">
        <v>22</v>
      </c>
      <c r="E376" s="7" t="s">
        <v>368</v>
      </c>
      <c r="F376" s="5" t="s">
        <v>38</v>
      </c>
      <c r="G376" s="7"/>
    </row>
    <row r="377" spans="1:7" ht="20.25" customHeight="1">
      <c r="A377" s="10">
        <v>12354</v>
      </c>
      <c r="B377" s="10">
        <v>16354</v>
      </c>
      <c r="C377" s="10">
        <f t="shared" si="6"/>
        <v>12354</v>
      </c>
      <c r="D377" s="10" t="s">
        <v>17</v>
      </c>
      <c r="E377" s="7" t="s">
        <v>369</v>
      </c>
      <c r="F377" s="7"/>
      <c r="G377" s="7"/>
    </row>
    <row r="378" spans="1:7" ht="20.25" customHeight="1">
      <c r="A378" s="10">
        <v>12355</v>
      </c>
      <c r="B378" s="10">
        <v>16355</v>
      </c>
      <c r="C378" s="10">
        <f t="shared" si="6"/>
        <v>12355</v>
      </c>
      <c r="D378" s="10" t="s">
        <v>17</v>
      </c>
      <c r="E378" s="7" t="s">
        <v>370</v>
      </c>
      <c r="F378" s="7"/>
      <c r="G378" s="7"/>
    </row>
    <row r="379" spans="1:7" ht="20.25" customHeight="1">
      <c r="A379" s="10">
        <v>12356</v>
      </c>
      <c r="B379" s="10">
        <v>16356</v>
      </c>
      <c r="C379" s="10">
        <f t="shared" si="6"/>
        <v>12356</v>
      </c>
      <c r="D379" s="10" t="s">
        <v>17</v>
      </c>
      <c r="E379" s="7" t="s">
        <v>371</v>
      </c>
      <c r="F379" s="7"/>
      <c r="G379" s="27"/>
    </row>
    <row r="380" spans="1:7" ht="20.25" customHeight="1">
      <c r="A380" s="10">
        <v>12357</v>
      </c>
      <c r="B380" s="10">
        <v>16357</v>
      </c>
      <c r="C380" s="10">
        <f t="shared" si="6"/>
        <v>12357</v>
      </c>
      <c r="D380" s="10" t="s">
        <v>17</v>
      </c>
      <c r="E380" s="7" t="s">
        <v>372</v>
      </c>
      <c r="F380" s="7"/>
      <c r="G380" s="27"/>
    </row>
    <row r="381" spans="1:7" ht="20.25" customHeight="1">
      <c r="A381" s="10">
        <v>12358</v>
      </c>
      <c r="B381" s="10">
        <v>16358</v>
      </c>
      <c r="C381" s="10">
        <f t="shared" si="6"/>
        <v>12358</v>
      </c>
      <c r="D381" s="10" t="s">
        <v>17</v>
      </c>
      <c r="E381" s="7" t="s">
        <v>373</v>
      </c>
      <c r="F381" s="7"/>
      <c r="G381" s="27"/>
    </row>
    <row r="382" spans="1:7" ht="20.25" customHeight="1">
      <c r="A382" s="10">
        <v>12359</v>
      </c>
      <c r="B382" s="10">
        <v>16359</v>
      </c>
      <c r="C382" s="10">
        <f t="shared" si="6"/>
        <v>12359</v>
      </c>
      <c r="D382" s="10" t="s">
        <v>17</v>
      </c>
      <c r="E382" s="7" t="s">
        <v>374</v>
      </c>
      <c r="F382" s="7"/>
      <c r="G382" s="7">
        <v>19876302</v>
      </c>
    </row>
    <row r="383" spans="1:7" ht="20.25" customHeight="1">
      <c r="A383" s="10">
        <v>12360</v>
      </c>
      <c r="B383" s="10">
        <v>16360</v>
      </c>
      <c r="C383" s="10">
        <f t="shared" si="6"/>
        <v>12360</v>
      </c>
      <c r="D383" s="10" t="s">
        <v>17</v>
      </c>
      <c r="E383" s="7" t="s">
        <v>375</v>
      </c>
      <c r="F383" s="7"/>
      <c r="G383" s="7">
        <v>19876302</v>
      </c>
    </row>
    <row r="384" spans="1:7" ht="20.25" customHeight="1">
      <c r="A384" s="10">
        <v>12361</v>
      </c>
      <c r="B384" s="10">
        <v>16361</v>
      </c>
      <c r="C384" s="10">
        <f t="shared" si="6"/>
        <v>12361</v>
      </c>
      <c r="D384" s="10" t="s">
        <v>17</v>
      </c>
      <c r="E384" s="7" t="s">
        <v>376</v>
      </c>
      <c r="F384" s="7"/>
      <c r="G384" s="7">
        <v>19876302</v>
      </c>
    </row>
    <row r="385" spans="1:7" ht="20.25" customHeight="1">
      <c r="A385" s="10">
        <v>12362</v>
      </c>
      <c r="B385" s="10">
        <v>16362</v>
      </c>
      <c r="C385" s="10">
        <f t="shared" si="6"/>
        <v>12362</v>
      </c>
      <c r="D385" s="10" t="s">
        <v>17</v>
      </c>
      <c r="E385" s="7" t="s">
        <v>377</v>
      </c>
      <c r="F385" s="7"/>
      <c r="G385" s="7">
        <v>19876302</v>
      </c>
    </row>
    <row r="386" spans="1:7" ht="20.25" customHeight="1">
      <c r="A386" s="10">
        <v>12363</v>
      </c>
      <c r="B386" s="10">
        <v>16363</v>
      </c>
      <c r="C386" s="10">
        <f t="shared" si="6"/>
        <v>22363</v>
      </c>
      <c r="D386" s="10" t="s">
        <v>22</v>
      </c>
      <c r="E386" s="7" t="s">
        <v>378</v>
      </c>
      <c r="F386" s="5" t="s">
        <v>38</v>
      </c>
      <c r="G386" s="7"/>
    </row>
    <row r="387" spans="1:7" ht="20.25" customHeight="1">
      <c r="A387" s="10">
        <v>12364</v>
      </c>
      <c r="B387" s="10">
        <v>16364</v>
      </c>
      <c r="C387" s="10">
        <f t="shared" ref="C387:C450" si="7">IF(ISERROR(FIND("B_Epic",E387)),A387,A387+10000)</f>
        <v>22364</v>
      </c>
      <c r="D387" s="10" t="s">
        <v>22</v>
      </c>
      <c r="E387" s="7" t="s">
        <v>379</v>
      </c>
      <c r="F387" s="5" t="s">
        <v>38</v>
      </c>
      <c r="G387" s="7"/>
    </row>
    <row r="388" spans="1:7" ht="20.25" customHeight="1">
      <c r="A388" s="10">
        <v>12365</v>
      </c>
      <c r="B388" s="10">
        <v>16365</v>
      </c>
      <c r="C388" s="10">
        <f t="shared" si="7"/>
        <v>12365</v>
      </c>
      <c r="D388" s="10" t="s">
        <v>380</v>
      </c>
      <c r="E388" s="7" t="s">
        <v>381</v>
      </c>
      <c r="F388" s="7"/>
      <c r="G388" s="7"/>
    </row>
    <row r="389" spans="1:7" ht="20.25" customHeight="1">
      <c r="A389" s="10">
        <v>12366</v>
      </c>
      <c r="B389" s="10">
        <v>16366</v>
      </c>
      <c r="C389" s="10">
        <f t="shared" si="7"/>
        <v>12366</v>
      </c>
      <c r="D389" s="10" t="s">
        <v>380</v>
      </c>
      <c r="E389" s="7" t="s">
        <v>382</v>
      </c>
      <c r="F389" s="7"/>
      <c r="G389" s="7"/>
    </row>
    <row r="390" spans="1:7" ht="20.25" customHeight="1">
      <c r="A390" s="10">
        <v>12367</v>
      </c>
      <c r="B390" s="10">
        <v>16367</v>
      </c>
      <c r="C390" s="10">
        <f t="shared" si="7"/>
        <v>12367</v>
      </c>
      <c r="D390" s="10" t="s">
        <v>22</v>
      </c>
      <c r="E390" s="7"/>
      <c r="F390" s="7"/>
      <c r="G390" s="7"/>
    </row>
    <row r="391" spans="1:7" ht="20.25" customHeight="1">
      <c r="A391" s="10">
        <v>12368</v>
      </c>
      <c r="B391" s="10">
        <v>16368</v>
      </c>
      <c r="C391" s="10">
        <f t="shared" si="7"/>
        <v>12368</v>
      </c>
      <c r="D391" s="10" t="s">
        <v>17</v>
      </c>
      <c r="E391" s="7" t="s">
        <v>383</v>
      </c>
      <c r="F391" s="7"/>
      <c r="G391" s="7" t="s">
        <v>384</v>
      </c>
    </row>
    <row r="392" spans="1:7" ht="20.25" customHeight="1">
      <c r="A392" s="10">
        <v>12369</v>
      </c>
      <c r="B392" s="10">
        <v>16369</v>
      </c>
      <c r="C392" s="10">
        <f t="shared" si="7"/>
        <v>12369</v>
      </c>
      <c r="D392" s="10" t="s">
        <v>17</v>
      </c>
      <c r="E392" s="7" t="s">
        <v>385</v>
      </c>
      <c r="F392" s="7" t="s">
        <v>358</v>
      </c>
      <c r="G392" s="7"/>
    </row>
    <row r="393" spans="1:7" ht="20.25" customHeight="1">
      <c r="A393" s="10">
        <v>12370</v>
      </c>
      <c r="B393" s="10">
        <v>16370</v>
      </c>
      <c r="C393" s="10">
        <f t="shared" si="7"/>
        <v>22370</v>
      </c>
      <c r="D393" s="10" t="s">
        <v>22</v>
      </c>
      <c r="E393" s="7" t="s">
        <v>386</v>
      </c>
      <c r="F393" s="5" t="s">
        <v>38</v>
      </c>
      <c r="G393" s="7"/>
    </row>
    <row r="394" spans="1:7" ht="20.25" customHeight="1">
      <c r="A394" s="10">
        <v>12371</v>
      </c>
      <c r="B394" s="10">
        <v>16371</v>
      </c>
      <c r="C394" s="10">
        <f t="shared" si="7"/>
        <v>12371</v>
      </c>
      <c r="D394" s="10" t="s">
        <v>17</v>
      </c>
      <c r="E394" s="7" t="s">
        <v>387</v>
      </c>
      <c r="F394" s="7" t="s">
        <v>358</v>
      </c>
      <c r="G394" s="7"/>
    </row>
    <row r="395" spans="1:7" ht="20.25" customHeight="1">
      <c r="A395" s="10">
        <v>12372</v>
      </c>
      <c r="B395" s="10">
        <v>16372</v>
      </c>
      <c r="C395" s="10">
        <f t="shared" si="7"/>
        <v>12372</v>
      </c>
      <c r="D395" s="10" t="s">
        <v>22</v>
      </c>
      <c r="E395" s="7"/>
      <c r="F395" s="7"/>
      <c r="G395" s="7"/>
    </row>
    <row r="396" spans="1:7" ht="20.25" customHeight="1">
      <c r="A396" s="10">
        <v>12373</v>
      </c>
      <c r="B396" s="10">
        <v>16373</v>
      </c>
      <c r="C396" s="10">
        <f t="shared" si="7"/>
        <v>12373</v>
      </c>
      <c r="D396" s="10" t="s">
        <v>17</v>
      </c>
      <c r="E396" s="7" t="s">
        <v>388</v>
      </c>
      <c r="F396" s="7"/>
      <c r="G396" s="7"/>
    </row>
    <row r="397" spans="1:7" ht="20.25" customHeight="1">
      <c r="A397" s="10">
        <v>12374</v>
      </c>
      <c r="B397" s="10">
        <v>16374</v>
      </c>
      <c r="C397" s="10">
        <f t="shared" si="7"/>
        <v>22374</v>
      </c>
      <c r="D397" s="10" t="s">
        <v>17</v>
      </c>
      <c r="E397" s="7" t="s">
        <v>389</v>
      </c>
      <c r="F397" s="7"/>
      <c r="G397" s="7"/>
    </row>
    <row r="398" spans="1:7" ht="20.25" customHeight="1">
      <c r="A398" s="10">
        <v>12375</v>
      </c>
      <c r="B398" s="10">
        <v>16375</v>
      </c>
      <c r="C398" s="10">
        <f t="shared" si="7"/>
        <v>12375</v>
      </c>
      <c r="D398" s="10" t="s">
        <v>17</v>
      </c>
      <c r="E398" s="7" t="s">
        <v>390</v>
      </c>
      <c r="F398" s="7"/>
      <c r="G398" s="7"/>
    </row>
    <row r="399" spans="1:7" ht="20.25" customHeight="1">
      <c r="A399" s="10">
        <v>12376</v>
      </c>
      <c r="B399" s="10">
        <v>16376</v>
      </c>
      <c r="C399" s="10">
        <f t="shared" si="7"/>
        <v>22376</v>
      </c>
      <c r="D399" s="10" t="s">
        <v>17</v>
      </c>
      <c r="E399" s="7" t="s">
        <v>391</v>
      </c>
      <c r="F399" s="7"/>
      <c r="G399" s="7"/>
    </row>
    <row r="400" spans="1:7" ht="20.25" customHeight="1">
      <c r="A400" s="10">
        <v>12377</v>
      </c>
      <c r="B400" s="10">
        <v>16377</v>
      </c>
      <c r="C400" s="10">
        <f t="shared" si="7"/>
        <v>12377</v>
      </c>
      <c r="D400" s="10" t="s">
        <v>17</v>
      </c>
      <c r="E400" s="7" t="s">
        <v>392</v>
      </c>
      <c r="F400" s="7"/>
      <c r="G400" s="7"/>
    </row>
    <row r="401" spans="1:7" ht="20.25" customHeight="1">
      <c r="A401" s="10">
        <v>12378</v>
      </c>
      <c r="B401" s="10">
        <v>16378</v>
      </c>
      <c r="C401" s="10">
        <f t="shared" si="7"/>
        <v>12378</v>
      </c>
      <c r="D401" s="10" t="s">
        <v>22</v>
      </c>
      <c r="E401" s="7"/>
      <c r="F401" s="7"/>
      <c r="G401" s="7"/>
    </row>
    <row r="402" spans="1:7" ht="20.25" customHeight="1">
      <c r="A402" s="10">
        <v>12379</v>
      </c>
      <c r="B402" s="10">
        <v>16379</v>
      </c>
      <c r="C402" s="10">
        <f t="shared" si="7"/>
        <v>12379</v>
      </c>
      <c r="D402" s="10" t="s">
        <v>17</v>
      </c>
      <c r="E402" s="7" t="s">
        <v>393</v>
      </c>
      <c r="F402" s="7"/>
      <c r="G402" s="7"/>
    </row>
    <row r="403" spans="1:7" ht="20.25" customHeight="1">
      <c r="A403" s="10">
        <v>12380</v>
      </c>
      <c r="B403" s="10">
        <v>16380</v>
      </c>
      <c r="C403" s="10">
        <f t="shared" si="7"/>
        <v>12380</v>
      </c>
      <c r="D403" s="10" t="s">
        <v>17</v>
      </c>
      <c r="E403" s="7" t="s">
        <v>394</v>
      </c>
      <c r="F403" s="7"/>
      <c r="G403" s="7"/>
    </row>
    <row r="404" spans="1:7" ht="20.25" customHeight="1">
      <c r="A404" s="10">
        <v>12381</v>
      </c>
      <c r="B404" s="10">
        <v>16381</v>
      </c>
      <c r="C404" s="10">
        <f t="shared" si="7"/>
        <v>12381</v>
      </c>
      <c r="D404" s="10" t="s">
        <v>17</v>
      </c>
      <c r="E404" s="7" t="s">
        <v>395</v>
      </c>
      <c r="F404" s="7"/>
      <c r="G404" s="7"/>
    </row>
    <row r="405" spans="1:7" ht="20.25" customHeight="1">
      <c r="A405" s="10">
        <v>12382</v>
      </c>
      <c r="B405" s="10">
        <v>16382</v>
      </c>
      <c r="C405" s="10">
        <f t="shared" si="7"/>
        <v>12382</v>
      </c>
      <c r="D405" s="10" t="s">
        <v>17</v>
      </c>
      <c r="E405" s="7" t="s">
        <v>396</v>
      </c>
      <c r="F405" s="7"/>
      <c r="G405" s="7"/>
    </row>
    <row r="406" spans="1:7" ht="20.25" customHeight="1">
      <c r="A406" s="10">
        <v>12383</v>
      </c>
      <c r="B406" s="10">
        <v>16383</v>
      </c>
      <c r="C406" s="10">
        <f t="shared" si="7"/>
        <v>12383</v>
      </c>
      <c r="D406" s="10" t="s">
        <v>17</v>
      </c>
      <c r="E406" s="7" t="s">
        <v>397</v>
      </c>
      <c r="F406" s="7"/>
      <c r="G406" s="7"/>
    </row>
    <row r="407" spans="1:7" ht="20.25" customHeight="1">
      <c r="A407" s="10">
        <v>12384</v>
      </c>
      <c r="B407" s="10">
        <v>16384</v>
      </c>
      <c r="C407" s="10">
        <f t="shared" si="7"/>
        <v>12384</v>
      </c>
      <c r="D407" s="10" t="s">
        <v>17</v>
      </c>
      <c r="E407" s="7" t="s">
        <v>398</v>
      </c>
      <c r="F407" s="7"/>
      <c r="G407" s="7"/>
    </row>
    <row r="408" spans="1:7" ht="20.25" customHeight="1">
      <c r="A408" s="10">
        <v>12385</v>
      </c>
      <c r="B408" s="10">
        <v>16385</v>
      </c>
      <c r="C408" s="10">
        <f t="shared" si="7"/>
        <v>12385</v>
      </c>
      <c r="D408" s="10" t="s">
        <v>17</v>
      </c>
      <c r="E408" s="7" t="s">
        <v>399</v>
      </c>
      <c r="F408" s="7"/>
      <c r="G408" s="7"/>
    </row>
    <row r="409" spans="1:7" ht="20.25" customHeight="1">
      <c r="A409" s="10">
        <v>12386</v>
      </c>
      <c r="B409" s="10">
        <v>16386</v>
      </c>
      <c r="C409" s="10">
        <f t="shared" si="7"/>
        <v>12386</v>
      </c>
      <c r="D409" s="10" t="s">
        <v>17</v>
      </c>
      <c r="E409" s="7" t="s">
        <v>400</v>
      </c>
      <c r="F409" s="7"/>
      <c r="G409" s="7"/>
    </row>
    <row r="410" spans="1:7" ht="20.25" customHeight="1">
      <c r="A410" s="10">
        <v>12387</v>
      </c>
      <c r="B410" s="10">
        <v>16387</v>
      </c>
      <c r="C410" s="10">
        <f t="shared" si="7"/>
        <v>22387</v>
      </c>
      <c r="D410" s="10" t="s">
        <v>17</v>
      </c>
      <c r="E410" s="7" t="s">
        <v>401</v>
      </c>
      <c r="F410" s="7"/>
      <c r="G410" s="7"/>
    </row>
    <row r="411" spans="1:7" ht="20.25" customHeight="1">
      <c r="A411" s="10">
        <v>12388</v>
      </c>
      <c r="B411" s="10">
        <v>16388</v>
      </c>
      <c r="C411" s="10">
        <f t="shared" si="7"/>
        <v>12388</v>
      </c>
      <c r="D411" s="10" t="s">
        <v>17</v>
      </c>
      <c r="E411" s="7" t="s">
        <v>402</v>
      </c>
      <c r="F411" s="7"/>
      <c r="G411" s="7"/>
    </row>
    <row r="412" spans="1:7" ht="20.25" customHeight="1">
      <c r="A412" s="10">
        <v>12389</v>
      </c>
      <c r="B412" s="10">
        <v>16389</v>
      </c>
      <c r="C412" s="10">
        <f t="shared" si="7"/>
        <v>12389</v>
      </c>
      <c r="D412" s="10" t="s">
        <v>17</v>
      </c>
      <c r="E412" s="7" t="s">
        <v>403</v>
      </c>
      <c r="F412" s="7"/>
      <c r="G412" s="7"/>
    </row>
    <row r="413" spans="1:7" ht="20.25" customHeight="1">
      <c r="A413" s="10">
        <v>12390</v>
      </c>
      <c r="B413" s="10">
        <v>16390</v>
      </c>
      <c r="C413" s="10">
        <f t="shared" si="7"/>
        <v>12390</v>
      </c>
      <c r="D413" s="10" t="s">
        <v>17</v>
      </c>
      <c r="E413" s="7" t="s">
        <v>404</v>
      </c>
      <c r="F413" s="7"/>
      <c r="G413" s="7"/>
    </row>
    <row r="414" spans="1:7" ht="20.25" customHeight="1">
      <c r="A414" s="10">
        <v>12391</v>
      </c>
      <c r="B414" s="10">
        <v>16391</v>
      </c>
      <c r="C414" s="10">
        <f t="shared" si="7"/>
        <v>12391</v>
      </c>
      <c r="D414" s="10" t="s">
        <v>17</v>
      </c>
      <c r="E414" s="7" t="s">
        <v>405</v>
      </c>
      <c r="F414" s="7"/>
      <c r="G414" s="7"/>
    </row>
    <row r="415" spans="1:7" ht="20.25" customHeight="1">
      <c r="A415" s="10">
        <v>12392</v>
      </c>
      <c r="B415" s="10">
        <v>16392</v>
      </c>
      <c r="C415" s="10">
        <f t="shared" si="7"/>
        <v>22392</v>
      </c>
      <c r="D415" s="10" t="s">
        <v>22</v>
      </c>
      <c r="E415" s="7" t="s">
        <v>406</v>
      </c>
      <c r="F415" s="5" t="s">
        <v>38</v>
      </c>
      <c r="G415" s="7"/>
    </row>
    <row r="416" spans="1:7" ht="20.25" customHeight="1">
      <c r="A416" s="10">
        <v>12393</v>
      </c>
      <c r="B416" s="10">
        <v>16393</v>
      </c>
      <c r="C416" s="10">
        <f t="shared" si="7"/>
        <v>12393</v>
      </c>
      <c r="D416" s="10" t="s">
        <v>17</v>
      </c>
      <c r="E416" s="7" t="s">
        <v>407</v>
      </c>
      <c r="F416" s="7"/>
      <c r="G416" s="7"/>
    </row>
    <row r="417" spans="1:7" ht="20.25" customHeight="1">
      <c r="A417" s="10">
        <v>12394</v>
      </c>
      <c r="B417" s="10">
        <v>16394</v>
      </c>
      <c r="C417" s="10">
        <f t="shared" si="7"/>
        <v>22394</v>
      </c>
      <c r="D417" s="10" t="s">
        <v>22</v>
      </c>
      <c r="E417" s="7" t="s">
        <v>408</v>
      </c>
      <c r="F417" s="5" t="s">
        <v>38</v>
      </c>
      <c r="G417" s="7"/>
    </row>
    <row r="418" spans="1:7" ht="20.25" customHeight="1">
      <c r="A418" s="10">
        <v>12395</v>
      </c>
      <c r="B418" s="10">
        <v>16395</v>
      </c>
      <c r="C418" s="10">
        <f t="shared" si="7"/>
        <v>12395</v>
      </c>
      <c r="D418" s="10" t="s">
        <v>17</v>
      </c>
      <c r="E418" s="7" t="s">
        <v>409</v>
      </c>
      <c r="F418" s="7"/>
      <c r="G418" s="7"/>
    </row>
    <row r="419" spans="1:7" ht="20.25" customHeight="1">
      <c r="A419" s="10">
        <v>12396</v>
      </c>
      <c r="B419" s="10">
        <v>16396</v>
      </c>
      <c r="C419" s="10">
        <f t="shared" si="7"/>
        <v>12396</v>
      </c>
      <c r="D419" s="10" t="s">
        <v>17</v>
      </c>
      <c r="E419" s="7" t="s">
        <v>410</v>
      </c>
      <c r="F419" s="7"/>
      <c r="G419" s="7"/>
    </row>
    <row r="420" spans="1:7" ht="20.25" customHeight="1">
      <c r="A420" s="10">
        <v>12397</v>
      </c>
      <c r="B420" s="10">
        <v>16397</v>
      </c>
      <c r="C420" s="10">
        <f t="shared" si="7"/>
        <v>12397</v>
      </c>
      <c r="D420" s="10" t="s">
        <v>17</v>
      </c>
      <c r="E420" s="7" t="s">
        <v>411</v>
      </c>
      <c r="F420" s="7"/>
      <c r="G420" s="7"/>
    </row>
    <row r="421" spans="1:7" ht="20.25" customHeight="1">
      <c r="A421" s="10">
        <v>12398</v>
      </c>
      <c r="B421" s="10">
        <v>16398</v>
      </c>
      <c r="C421" s="10">
        <f t="shared" si="7"/>
        <v>12398</v>
      </c>
      <c r="D421" s="10" t="s">
        <v>17</v>
      </c>
      <c r="E421" s="7" t="s">
        <v>412</v>
      </c>
      <c r="F421" s="7"/>
      <c r="G421" s="7"/>
    </row>
    <row r="422" spans="1:7" ht="20.25" customHeight="1">
      <c r="A422" s="10">
        <v>12399</v>
      </c>
      <c r="B422" s="10">
        <v>16399</v>
      </c>
      <c r="C422" s="10">
        <f t="shared" si="7"/>
        <v>22399</v>
      </c>
      <c r="D422" s="10" t="s">
        <v>22</v>
      </c>
      <c r="E422" s="7" t="s">
        <v>413</v>
      </c>
      <c r="F422" s="5" t="s">
        <v>38</v>
      </c>
      <c r="G422" s="7"/>
    </row>
    <row r="423" spans="1:7" ht="20.25" customHeight="1">
      <c r="A423" s="10">
        <v>12400</v>
      </c>
      <c r="B423" s="10">
        <v>16400</v>
      </c>
      <c r="C423" s="10">
        <f t="shared" si="7"/>
        <v>12400</v>
      </c>
      <c r="D423" s="10" t="s">
        <v>17</v>
      </c>
      <c r="E423" s="7" t="s">
        <v>414</v>
      </c>
      <c r="F423" s="7"/>
      <c r="G423" s="7"/>
    </row>
    <row r="424" spans="1:7" ht="20.25" customHeight="1">
      <c r="A424" s="10">
        <v>12401</v>
      </c>
      <c r="B424" s="10">
        <v>16401</v>
      </c>
      <c r="C424" s="10">
        <f t="shared" si="7"/>
        <v>12401</v>
      </c>
      <c r="D424" s="10" t="s">
        <v>22</v>
      </c>
      <c r="E424" s="7"/>
      <c r="F424" s="7"/>
      <c r="G424" s="7"/>
    </row>
    <row r="425" spans="1:7" ht="20.25" customHeight="1">
      <c r="A425" s="10">
        <v>12402</v>
      </c>
      <c r="B425" s="10">
        <v>16402</v>
      </c>
      <c r="C425" s="10">
        <f t="shared" si="7"/>
        <v>12402</v>
      </c>
      <c r="D425" s="10" t="s">
        <v>17</v>
      </c>
      <c r="E425" s="7" t="s">
        <v>415</v>
      </c>
      <c r="F425" s="7"/>
      <c r="G425" s="7"/>
    </row>
    <row r="426" spans="1:7" ht="20.25" customHeight="1">
      <c r="A426" s="10">
        <v>12403</v>
      </c>
      <c r="B426" s="10">
        <v>16403</v>
      </c>
      <c r="C426" s="10">
        <f t="shared" si="7"/>
        <v>12403</v>
      </c>
      <c r="D426" s="10" t="s">
        <v>17</v>
      </c>
      <c r="E426" s="7" t="s">
        <v>416</v>
      </c>
      <c r="F426" s="7"/>
      <c r="G426" s="7"/>
    </row>
    <row r="427" spans="1:7" ht="20.25" customHeight="1">
      <c r="A427" s="10">
        <v>12404</v>
      </c>
      <c r="B427" s="10">
        <v>16404</v>
      </c>
      <c r="C427" s="10">
        <f t="shared" si="7"/>
        <v>22404</v>
      </c>
      <c r="D427" s="10" t="s">
        <v>22</v>
      </c>
      <c r="E427" s="7" t="s">
        <v>417</v>
      </c>
      <c r="F427" s="5" t="s">
        <v>38</v>
      </c>
      <c r="G427" s="7"/>
    </row>
    <row r="428" spans="1:7" ht="20.25" customHeight="1">
      <c r="A428" s="10">
        <v>12405</v>
      </c>
      <c r="B428" s="10">
        <v>16405</v>
      </c>
      <c r="C428" s="10">
        <f t="shared" si="7"/>
        <v>22405</v>
      </c>
      <c r="D428" s="10" t="s">
        <v>22</v>
      </c>
      <c r="E428" s="7" t="s">
        <v>418</v>
      </c>
      <c r="F428" s="5" t="s">
        <v>38</v>
      </c>
      <c r="G428" s="7"/>
    </row>
    <row r="429" spans="1:7" ht="20.25" customHeight="1">
      <c r="A429" s="10">
        <v>12406</v>
      </c>
      <c r="B429" s="10">
        <v>16406</v>
      </c>
      <c r="C429" s="10">
        <f t="shared" si="7"/>
        <v>12406</v>
      </c>
      <c r="D429" s="10" t="s">
        <v>17</v>
      </c>
      <c r="E429" s="7" t="s">
        <v>419</v>
      </c>
      <c r="F429" s="7"/>
      <c r="G429" s="7"/>
    </row>
    <row r="430" spans="1:7" ht="20.25" customHeight="1">
      <c r="A430" s="10">
        <v>12407</v>
      </c>
      <c r="B430" s="10">
        <v>16407</v>
      </c>
      <c r="C430" s="10">
        <f t="shared" si="7"/>
        <v>12407</v>
      </c>
      <c r="D430" s="10" t="s">
        <v>17</v>
      </c>
      <c r="E430" s="7" t="s">
        <v>420</v>
      </c>
      <c r="F430" s="7"/>
      <c r="G430" s="7"/>
    </row>
    <row r="431" spans="1:7" ht="20.25" customHeight="1">
      <c r="A431" s="10">
        <v>12408</v>
      </c>
      <c r="B431" s="10">
        <v>16408</v>
      </c>
      <c r="C431" s="10">
        <f t="shared" si="7"/>
        <v>22408</v>
      </c>
      <c r="D431" s="10" t="s">
        <v>22</v>
      </c>
      <c r="E431" s="7" t="s">
        <v>421</v>
      </c>
      <c r="F431" s="5" t="s">
        <v>38</v>
      </c>
      <c r="G431" s="7"/>
    </row>
    <row r="432" spans="1:7" ht="20.25" customHeight="1">
      <c r="A432" s="10">
        <v>12409</v>
      </c>
      <c r="B432" s="10">
        <v>16409</v>
      </c>
      <c r="C432" s="10">
        <f t="shared" si="7"/>
        <v>12409</v>
      </c>
      <c r="D432" s="10" t="s">
        <v>17</v>
      </c>
      <c r="E432" s="7" t="s">
        <v>422</v>
      </c>
      <c r="F432" s="7"/>
      <c r="G432" s="7"/>
    </row>
    <row r="433" spans="1:7" ht="20.25" customHeight="1">
      <c r="A433" s="10">
        <v>12410</v>
      </c>
      <c r="B433" s="10">
        <v>16410</v>
      </c>
      <c r="C433" s="10">
        <f t="shared" si="7"/>
        <v>12410</v>
      </c>
      <c r="D433" s="10" t="s">
        <v>17</v>
      </c>
      <c r="E433" s="7" t="s">
        <v>423</v>
      </c>
      <c r="F433" s="7"/>
      <c r="G433" s="7"/>
    </row>
    <row r="434" spans="1:7" ht="20.25" customHeight="1">
      <c r="A434" s="10">
        <v>12411</v>
      </c>
      <c r="B434" s="10">
        <v>16411</v>
      </c>
      <c r="C434" s="10">
        <f t="shared" si="7"/>
        <v>12411</v>
      </c>
      <c r="D434" s="10" t="s">
        <v>17</v>
      </c>
      <c r="E434" s="7" t="s">
        <v>424</v>
      </c>
      <c r="F434" s="7"/>
      <c r="G434" s="7"/>
    </row>
    <row r="435" spans="1:7" ht="20.25" customHeight="1">
      <c r="A435" s="10">
        <v>12412</v>
      </c>
      <c r="B435" s="10">
        <v>16412</v>
      </c>
      <c r="C435" s="10">
        <f t="shared" si="7"/>
        <v>12412</v>
      </c>
      <c r="D435" s="10" t="s">
        <v>17</v>
      </c>
      <c r="E435" s="7" t="s">
        <v>425</v>
      </c>
      <c r="F435" s="7"/>
      <c r="G435" s="7"/>
    </row>
    <row r="436" spans="1:7" ht="20.25" customHeight="1">
      <c r="A436" s="10">
        <v>12413</v>
      </c>
      <c r="B436" s="10">
        <v>16413</v>
      </c>
      <c r="C436" s="10">
        <f t="shared" si="7"/>
        <v>12413</v>
      </c>
      <c r="D436" s="10" t="s">
        <v>17</v>
      </c>
      <c r="E436" s="7" t="s">
        <v>426</v>
      </c>
      <c r="F436" s="7"/>
      <c r="G436" s="7"/>
    </row>
    <row r="437" spans="1:7" ht="20.25" customHeight="1">
      <c r="A437" s="10">
        <v>12414</v>
      </c>
      <c r="B437" s="10">
        <v>16414</v>
      </c>
      <c r="C437" s="10">
        <f t="shared" si="7"/>
        <v>12414</v>
      </c>
      <c r="D437" s="10" t="s">
        <v>17</v>
      </c>
      <c r="E437" s="7" t="s">
        <v>427</v>
      </c>
      <c r="F437" s="7"/>
      <c r="G437" s="7"/>
    </row>
    <row r="438" spans="1:7" ht="20.25" customHeight="1">
      <c r="A438" s="10">
        <v>12415</v>
      </c>
      <c r="B438" s="10">
        <v>16415</v>
      </c>
      <c r="C438" s="10">
        <f t="shared" si="7"/>
        <v>12415</v>
      </c>
      <c r="D438" s="10" t="s">
        <v>17</v>
      </c>
      <c r="E438" s="7" t="s">
        <v>428</v>
      </c>
      <c r="F438" s="7"/>
      <c r="G438" s="7"/>
    </row>
    <row r="439" spans="1:7" ht="20.25" customHeight="1">
      <c r="A439" s="10">
        <v>12416</v>
      </c>
      <c r="B439" s="10">
        <v>16416</v>
      </c>
      <c r="C439" s="10">
        <f t="shared" si="7"/>
        <v>12416</v>
      </c>
      <c r="D439" s="10" t="s">
        <v>17</v>
      </c>
      <c r="E439" s="7" t="s">
        <v>429</v>
      </c>
      <c r="F439" s="7"/>
      <c r="G439" s="7"/>
    </row>
    <row r="440" spans="1:7" ht="20.25" customHeight="1">
      <c r="A440" s="10">
        <v>12417</v>
      </c>
      <c r="B440" s="10">
        <v>16417</v>
      </c>
      <c r="C440" s="10">
        <f t="shared" si="7"/>
        <v>12417</v>
      </c>
      <c r="D440" s="10" t="s">
        <v>17</v>
      </c>
      <c r="E440" s="7" t="s">
        <v>430</v>
      </c>
      <c r="F440" s="7"/>
      <c r="G440" s="7"/>
    </row>
    <row r="441" spans="1:7" ht="20.25" customHeight="1">
      <c r="A441" s="10">
        <v>12418</v>
      </c>
      <c r="B441" s="10">
        <v>16418</v>
      </c>
      <c r="C441" s="10">
        <f t="shared" si="7"/>
        <v>12418</v>
      </c>
      <c r="D441" s="10" t="s">
        <v>17</v>
      </c>
      <c r="E441" s="7" t="s">
        <v>431</v>
      </c>
      <c r="F441" s="7"/>
      <c r="G441" s="7"/>
    </row>
    <row r="442" spans="1:7" ht="20.25" customHeight="1">
      <c r="A442" s="10">
        <v>12419</v>
      </c>
      <c r="B442" s="10">
        <v>16419</v>
      </c>
      <c r="C442" s="10">
        <f t="shared" si="7"/>
        <v>12419</v>
      </c>
      <c r="D442" s="10" t="s">
        <v>17</v>
      </c>
      <c r="E442" s="7" t="s">
        <v>432</v>
      </c>
      <c r="F442" s="7"/>
      <c r="G442" s="7"/>
    </row>
    <row r="443" spans="1:7" ht="20.25" customHeight="1">
      <c r="A443" s="10">
        <v>12420</v>
      </c>
      <c r="B443" s="10">
        <v>16420</v>
      </c>
      <c r="C443" s="10">
        <f t="shared" si="7"/>
        <v>12420</v>
      </c>
      <c r="D443" s="10" t="s">
        <v>17</v>
      </c>
      <c r="E443" s="7" t="s">
        <v>433</v>
      </c>
      <c r="F443" s="7"/>
      <c r="G443" s="7"/>
    </row>
    <row r="444" spans="1:7" ht="20.25" customHeight="1">
      <c r="A444" s="10">
        <v>12421</v>
      </c>
      <c r="B444" s="10">
        <v>16421</v>
      </c>
      <c r="C444" s="10">
        <f t="shared" si="7"/>
        <v>12421</v>
      </c>
      <c r="D444" s="10" t="s">
        <v>17</v>
      </c>
      <c r="E444" s="7" t="s">
        <v>434</v>
      </c>
      <c r="F444" s="7"/>
      <c r="G444" s="7"/>
    </row>
    <row r="445" spans="1:7" ht="20.25" customHeight="1">
      <c r="A445" s="10">
        <v>12422</v>
      </c>
      <c r="B445" s="10">
        <v>16422</v>
      </c>
      <c r="C445" s="10">
        <f t="shared" si="7"/>
        <v>12422</v>
      </c>
      <c r="D445" s="10" t="s">
        <v>17</v>
      </c>
      <c r="E445" s="7" t="s">
        <v>435</v>
      </c>
      <c r="F445" s="7"/>
      <c r="G445" s="7"/>
    </row>
    <row r="446" spans="1:7" ht="20.25" customHeight="1">
      <c r="A446" s="10">
        <v>12423</v>
      </c>
      <c r="B446" s="10">
        <v>16423</v>
      </c>
      <c r="C446" s="10">
        <f t="shared" si="7"/>
        <v>12423</v>
      </c>
      <c r="D446" s="10" t="s">
        <v>17</v>
      </c>
      <c r="E446" s="7" t="s">
        <v>436</v>
      </c>
      <c r="F446" s="7"/>
      <c r="G446" s="7"/>
    </row>
    <row r="447" spans="1:7" ht="20.25" customHeight="1">
      <c r="A447" s="10">
        <v>12424</v>
      </c>
      <c r="B447" s="10">
        <v>16424</v>
      </c>
      <c r="C447" s="10">
        <f t="shared" si="7"/>
        <v>12424</v>
      </c>
      <c r="D447" s="10" t="s">
        <v>17</v>
      </c>
      <c r="E447" s="7" t="s">
        <v>437</v>
      </c>
      <c r="F447" s="7"/>
      <c r="G447" s="7"/>
    </row>
    <row r="448" spans="1:7" ht="20.25" customHeight="1">
      <c r="A448" s="10">
        <v>12425</v>
      </c>
      <c r="B448" s="10">
        <v>16425</v>
      </c>
      <c r="C448" s="10">
        <f t="shared" si="7"/>
        <v>12425</v>
      </c>
      <c r="D448" s="10" t="s">
        <v>17</v>
      </c>
      <c r="E448" s="7" t="s">
        <v>438</v>
      </c>
      <c r="F448" s="7"/>
      <c r="G448" s="7"/>
    </row>
    <row r="449" spans="1:7" ht="20.25" customHeight="1">
      <c r="A449" s="10">
        <v>12426</v>
      </c>
      <c r="B449" s="10">
        <v>16426</v>
      </c>
      <c r="C449" s="10">
        <f t="shared" si="7"/>
        <v>12426</v>
      </c>
      <c r="D449" s="10" t="s">
        <v>17</v>
      </c>
      <c r="E449" s="7" t="s">
        <v>439</v>
      </c>
      <c r="F449" s="7"/>
      <c r="G449" s="7"/>
    </row>
    <row r="450" spans="1:7" ht="20.25" customHeight="1">
      <c r="A450" s="10">
        <v>12427</v>
      </c>
      <c r="B450" s="10">
        <v>16427</v>
      </c>
      <c r="C450" s="10">
        <f t="shared" si="7"/>
        <v>12427</v>
      </c>
      <c r="D450" s="10" t="s">
        <v>17</v>
      </c>
      <c r="E450" s="7" t="s">
        <v>440</v>
      </c>
      <c r="F450" s="7"/>
      <c r="G450" s="7"/>
    </row>
    <row r="451" spans="1:7" ht="20.25" customHeight="1">
      <c r="A451" s="10">
        <v>12428</v>
      </c>
      <c r="B451" s="10">
        <v>16428</v>
      </c>
      <c r="C451" s="10">
        <f t="shared" ref="C451:C514" si="8">IF(ISERROR(FIND("B_Epic",E451)),A451,A451+10000)</f>
        <v>12428</v>
      </c>
      <c r="D451" s="10" t="s">
        <v>17</v>
      </c>
      <c r="E451" s="7" t="s">
        <v>441</v>
      </c>
      <c r="F451" s="7"/>
      <c r="G451" s="7"/>
    </row>
    <row r="452" spans="1:7" ht="20.25" customHeight="1">
      <c r="A452" s="10">
        <v>12428</v>
      </c>
      <c r="B452" s="10">
        <v>16428</v>
      </c>
      <c r="C452" s="10">
        <f t="shared" si="8"/>
        <v>12428</v>
      </c>
      <c r="D452" s="10" t="s">
        <v>67</v>
      </c>
      <c r="E452" s="7" t="s">
        <v>442</v>
      </c>
      <c r="F452" s="7"/>
      <c r="G452" s="7"/>
    </row>
    <row r="453" spans="1:7" ht="20.25" customHeight="1">
      <c r="A453" s="10">
        <v>12429</v>
      </c>
      <c r="B453" s="10">
        <v>16429</v>
      </c>
      <c r="C453" s="10">
        <f t="shared" si="8"/>
        <v>12429</v>
      </c>
      <c r="D453" s="10" t="s">
        <v>17</v>
      </c>
      <c r="E453" s="7" t="s">
        <v>443</v>
      </c>
      <c r="F453" s="7"/>
      <c r="G453" s="7"/>
    </row>
    <row r="454" spans="1:7" ht="20.25" customHeight="1">
      <c r="A454" s="10">
        <v>12430</v>
      </c>
      <c r="B454" s="10">
        <v>16430</v>
      </c>
      <c r="C454" s="10">
        <f t="shared" si="8"/>
        <v>12430</v>
      </c>
      <c r="D454" s="10" t="s">
        <v>17</v>
      </c>
      <c r="E454" s="7" t="s">
        <v>444</v>
      </c>
      <c r="F454" s="7"/>
      <c r="G454" s="7"/>
    </row>
    <row r="455" spans="1:7" ht="20.25" customHeight="1">
      <c r="A455" s="10">
        <v>12431</v>
      </c>
      <c r="B455" s="10">
        <v>16431</v>
      </c>
      <c r="C455" s="10">
        <f t="shared" si="8"/>
        <v>12431</v>
      </c>
      <c r="D455" s="10" t="s">
        <v>17</v>
      </c>
      <c r="E455" s="7" t="s">
        <v>445</v>
      </c>
      <c r="F455" s="7"/>
      <c r="G455" s="7"/>
    </row>
    <row r="456" spans="1:7" ht="20.25" customHeight="1">
      <c r="A456" s="10">
        <v>12432</v>
      </c>
      <c r="B456" s="10">
        <v>16432</v>
      </c>
      <c r="C456" s="10">
        <f t="shared" si="8"/>
        <v>12432</v>
      </c>
      <c r="D456" s="10" t="s">
        <v>17</v>
      </c>
      <c r="E456" s="7" t="s">
        <v>446</v>
      </c>
      <c r="F456" s="7"/>
      <c r="G456" s="7"/>
    </row>
    <row r="457" spans="1:7" ht="20.25" customHeight="1">
      <c r="A457" s="10">
        <v>12433</v>
      </c>
      <c r="B457" s="10">
        <v>16433</v>
      </c>
      <c r="C457" s="10">
        <f t="shared" si="8"/>
        <v>12433</v>
      </c>
      <c r="D457" s="10" t="s">
        <v>22</v>
      </c>
      <c r="E457" s="7"/>
      <c r="F457" s="7"/>
      <c r="G457" s="7"/>
    </row>
    <row r="458" spans="1:7" ht="20.25" customHeight="1">
      <c r="A458" s="10">
        <v>12434</v>
      </c>
      <c r="B458" s="10">
        <v>16434</v>
      </c>
      <c r="C458" s="10">
        <f t="shared" si="8"/>
        <v>12434</v>
      </c>
      <c r="D458" s="10" t="s">
        <v>17</v>
      </c>
      <c r="E458" s="7" t="s">
        <v>447</v>
      </c>
      <c r="F458" s="7"/>
      <c r="G458" s="7"/>
    </row>
    <row r="459" spans="1:7" ht="20.25" customHeight="1">
      <c r="A459" s="10">
        <v>12435</v>
      </c>
      <c r="B459" s="10">
        <v>16435</v>
      </c>
      <c r="C459" s="10">
        <f t="shared" si="8"/>
        <v>12435</v>
      </c>
      <c r="D459" s="10" t="s">
        <v>17</v>
      </c>
      <c r="E459" s="7" t="s">
        <v>448</v>
      </c>
      <c r="F459" s="7"/>
      <c r="G459" s="7"/>
    </row>
    <row r="460" spans="1:7" ht="20.25" customHeight="1">
      <c r="A460" s="10">
        <v>12436</v>
      </c>
      <c r="B460" s="10">
        <v>16436</v>
      </c>
      <c r="C460" s="10">
        <f t="shared" si="8"/>
        <v>12436</v>
      </c>
      <c r="D460" s="10" t="s">
        <v>17</v>
      </c>
      <c r="E460" s="7" t="s">
        <v>449</v>
      </c>
      <c r="F460" s="7"/>
      <c r="G460" s="7"/>
    </row>
    <row r="461" spans="1:7" ht="20.25" customHeight="1">
      <c r="A461" s="10">
        <v>12437</v>
      </c>
      <c r="B461" s="10">
        <v>16437</v>
      </c>
      <c r="C461" s="10">
        <f t="shared" si="8"/>
        <v>22437</v>
      </c>
      <c r="D461" s="10" t="s">
        <v>17</v>
      </c>
      <c r="E461" s="7" t="s">
        <v>450</v>
      </c>
      <c r="F461" s="7"/>
      <c r="G461" s="7"/>
    </row>
    <row r="462" spans="1:7" ht="20.25" customHeight="1">
      <c r="A462" s="10">
        <v>12438</v>
      </c>
      <c r="B462" s="10">
        <v>16438</v>
      </c>
      <c r="C462" s="10">
        <f t="shared" si="8"/>
        <v>12438</v>
      </c>
      <c r="D462" s="10" t="s">
        <v>22</v>
      </c>
      <c r="E462" s="7"/>
      <c r="F462" s="7"/>
      <c r="G462" s="7"/>
    </row>
    <row r="463" spans="1:7" ht="20.25" customHeight="1">
      <c r="A463" s="10">
        <v>12439</v>
      </c>
      <c r="B463" s="10">
        <v>16439</v>
      </c>
      <c r="C463" s="10">
        <f t="shared" si="8"/>
        <v>12439</v>
      </c>
      <c r="D463" s="10" t="s">
        <v>17</v>
      </c>
      <c r="E463" s="7" t="s">
        <v>451</v>
      </c>
      <c r="F463" s="7"/>
      <c r="G463" s="7"/>
    </row>
    <row r="464" spans="1:7" ht="20.25" customHeight="1">
      <c r="A464" s="10">
        <v>12440</v>
      </c>
      <c r="B464" s="10">
        <v>16440</v>
      </c>
      <c r="C464" s="10">
        <f t="shared" si="8"/>
        <v>12440</v>
      </c>
      <c r="D464" s="10" t="s">
        <v>17</v>
      </c>
      <c r="E464" s="7" t="s">
        <v>452</v>
      </c>
      <c r="F464" s="7"/>
      <c r="G464" s="7"/>
    </row>
    <row r="465" spans="1:7" ht="20.25" customHeight="1">
      <c r="A465" s="10">
        <v>12441</v>
      </c>
      <c r="B465" s="10">
        <v>16441</v>
      </c>
      <c r="C465" s="10">
        <f t="shared" si="8"/>
        <v>12441</v>
      </c>
      <c r="D465" s="10" t="s">
        <v>17</v>
      </c>
      <c r="E465" s="7" t="s">
        <v>453</v>
      </c>
      <c r="F465" s="7"/>
      <c r="G465" s="7"/>
    </row>
    <row r="466" spans="1:7" ht="20.25" customHeight="1">
      <c r="A466" s="10">
        <v>12442</v>
      </c>
      <c r="B466" s="10">
        <v>16442</v>
      </c>
      <c r="C466" s="10">
        <f t="shared" si="8"/>
        <v>12442</v>
      </c>
      <c r="D466" s="10" t="s">
        <v>17</v>
      </c>
      <c r="E466" s="7" t="s">
        <v>454</v>
      </c>
      <c r="F466" s="7"/>
      <c r="G466" s="7"/>
    </row>
    <row r="467" spans="1:7" ht="20.25" customHeight="1">
      <c r="A467" s="10">
        <v>12443</v>
      </c>
      <c r="B467" s="10">
        <v>16443</v>
      </c>
      <c r="C467" s="10">
        <f t="shared" si="8"/>
        <v>12443</v>
      </c>
      <c r="D467" s="10" t="s">
        <v>17</v>
      </c>
      <c r="E467" s="7" t="s">
        <v>455</v>
      </c>
      <c r="F467" s="7"/>
      <c r="G467" s="7"/>
    </row>
    <row r="468" spans="1:7" ht="20.25" customHeight="1">
      <c r="A468" s="10">
        <v>12444</v>
      </c>
      <c r="B468" s="10">
        <v>16444</v>
      </c>
      <c r="C468" s="10">
        <f t="shared" si="8"/>
        <v>12444</v>
      </c>
      <c r="D468" s="10" t="s">
        <v>17</v>
      </c>
      <c r="E468" s="7" t="s">
        <v>456</v>
      </c>
      <c r="F468" s="7"/>
      <c r="G468" s="7"/>
    </row>
    <row r="469" spans="1:7" ht="20.25" customHeight="1">
      <c r="A469" s="10">
        <v>12445</v>
      </c>
      <c r="B469" s="10">
        <v>16445</v>
      </c>
      <c r="C469" s="10">
        <f t="shared" si="8"/>
        <v>12445</v>
      </c>
      <c r="D469" s="10" t="s">
        <v>17</v>
      </c>
      <c r="E469" s="7" t="s">
        <v>457</v>
      </c>
      <c r="F469" s="7"/>
      <c r="G469" s="7"/>
    </row>
    <row r="470" spans="1:7" ht="20.25" customHeight="1">
      <c r="A470" s="10">
        <v>12446</v>
      </c>
      <c r="B470" s="10">
        <v>16446</v>
      </c>
      <c r="C470" s="10">
        <f t="shared" si="8"/>
        <v>12446</v>
      </c>
      <c r="D470" s="10" t="s">
        <v>22</v>
      </c>
      <c r="E470" s="7"/>
      <c r="F470" s="7"/>
      <c r="G470" s="7"/>
    </row>
    <row r="471" spans="1:7" ht="20.25" customHeight="1">
      <c r="A471" s="10">
        <v>12447</v>
      </c>
      <c r="B471" s="10">
        <v>16447</v>
      </c>
      <c r="C471" s="10">
        <f t="shared" si="8"/>
        <v>12447</v>
      </c>
      <c r="D471" s="10" t="s">
        <v>22</v>
      </c>
      <c r="E471" s="7"/>
      <c r="F471" s="7"/>
      <c r="G471" s="7"/>
    </row>
    <row r="472" spans="1:7" ht="20.25" customHeight="1">
      <c r="A472" s="10">
        <v>12448</v>
      </c>
      <c r="B472" s="10">
        <v>16448</v>
      </c>
      <c r="C472" s="10">
        <f t="shared" si="8"/>
        <v>22448</v>
      </c>
      <c r="D472" s="10" t="s">
        <v>17</v>
      </c>
      <c r="E472" s="7" t="s">
        <v>458</v>
      </c>
      <c r="F472" s="7"/>
      <c r="G472" s="7"/>
    </row>
    <row r="473" spans="1:7" ht="20.25" customHeight="1">
      <c r="A473" s="10">
        <v>12449</v>
      </c>
      <c r="B473" s="10">
        <v>16449</v>
      </c>
      <c r="C473" s="10">
        <f t="shared" si="8"/>
        <v>22449</v>
      </c>
      <c r="D473" s="10" t="s">
        <v>17</v>
      </c>
      <c r="E473" s="7" t="s">
        <v>459</v>
      </c>
      <c r="F473" s="7"/>
      <c r="G473" s="7"/>
    </row>
    <row r="474" spans="1:7" ht="20.25" customHeight="1">
      <c r="A474" s="10">
        <v>12450</v>
      </c>
      <c r="B474" s="10">
        <v>16450</v>
      </c>
      <c r="C474" s="10">
        <f t="shared" si="8"/>
        <v>12450</v>
      </c>
      <c r="D474" s="10" t="s">
        <v>22</v>
      </c>
      <c r="E474" s="7"/>
      <c r="F474" s="7"/>
      <c r="G474" s="7"/>
    </row>
    <row r="475" spans="1:7" ht="20.25" customHeight="1">
      <c r="A475" s="10">
        <v>12451</v>
      </c>
      <c r="B475" s="10">
        <v>16451</v>
      </c>
      <c r="C475" s="10">
        <f t="shared" si="8"/>
        <v>22451</v>
      </c>
      <c r="D475" s="10" t="s">
        <v>17</v>
      </c>
      <c r="E475" s="7" t="s">
        <v>460</v>
      </c>
      <c r="F475" s="7"/>
      <c r="G475" s="7"/>
    </row>
    <row r="476" spans="1:7" ht="20.25" customHeight="1">
      <c r="A476" s="10">
        <v>12452</v>
      </c>
      <c r="B476" s="10">
        <v>16452</v>
      </c>
      <c r="C476" s="10">
        <f t="shared" si="8"/>
        <v>12452</v>
      </c>
      <c r="D476" s="10" t="s">
        <v>17</v>
      </c>
      <c r="E476" s="7" t="s">
        <v>461</v>
      </c>
      <c r="F476" s="7"/>
      <c r="G476" s="7"/>
    </row>
    <row r="477" spans="1:7" ht="20.25" customHeight="1">
      <c r="A477" s="10">
        <v>12453</v>
      </c>
      <c r="B477" s="10">
        <v>16453</v>
      </c>
      <c r="C477" s="10">
        <f t="shared" si="8"/>
        <v>12453</v>
      </c>
      <c r="D477" s="10" t="s">
        <v>17</v>
      </c>
      <c r="E477" s="7" t="s">
        <v>462</v>
      </c>
      <c r="F477" s="7"/>
      <c r="G477" s="7"/>
    </row>
    <row r="478" spans="1:7" ht="20.25" customHeight="1">
      <c r="A478" s="10">
        <v>12454</v>
      </c>
      <c r="B478" s="10">
        <v>16454</v>
      </c>
      <c r="C478" s="10">
        <f t="shared" si="8"/>
        <v>12454</v>
      </c>
      <c r="D478" s="10" t="s">
        <v>17</v>
      </c>
      <c r="E478" s="7" t="s">
        <v>463</v>
      </c>
      <c r="F478" s="7"/>
      <c r="G478" s="7"/>
    </row>
    <row r="479" spans="1:7" ht="20.25" customHeight="1">
      <c r="A479" s="10">
        <v>12455</v>
      </c>
      <c r="B479" s="10">
        <v>16455</v>
      </c>
      <c r="C479" s="10">
        <f t="shared" si="8"/>
        <v>12455</v>
      </c>
      <c r="D479" s="10" t="s">
        <v>17</v>
      </c>
      <c r="E479" s="7" t="s">
        <v>464</v>
      </c>
      <c r="F479" s="7"/>
      <c r="G479" s="7"/>
    </row>
    <row r="480" spans="1:7" ht="20.25" customHeight="1">
      <c r="A480" s="10">
        <v>12456</v>
      </c>
      <c r="B480" s="10">
        <v>16456</v>
      </c>
      <c r="C480" s="10">
        <f t="shared" si="8"/>
        <v>12456</v>
      </c>
      <c r="D480" s="10" t="s">
        <v>17</v>
      </c>
      <c r="E480" s="7" t="s">
        <v>465</v>
      </c>
      <c r="F480" s="7"/>
      <c r="G480" s="7"/>
    </row>
    <row r="481" spans="1:7" ht="20.25" customHeight="1">
      <c r="A481" s="10">
        <v>12457</v>
      </c>
      <c r="B481" s="10">
        <v>16457</v>
      </c>
      <c r="C481" s="10">
        <f t="shared" si="8"/>
        <v>12457</v>
      </c>
      <c r="D481" s="10" t="s">
        <v>17</v>
      </c>
      <c r="E481" s="7" t="s">
        <v>466</v>
      </c>
      <c r="F481" s="7"/>
      <c r="G481" s="7"/>
    </row>
    <row r="482" spans="1:7" ht="20.25" customHeight="1">
      <c r="A482" s="10">
        <v>12458</v>
      </c>
      <c r="B482" s="10">
        <v>16458</v>
      </c>
      <c r="C482" s="10">
        <f t="shared" si="8"/>
        <v>12458</v>
      </c>
      <c r="D482" s="10" t="s">
        <v>17</v>
      </c>
      <c r="E482" s="9" t="s">
        <v>467</v>
      </c>
      <c r="F482" s="7"/>
      <c r="G482" s="7"/>
    </row>
    <row r="483" spans="1:7" ht="20.25" customHeight="1">
      <c r="A483" s="10">
        <v>12459</v>
      </c>
      <c r="B483" s="10">
        <v>16459</v>
      </c>
      <c r="C483" s="10">
        <f t="shared" si="8"/>
        <v>12459</v>
      </c>
      <c r="D483" s="10" t="s">
        <v>17</v>
      </c>
      <c r="E483" s="7" t="s">
        <v>468</v>
      </c>
      <c r="F483" s="7"/>
      <c r="G483" s="7"/>
    </row>
    <row r="484" spans="1:7" ht="20.25" customHeight="1">
      <c r="A484" s="10">
        <v>12460</v>
      </c>
      <c r="B484" s="10">
        <v>16460</v>
      </c>
      <c r="C484" s="10">
        <f t="shared" si="8"/>
        <v>12460</v>
      </c>
      <c r="D484" s="10" t="s">
        <v>17</v>
      </c>
      <c r="E484" s="1" t="s">
        <v>469</v>
      </c>
      <c r="F484" s="7" t="s">
        <v>470</v>
      </c>
      <c r="G484" s="7"/>
    </row>
    <row r="485" spans="1:7" ht="20.25" customHeight="1">
      <c r="A485" s="10">
        <v>12461</v>
      </c>
      <c r="B485" s="10">
        <v>16461</v>
      </c>
      <c r="C485" s="10">
        <f t="shared" si="8"/>
        <v>12461</v>
      </c>
      <c r="D485" s="10" t="s">
        <v>17</v>
      </c>
      <c r="E485" s="7" t="s">
        <v>471</v>
      </c>
      <c r="F485" s="7" t="s">
        <v>470</v>
      </c>
      <c r="G485" s="7"/>
    </row>
    <row r="486" spans="1:7" ht="20.25" customHeight="1">
      <c r="A486" s="10">
        <v>12462</v>
      </c>
      <c r="B486" s="10">
        <v>16462</v>
      </c>
      <c r="C486" s="10">
        <f t="shared" si="8"/>
        <v>12462</v>
      </c>
      <c r="D486" s="10" t="s">
        <v>17</v>
      </c>
      <c r="E486" s="7" t="s">
        <v>472</v>
      </c>
      <c r="F486" s="7" t="s">
        <v>470</v>
      </c>
      <c r="G486" s="7"/>
    </row>
    <row r="487" spans="1:7" ht="20.25" customHeight="1">
      <c r="A487" s="10">
        <v>12463</v>
      </c>
      <c r="B487" s="10">
        <v>16463</v>
      </c>
      <c r="C487" s="10">
        <f t="shared" si="8"/>
        <v>12463</v>
      </c>
      <c r="D487" s="10" t="s">
        <v>17</v>
      </c>
      <c r="E487" s="7" t="s">
        <v>473</v>
      </c>
      <c r="F487" s="7" t="s">
        <v>470</v>
      </c>
      <c r="G487" s="7"/>
    </row>
    <row r="488" spans="1:7" ht="20.25" customHeight="1">
      <c r="A488" s="10">
        <v>12464</v>
      </c>
      <c r="B488" s="10">
        <v>16464</v>
      </c>
      <c r="C488" s="10">
        <f t="shared" si="8"/>
        <v>12464</v>
      </c>
      <c r="D488" s="10" t="s">
        <v>17</v>
      </c>
      <c r="E488" s="7" t="s">
        <v>474</v>
      </c>
      <c r="F488" s="7"/>
      <c r="G488" s="7"/>
    </row>
    <row r="489" spans="1:7" ht="20.25" customHeight="1">
      <c r="A489" s="10">
        <v>12465</v>
      </c>
      <c r="B489" s="10">
        <v>16465</v>
      </c>
      <c r="C489" s="10">
        <f t="shared" si="8"/>
        <v>12465</v>
      </c>
      <c r="D489" s="10" t="s">
        <v>22</v>
      </c>
      <c r="E489" s="7"/>
      <c r="F489" s="7"/>
      <c r="G489" s="7"/>
    </row>
    <row r="490" spans="1:7" ht="20.25" customHeight="1">
      <c r="A490" s="10">
        <v>12466</v>
      </c>
      <c r="B490" s="10">
        <v>16466</v>
      </c>
      <c r="C490" s="10">
        <f t="shared" si="8"/>
        <v>12466</v>
      </c>
      <c r="D490" s="10" t="s">
        <v>22</v>
      </c>
      <c r="E490" s="7" t="s">
        <v>475</v>
      </c>
      <c r="F490" s="7"/>
      <c r="G490" s="7"/>
    </row>
    <row r="491" spans="1:7" ht="20.25" customHeight="1">
      <c r="A491" s="10">
        <v>12467</v>
      </c>
      <c r="B491" s="10">
        <v>16467</v>
      </c>
      <c r="C491" s="10">
        <f t="shared" si="8"/>
        <v>22467</v>
      </c>
      <c r="D491" s="10" t="s">
        <v>17</v>
      </c>
      <c r="E491" s="7" t="s">
        <v>476</v>
      </c>
      <c r="F491" s="7"/>
      <c r="G491" s="7"/>
    </row>
    <row r="492" spans="1:7" ht="20.25" customHeight="1">
      <c r="A492" s="10">
        <v>12468</v>
      </c>
      <c r="B492" s="10">
        <v>16468</v>
      </c>
      <c r="C492" s="10">
        <f t="shared" si="8"/>
        <v>22468</v>
      </c>
      <c r="D492" s="10" t="s">
        <v>17</v>
      </c>
      <c r="E492" s="7" t="s">
        <v>477</v>
      </c>
      <c r="F492" s="7"/>
      <c r="G492" s="7"/>
    </row>
    <row r="493" spans="1:7" ht="20.25" customHeight="1">
      <c r="A493" s="10">
        <v>12469</v>
      </c>
      <c r="B493" s="10">
        <v>16469</v>
      </c>
      <c r="C493" s="10">
        <f t="shared" si="8"/>
        <v>12469</v>
      </c>
      <c r="D493" s="10" t="s">
        <v>17</v>
      </c>
      <c r="E493" s="7" t="s">
        <v>478</v>
      </c>
      <c r="F493" s="7"/>
      <c r="G493" s="7"/>
    </row>
    <row r="494" spans="1:7" ht="20.25" customHeight="1">
      <c r="A494" s="10">
        <v>12470</v>
      </c>
      <c r="B494" s="10">
        <v>16470</v>
      </c>
      <c r="C494" s="10">
        <f t="shared" si="8"/>
        <v>12470</v>
      </c>
      <c r="D494" s="10" t="s">
        <v>17</v>
      </c>
      <c r="E494" s="7" t="s">
        <v>479</v>
      </c>
      <c r="F494" s="7"/>
      <c r="G494" s="7"/>
    </row>
    <row r="495" spans="1:7" ht="20.25" customHeight="1">
      <c r="A495" s="10">
        <v>12471</v>
      </c>
      <c r="B495" s="10">
        <v>16471</v>
      </c>
      <c r="C495" s="10">
        <f t="shared" si="8"/>
        <v>12471</v>
      </c>
      <c r="D495" s="10" t="s">
        <v>17</v>
      </c>
      <c r="E495" s="7" t="s">
        <v>480</v>
      </c>
      <c r="F495" s="7"/>
      <c r="G495" s="7"/>
    </row>
    <row r="496" spans="1:7" ht="20.25" customHeight="1">
      <c r="A496" s="10">
        <v>12472</v>
      </c>
      <c r="B496" s="10">
        <v>16472</v>
      </c>
      <c r="C496" s="10">
        <f t="shared" si="8"/>
        <v>12472</v>
      </c>
      <c r="D496" s="10" t="s">
        <v>17</v>
      </c>
      <c r="E496" s="7" t="s">
        <v>481</v>
      </c>
      <c r="F496" s="7"/>
      <c r="G496" s="7"/>
    </row>
    <row r="497" spans="1:7" ht="20.25" customHeight="1">
      <c r="A497" s="10">
        <v>12473</v>
      </c>
      <c r="B497" s="10">
        <v>16473</v>
      </c>
      <c r="C497" s="10">
        <f t="shared" si="8"/>
        <v>22473</v>
      </c>
      <c r="D497" s="10" t="s">
        <v>17</v>
      </c>
      <c r="E497" s="7" t="s">
        <v>482</v>
      </c>
      <c r="F497" s="7"/>
      <c r="G497" s="7"/>
    </row>
    <row r="498" spans="1:7" ht="20.25" customHeight="1">
      <c r="A498" s="10">
        <v>12474</v>
      </c>
      <c r="B498" s="10">
        <v>16474</v>
      </c>
      <c r="C498" s="10">
        <f t="shared" si="8"/>
        <v>22474</v>
      </c>
      <c r="D498" s="10" t="s">
        <v>17</v>
      </c>
      <c r="E498" s="7" t="s">
        <v>483</v>
      </c>
      <c r="F498" s="7"/>
      <c r="G498" s="7"/>
    </row>
    <row r="499" spans="1:7" ht="20.25" customHeight="1">
      <c r="A499" s="10">
        <v>12475</v>
      </c>
      <c r="B499" s="10">
        <v>16475</v>
      </c>
      <c r="C499" s="10">
        <f t="shared" si="8"/>
        <v>12475</v>
      </c>
      <c r="D499" s="10" t="s">
        <v>17</v>
      </c>
      <c r="E499" s="9" t="s">
        <v>484</v>
      </c>
      <c r="F499" s="7"/>
      <c r="G499" s="7"/>
    </row>
    <row r="500" spans="1:7" ht="20.25" customHeight="1">
      <c r="A500" s="10">
        <v>12476</v>
      </c>
      <c r="B500" s="10">
        <v>16476</v>
      </c>
      <c r="C500" s="10">
        <f t="shared" si="8"/>
        <v>12476</v>
      </c>
      <c r="D500" s="10" t="s">
        <v>17</v>
      </c>
      <c r="E500" s="9" t="s">
        <v>485</v>
      </c>
      <c r="F500" s="7"/>
      <c r="G500" s="7"/>
    </row>
    <row r="501" spans="1:7" ht="20.25" customHeight="1">
      <c r="A501" s="10">
        <v>12477</v>
      </c>
      <c r="B501" s="10">
        <v>16477</v>
      </c>
      <c r="C501" s="10">
        <f t="shared" si="8"/>
        <v>12477</v>
      </c>
      <c r="D501" s="10" t="s">
        <v>17</v>
      </c>
      <c r="E501" s="7" t="s">
        <v>486</v>
      </c>
      <c r="F501" s="7"/>
      <c r="G501" s="7"/>
    </row>
    <row r="502" spans="1:7" ht="20.25" customHeight="1">
      <c r="A502" s="10">
        <v>12478</v>
      </c>
      <c r="B502" s="10">
        <v>16478</v>
      </c>
      <c r="C502" s="10">
        <f t="shared" si="8"/>
        <v>12478</v>
      </c>
      <c r="D502" s="10" t="s">
        <v>17</v>
      </c>
      <c r="E502" s="1" t="s">
        <v>487</v>
      </c>
      <c r="F502" s="7"/>
      <c r="G502" s="7"/>
    </row>
    <row r="503" spans="1:7" ht="20.25" customHeight="1">
      <c r="A503" s="10">
        <v>12479</v>
      </c>
      <c r="B503" s="10">
        <v>16479</v>
      </c>
      <c r="C503" s="10">
        <f t="shared" si="8"/>
        <v>22479</v>
      </c>
      <c r="D503" s="10" t="s">
        <v>17</v>
      </c>
      <c r="E503" s="7" t="s">
        <v>488</v>
      </c>
      <c r="F503" s="7"/>
      <c r="G503" s="7"/>
    </row>
    <row r="504" spans="1:7" ht="20.25" customHeight="1">
      <c r="A504" s="10">
        <v>12480</v>
      </c>
      <c r="B504" s="10">
        <v>16480</v>
      </c>
      <c r="C504" s="10">
        <f t="shared" si="8"/>
        <v>22480</v>
      </c>
      <c r="D504" s="10" t="s">
        <v>17</v>
      </c>
      <c r="E504" s="7" t="s">
        <v>489</v>
      </c>
      <c r="F504" s="7"/>
      <c r="G504" s="7"/>
    </row>
    <row r="505" spans="1:7" ht="20.25" customHeight="1">
      <c r="A505" s="10">
        <v>12481</v>
      </c>
      <c r="B505" s="10">
        <v>16481</v>
      </c>
      <c r="C505" s="10">
        <f t="shared" si="8"/>
        <v>12481</v>
      </c>
      <c r="D505" s="10" t="s">
        <v>17</v>
      </c>
      <c r="E505" s="7" t="s">
        <v>490</v>
      </c>
      <c r="F505" s="7"/>
      <c r="G505" s="7"/>
    </row>
    <row r="506" spans="1:7" ht="20.25" customHeight="1">
      <c r="A506" s="10">
        <v>12482</v>
      </c>
      <c r="B506" s="10">
        <v>16482</v>
      </c>
      <c r="C506" s="10">
        <f t="shared" si="8"/>
        <v>12482</v>
      </c>
      <c r="D506" s="10" t="s">
        <v>17</v>
      </c>
      <c r="E506" s="7" t="s">
        <v>491</v>
      </c>
      <c r="F506" s="7"/>
      <c r="G506" s="7"/>
    </row>
    <row r="507" spans="1:7" ht="20.25" customHeight="1">
      <c r="A507" s="10">
        <v>12483</v>
      </c>
      <c r="B507" s="10">
        <v>16483</v>
      </c>
      <c r="C507" s="10">
        <f t="shared" si="8"/>
        <v>12483</v>
      </c>
      <c r="D507" s="10" t="s">
        <v>380</v>
      </c>
      <c r="E507" s="7" t="s">
        <v>492</v>
      </c>
      <c r="F507" s="7"/>
      <c r="G507" s="7"/>
    </row>
    <row r="508" spans="1:7" ht="20.25" customHeight="1">
      <c r="A508" s="10">
        <v>12484</v>
      </c>
      <c r="B508" s="10">
        <v>16484</v>
      </c>
      <c r="C508" s="10">
        <f t="shared" si="8"/>
        <v>12484</v>
      </c>
      <c r="D508" s="10" t="s">
        <v>22</v>
      </c>
      <c r="E508" s="7" t="s">
        <v>493</v>
      </c>
      <c r="F508" s="7"/>
      <c r="G508" s="7"/>
    </row>
    <row r="509" spans="1:7" ht="20.25" customHeight="1">
      <c r="A509" s="10">
        <v>12485</v>
      </c>
      <c r="B509" s="10">
        <v>16485</v>
      </c>
      <c r="C509" s="10">
        <f t="shared" si="8"/>
        <v>12485</v>
      </c>
      <c r="D509" s="10" t="s">
        <v>22</v>
      </c>
      <c r="E509" s="7" t="s">
        <v>494</v>
      </c>
      <c r="F509" s="7"/>
      <c r="G509" s="7"/>
    </row>
    <row r="510" spans="1:7" ht="20.25" customHeight="1">
      <c r="A510" s="10">
        <v>12486</v>
      </c>
      <c r="B510" s="10">
        <v>16486</v>
      </c>
      <c r="C510" s="10">
        <f t="shared" si="8"/>
        <v>12486</v>
      </c>
      <c r="D510" s="10" t="s">
        <v>22</v>
      </c>
      <c r="E510" s="7" t="s">
        <v>495</v>
      </c>
      <c r="F510" s="7"/>
      <c r="G510" s="7"/>
    </row>
    <row r="511" spans="1:7" ht="20.25" customHeight="1">
      <c r="A511" s="10">
        <v>12487</v>
      </c>
      <c r="B511" s="10">
        <v>16487</v>
      </c>
      <c r="C511" s="10">
        <f t="shared" si="8"/>
        <v>12487</v>
      </c>
      <c r="D511" s="10" t="s">
        <v>22</v>
      </c>
      <c r="E511" s="7" t="s">
        <v>496</v>
      </c>
      <c r="F511" s="7"/>
      <c r="G511" s="7"/>
    </row>
    <row r="512" spans="1:7" ht="20.25" customHeight="1">
      <c r="A512" s="10">
        <v>12488</v>
      </c>
      <c r="B512" s="10">
        <v>16488</v>
      </c>
      <c r="C512" s="10">
        <f t="shared" si="8"/>
        <v>22488</v>
      </c>
      <c r="D512" s="10" t="s">
        <v>380</v>
      </c>
      <c r="E512" s="7" t="s">
        <v>497</v>
      </c>
      <c r="F512" s="7"/>
      <c r="G512" s="7"/>
    </row>
    <row r="513" spans="1:7" ht="20.25" customHeight="1">
      <c r="A513" s="10">
        <v>12489</v>
      </c>
      <c r="B513" s="10">
        <v>16489</v>
      </c>
      <c r="C513" s="10">
        <f t="shared" si="8"/>
        <v>12489</v>
      </c>
      <c r="D513" s="10" t="s">
        <v>498</v>
      </c>
      <c r="E513" s="7" t="s">
        <v>499</v>
      </c>
      <c r="F513" s="7" t="s">
        <v>500</v>
      </c>
      <c r="G513" s="7"/>
    </row>
    <row r="514" spans="1:7" ht="20.25" customHeight="1">
      <c r="A514" s="10">
        <v>12490</v>
      </c>
      <c r="B514" s="10">
        <v>16490</v>
      </c>
      <c r="C514" s="10">
        <f t="shared" si="8"/>
        <v>12490</v>
      </c>
      <c r="D514" s="10" t="s">
        <v>22</v>
      </c>
      <c r="E514" s="7" t="s">
        <v>501</v>
      </c>
      <c r="F514" s="7"/>
      <c r="G514" s="7"/>
    </row>
    <row r="515" spans="1:7" ht="20.25" customHeight="1">
      <c r="A515" s="10">
        <v>12491</v>
      </c>
      <c r="B515" s="10">
        <v>16491</v>
      </c>
      <c r="C515" s="10">
        <f t="shared" ref="C515:C578" si="9">IF(ISERROR(FIND("B_Epic",E515)),A515,A515+10000)</f>
        <v>12491</v>
      </c>
      <c r="D515" s="10" t="s">
        <v>22</v>
      </c>
      <c r="E515" s="7" t="s">
        <v>502</v>
      </c>
      <c r="F515" s="7"/>
      <c r="G515" s="7"/>
    </row>
    <row r="516" spans="1:7" ht="20.25" customHeight="1">
      <c r="A516" s="10">
        <v>12492</v>
      </c>
      <c r="B516" s="10">
        <v>16492</v>
      </c>
      <c r="C516" s="10">
        <f t="shared" si="9"/>
        <v>12492</v>
      </c>
      <c r="D516" s="10" t="s">
        <v>22</v>
      </c>
      <c r="E516" s="7"/>
      <c r="F516" s="7"/>
      <c r="G516" s="7"/>
    </row>
    <row r="517" spans="1:7" ht="20.25" customHeight="1">
      <c r="A517" s="10">
        <v>12493</v>
      </c>
      <c r="B517" s="10">
        <v>16493</v>
      </c>
      <c r="C517" s="10">
        <f t="shared" si="9"/>
        <v>12493</v>
      </c>
      <c r="D517" s="10" t="s">
        <v>22</v>
      </c>
      <c r="E517" s="7"/>
      <c r="F517" s="7"/>
      <c r="G517" s="7"/>
    </row>
    <row r="518" spans="1:7" ht="20.25" customHeight="1">
      <c r="A518" s="10">
        <v>12494</v>
      </c>
      <c r="B518" s="10">
        <v>16494</v>
      </c>
      <c r="C518" s="10">
        <f t="shared" si="9"/>
        <v>12494</v>
      </c>
      <c r="D518" s="10" t="s">
        <v>22</v>
      </c>
      <c r="E518" s="7"/>
      <c r="F518" s="7"/>
      <c r="G518" s="7"/>
    </row>
    <row r="519" spans="1:7" ht="20.25" customHeight="1">
      <c r="A519" s="10">
        <v>12495</v>
      </c>
      <c r="B519" s="10">
        <v>16495</v>
      </c>
      <c r="C519" s="10">
        <f t="shared" si="9"/>
        <v>12495</v>
      </c>
      <c r="D519" s="10" t="s">
        <v>22</v>
      </c>
      <c r="E519" s="7"/>
      <c r="F519" s="7"/>
      <c r="G519" s="7"/>
    </row>
    <row r="520" spans="1:7" ht="20.25" customHeight="1">
      <c r="A520" s="10">
        <v>12496</v>
      </c>
      <c r="B520" s="10">
        <v>16496</v>
      </c>
      <c r="C520" s="10">
        <f t="shared" si="9"/>
        <v>12496</v>
      </c>
      <c r="D520" s="10" t="s">
        <v>22</v>
      </c>
      <c r="E520" s="7"/>
      <c r="F520" s="7"/>
      <c r="G520" s="7"/>
    </row>
    <row r="521" spans="1:7" ht="20.25" customHeight="1">
      <c r="A521" s="10">
        <v>12497</v>
      </c>
      <c r="B521" s="10">
        <v>16497</v>
      </c>
      <c r="C521" s="10">
        <f t="shared" si="9"/>
        <v>12497</v>
      </c>
      <c r="D521" s="10" t="s">
        <v>22</v>
      </c>
      <c r="E521" s="7"/>
      <c r="F521" s="7"/>
      <c r="G521" s="7"/>
    </row>
    <row r="522" spans="1:7" ht="20.25" customHeight="1">
      <c r="A522" s="10">
        <v>12498</v>
      </c>
      <c r="B522" s="10">
        <v>16498</v>
      </c>
      <c r="C522" s="10">
        <f t="shared" si="9"/>
        <v>12498</v>
      </c>
      <c r="D522" s="10" t="s">
        <v>22</v>
      </c>
      <c r="E522" s="7"/>
      <c r="F522" s="7"/>
      <c r="G522" s="7"/>
    </row>
    <row r="523" spans="1:7" ht="20.25" customHeight="1">
      <c r="A523" s="10">
        <v>12499</v>
      </c>
      <c r="B523" s="10">
        <v>16499</v>
      </c>
      <c r="C523" s="10">
        <f t="shared" si="9"/>
        <v>12499</v>
      </c>
      <c r="D523" s="10" t="s">
        <v>22</v>
      </c>
      <c r="E523" s="7"/>
      <c r="F523" s="7"/>
      <c r="G523" s="7"/>
    </row>
    <row r="524" spans="1:7" ht="20.25" customHeight="1">
      <c r="A524" s="10">
        <v>12500</v>
      </c>
      <c r="B524" s="10">
        <v>16500</v>
      </c>
      <c r="C524" s="10">
        <f t="shared" si="9"/>
        <v>12500</v>
      </c>
      <c r="D524" s="10" t="s">
        <v>22</v>
      </c>
      <c r="E524" s="7"/>
      <c r="F524" s="7"/>
      <c r="G524" s="7"/>
    </row>
    <row r="525" spans="1:7" ht="20.25" customHeight="1">
      <c r="A525" s="10">
        <v>12501</v>
      </c>
      <c r="B525" s="10">
        <v>16501</v>
      </c>
      <c r="C525" s="10">
        <f t="shared" si="9"/>
        <v>12501</v>
      </c>
      <c r="D525" s="10" t="s">
        <v>17</v>
      </c>
      <c r="E525" s="7" t="s">
        <v>503</v>
      </c>
      <c r="F525" s="10"/>
      <c r="G525" s="7"/>
    </row>
    <row r="526" spans="1:7" ht="20.25" customHeight="1">
      <c r="A526" s="10">
        <v>12502</v>
      </c>
      <c r="B526" s="10">
        <v>16502</v>
      </c>
      <c r="C526" s="10">
        <f t="shared" si="9"/>
        <v>12502</v>
      </c>
      <c r="D526" s="10" t="s">
        <v>17</v>
      </c>
      <c r="E526" s="7" t="s">
        <v>504</v>
      </c>
      <c r="F526" s="10"/>
      <c r="G526" s="7"/>
    </row>
    <row r="527" spans="1:7" ht="20.25" customHeight="1">
      <c r="A527" s="10">
        <v>12503</v>
      </c>
      <c r="B527" s="10">
        <v>16503</v>
      </c>
      <c r="C527" s="10">
        <f t="shared" si="9"/>
        <v>12503</v>
      </c>
      <c r="D527" s="10" t="s">
        <v>17</v>
      </c>
      <c r="E527" s="7" t="s">
        <v>505</v>
      </c>
      <c r="F527" s="10"/>
      <c r="G527" s="7"/>
    </row>
    <row r="528" spans="1:7" ht="20.25" customHeight="1">
      <c r="A528" s="10">
        <v>12504</v>
      </c>
      <c r="B528" s="10">
        <v>16504</v>
      </c>
      <c r="C528" s="10">
        <f t="shared" si="9"/>
        <v>12504</v>
      </c>
      <c r="D528" s="10" t="s">
        <v>17</v>
      </c>
      <c r="E528" s="7" t="s">
        <v>506</v>
      </c>
      <c r="F528" s="10"/>
      <c r="G528" s="7"/>
    </row>
    <row r="529" spans="1:7" ht="20.25" customHeight="1">
      <c r="A529" s="10">
        <v>12505</v>
      </c>
      <c r="B529" s="10">
        <v>16505</v>
      </c>
      <c r="C529" s="10">
        <f t="shared" si="9"/>
        <v>22505</v>
      </c>
      <c r="D529" s="10" t="s">
        <v>22</v>
      </c>
      <c r="E529" s="7" t="s">
        <v>507</v>
      </c>
      <c r="F529" s="5" t="s">
        <v>38</v>
      </c>
      <c r="G529" s="7"/>
    </row>
    <row r="530" spans="1:7" ht="20.25" customHeight="1">
      <c r="A530" s="10">
        <v>12506</v>
      </c>
      <c r="B530" s="10">
        <v>16506</v>
      </c>
      <c r="C530" s="10">
        <f t="shared" si="9"/>
        <v>12506</v>
      </c>
      <c r="D530" s="10" t="s">
        <v>17</v>
      </c>
      <c r="E530" s="7" t="s">
        <v>508</v>
      </c>
      <c r="F530" s="10"/>
      <c r="G530" s="7"/>
    </row>
    <row r="531" spans="1:7" ht="20.25" customHeight="1">
      <c r="A531" s="10">
        <v>12507</v>
      </c>
      <c r="B531" s="10">
        <v>16507</v>
      </c>
      <c r="C531" s="10">
        <f t="shared" si="9"/>
        <v>12507</v>
      </c>
      <c r="D531" s="10" t="s">
        <v>17</v>
      </c>
      <c r="E531" s="7" t="s">
        <v>509</v>
      </c>
      <c r="F531" s="10"/>
      <c r="G531" s="7"/>
    </row>
    <row r="532" spans="1:7" ht="20.25" customHeight="1">
      <c r="A532" s="10">
        <v>12508</v>
      </c>
      <c r="B532" s="10">
        <v>16508</v>
      </c>
      <c r="C532" s="10">
        <f t="shared" si="9"/>
        <v>12508</v>
      </c>
      <c r="D532" s="10" t="s">
        <v>17</v>
      </c>
      <c r="E532" s="7" t="s">
        <v>510</v>
      </c>
      <c r="F532" s="10"/>
      <c r="G532" s="7"/>
    </row>
    <row r="533" spans="1:7" ht="20.25" customHeight="1">
      <c r="A533" s="10">
        <v>12509</v>
      </c>
      <c r="B533" s="10">
        <v>16509</v>
      </c>
      <c r="C533" s="10">
        <f t="shared" si="9"/>
        <v>12509</v>
      </c>
      <c r="D533" s="10" t="s">
        <v>17</v>
      </c>
      <c r="E533" s="7" t="s">
        <v>511</v>
      </c>
      <c r="F533" s="10"/>
      <c r="G533" s="7"/>
    </row>
    <row r="534" spans="1:7" ht="20.25" customHeight="1">
      <c r="A534" s="10">
        <v>12510</v>
      </c>
      <c r="B534" s="10">
        <v>16510</v>
      </c>
      <c r="C534" s="10">
        <f t="shared" si="9"/>
        <v>12510</v>
      </c>
      <c r="D534" s="10" t="s">
        <v>380</v>
      </c>
      <c r="E534" s="7" t="s">
        <v>512</v>
      </c>
      <c r="F534" s="10"/>
      <c r="G534" s="7"/>
    </row>
    <row r="535" spans="1:7" ht="20.25" customHeight="1">
      <c r="A535" s="10">
        <v>12511</v>
      </c>
      <c r="B535" s="10">
        <v>16511</v>
      </c>
      <c r="C535" s="10">
        <f t="shared" si="9"/>
        <v>12511</v>
      </c>
      <c r="D535" s="10" t="s">
        <v>22</v>
      </c>
      <c r="E535" s="7" t="s">
        <v>513</v>
      </c>
      <c r="F535" s="10"/>
      <c r="G535" s="7"/>
    </row>
    <row r="536" spans="1:7" ht="20.25" customHeight="1">
      <c r="A536" s="10">
        <v>12512</v>
      </c>
      <c r="B536" s="10">
        <v>16512</v>
      </c>
      <c r="C536" s="10">
        <f t="shared" si="9"/>
        <v>12512</v>
      </c>
      <c r="D536" s="10" t="s">
        <v>22</v>
      </c>
      <c r="E536" s="7" t="s">
        <v>514</v>
      </c>
      <c r="F536" s="10"/>
      <c r="G536" s="7"/>
    </row>
    <row r="537" spans="1:7" ht="20.25" customHeight="1">
      <c r="A537" s="10">
        <v>12513</v>
      </c>
      <c r="B537" s="10">
        <v>16513</v>
      </c>
      <c r="C537" s="10">
        <f t="shared" si="9"/>
        <v>12513</v>
      </c>
      <c r="D537" s="10" t="s">
        <v>22</v>
      </c>
      <c r="E537" s="7" t="s">
        <v>515</v>
      </c>
      <c r="F537" s="10"/>
      <c r="G537" s="7"/>
    </row>
    <row r="538" spans="1:7" ht="20.25" customHeight="1">
      <c r="A538" s="10">
        <v>12514</v>
      </c>
      <c r="B538" s="10">
        <v>16514</v>
      </c>
      <c r="C538" s="10">
        <f t="shared" si="9"/>
        <v>12514</v>
      </c>
      <c r="D538" s="10" t="s">
        <v>22</v>
      </c>
      <c r="E538" s="7" t="s">
        <v>516</v>
      </c>
      <c r="F538" s="10"/>
      <c r="G538" s="7"/>
    </row>
    <row r="539" spans="1:7" ht="20.25" customHeight="1">
      <c r="A539" s="10">
        <v>12515</v>
      </c>
      <c r="B539" s="10">
        <v>16515</v>
      </c>
      <c r="C539" s="10">
        <f t="shared" si="9"/>
        <v>12515</v>
      </c>
      <c r="D539" s="10" t="s">
        <v>22</v>
      </c>
      <c r="E539" s="8" t="s">
        <v>517</v>
      </c>
      <c r="F539" s="10"/>
      <c r="G539" s="7"/>
    </row>
    <row r="540" spans="1:7" ht="20.25" customHeight="1">
      <c r="A540" s="10">
        <v>12516</v>
      </c>
      <c r="B540" s="10">
        <v>16516</v>
      </c>
      <c r="C540" s="10">
        <f t="shared" si="9"/>
        <v>12516</v>
      </c>
      <c r="D540" s="10" t="s">
        <v>22</v>
      </c>
      <c r="E540" s="7" t="s">
        <v>518</v>
      </c>
      <c r="F540" s="10"/>
      <c r="G540" s="7"/>
    </row>
    <row r="541" spans="1:7" ht="20.25" customHeight="1">
      <c r="A541" s="10">
        <v>12517</v>
      </c>
      <c r="B541" s="10">
        <v>16517</v>
      </c>
      <c r="C541" s="10">
        <f t="shared" si="9"/>
        <v>12517</v>
      </c>
      <c r="D541" s="10" t="s">
        <v>22</v>
      </c>
      <c r="E541" s="7" t="s">
        <v>519</v>
      </c>
      <c r="F541" s="10"/>
      <c r="G541" s="7"/>
    </row>
    <row r="542" spans="1:7" ht="20.25" customHeight="1">
      <c r="A542" s="10">
        <v>12518</v>
      </c>
      <c r="B542" s="10">
        <v>16518</v>
      </c>
      <c r="C542" s="10">
        <f t="shared" si="9"/>
        <v>12518</v>
      </c>
      <c r="D542" s="10" t="s">
        <v>22</v>
      </c>
      <c r="E542" s="7" t="s">
        <v>520</v>
      </c>
      <c r="F542" s="10"/>
      <c r="G542" s="7"/>
    </row>
    <row r="543" spans="1:7" ht="20.25" customHeight="1">
      <c r="A543" s="10">
        <v>12519</v>
      </c>
      <c r="B543" s="10">
        <v>16519</v>
      </c>
      <c r="C543" s="10">
        <f t="shared" si="9"/>
        <v>12519</v>
      </c>
      <c r="D543" s="10" t="s">
        <v>22</v>
      </c>
      <c r="E543" s="7" t="s">
        <v>521</v>
      </c>
      <c r="F543" s="10"/>
      <c r="G543" s="7"/>
    </row>
    <row r="544" spans="1:7" ht="20.25" customHeight="1">
      <c r="A544" s="10">
        <v>12520</v>
      </c>
      <c r="B544" s="10">
        <v>16520</v>
      </c>
      <c r="C544" s="10">
        <f t="shared" si="9"/>
        <v>12520</v>
      </c>
      <c r="D544" s="10" t="s">
        <v>22</v>
      </c>
      <c r="E544" s="7"/>
      <c r="F544" s="10"/>
      <c r="G544" s="7"/>
    </row>
    <row r="545" spans="1:7" ht="20.25" customHeight="1">
      <c r="A545" s="10">
        <v>12521</v>
      </c>
      <c r="B545" s="10">
        <v>16521</v>
      </c>
      <c r="C545" s="10">
        <f t="shared" si="9"/>
        <v>12521</v>
      </c>
      <c r="D545" s="10" t="s">
        <v>22</v>
      </c>
      <c r="E545" s="7"/>
      <c r="F545" s="10"/>
      <c r="G545" s="7"/>
    </row>
    <row r="546" spans="1:7" ht="20.25" customHeight="1">
      <c r="A546" s="10">
        <v>12522</v>
      </c>
      <c r="B546" s="10">
        <v>16522</v>
      </c>
      <c r="C546" s="10">
        <f t="shared" si="9"/>
        <v>12522</v>
      </c>
      <c r="D546" s="10" t="s">
        <v>22</v>
      </c>
      <c r="E546" s="7"/>
      <c r="F546" s="10"/>
      <c r="G546" s="7"/>
    </row>
    <row r="547" spans="1:7" ht="20.25" customHeight="1">
      <c r="A547" s="10">
        <v>12523</v>
      </c>
      <c r="B547" s="10">
        <v>16523</v>
      </c>
      <c r="C547" s="10">
        <f t="shared" si="9"/>
        <v>12523</v>
      </c>
      <c r="D547" s="10" t="s">
        <v>22</v>
      </c>
      <c r="E547" s="7"/>
      <c r="F547" s="10"/>
      <c r="G547" s="7"/>
    </row>
    <row r="548" spans="1:7" ht="20.25" customHeight="1">
      <c r="A548" s="10">
        <v>12524</v>
      </c>
      <c r="B548" s="10">
        <v>16524</v>
      </c>
      <c r="C548" s="10">
        <f t="shared" si="9"/>
        <v>12524</v>
      </c>
      <c r="D548" s="10" t="s">
        <v>22</v>
      </c>
      <c r="E548" s="7"/>
      <c r="F548" s="10"/>
      <c r="G548" s="7"/>
    </row>
    <row r="549" spans="1:7" ht="20.25" customHeight="1">
      <c r="A549" s="10">
        <v>12525</v>
      </c>
      <c r="B549" s="10">
        <v>16525</v>
      </c>
      <c r="C549" s="10">
        <f t="shared" si="9"/>
        <v>12525</v>
      </c>
      <c r="D549" s="10" t="s">
        <v>22</v>
      </c>
      <c r="E549" s="7"/>
      <c r="F549" s="10"/>
      <c r="G549" s="7"/>
    </row>
    <row r="550" spans="1:7" ht="20.25" customHeight="1">
      <c r="A550" s="10">
        <v>12526</v>
      </c>
      <c r="B550" s="10">
        <v>16526</v>
      </c>
      <c r="C550" s="10">
        <f t="shared" si="9"/>
        <v>12526</v>
      </c>
      <c r="D550" s="10" t="s">
        <v>22</v>
      </c>
      <c r="E550" s="7"/>
      <c r="F550" s="10"/>
      <c r="G550" s="7"/>
    </row>
    <row r="551" spans="1:7" ht="20.25" customHeight="1">
      <c r="A551" s="10">
        <v>12527</v>
      </c>
      <c r="B551" s="10">
        <v>16527</v>
      </c>
      <c r="C551" s="10">
        <f t="shared" si="9"/>
        <v>12527</v>
      </c>
      <c r="D551" s="10" t="s">
        <v>22</v>
      </c>
      <c r="E551" s="7"/>
      <c r="F551" s="10"/>
      <c r="G551" s="7"/>
    </row>
    <row r="552" spans="1:7" ht="20.25" customHeight="1">
      <c r="A552" s="10">
        <v>12528</v>
      </c>
      <c r="B552" s="10">
        <v>16528</v>
      </c>
      <c r="C552" s="10">
        <f t="shared" si="9"/>
        <v>12528</v>
      </c>
      <c r="D552" s="10" t="s">
        <v>22</v>
      </c>
      <c r="E552" s="7"/>
      <c r="F552" s="10"/>
      <c r="G552" s="7"/>
    </row>
    <row r="553" spans="1:7" ht="20.25" customHeight="1">
      <c r="A553" s="10">
        <v>12529</v>
      </c>
      <c r="B553" s="10">
        <v>16529</v>
      </c>
      <c r="C553" s="10">
        <f t="shared" si="9"/>
        <v>12529</v>
      </c>
      <c r="D553" s="10" t="s">
        <v>22</v>
      </c>
      <c r="E553" s="7"/>
      <c r="F553" s="10"/>
      <c r="G553" s="7"/>
    </row>
    <row r="554" spans="1:7" ht="20.25" customHeight="1">
      <c r="A554" s="10">
        <v>12530</v>
      </c>
      <c r="B554" s="10">
        <v>16530</v>
      </c>
      <c r="C554" s="10">
        <f t="shared" si="9"/>
        <v>12530</v>
      </c>
      <c r="D554" s="10" t="s">
        <v>22</v>
      </c>
      <c r="E554" s="7"/>
      <c r="F554" s="10"/>
      <c r="G554" s="7"/>
    </row>
    <row r="555" spans="1:7" ht="20.25" customHeight="1">
      <c r="A555" s="10">
        <v>12531</v>
      </c>
      <c r="B555" s="10">
        <v>16531</v>
      </c>
      <c r="C555" s="10">
        <f t="shared" si="9"/>
        <v>12531</v>
      </c>
      <c r="D555" s="10" t="s">
        <v>22</v>
      </c>
      <c r="E555" s="7"/>
      <c r="F555" s="10"/>
      <c r="G555" s="7"/>
    </row>
    <row r="556" spans="1:7" ht="20.25" customHeight="1">
      <c r="A556" s="10">
        <v>12532</v>
      </c>
      <c r="B556" s="10">
        <v>16532</v>
      </c>
      <c r="C556" s="10">
        <f t="shared" si="9"/>
        <v>12532</v>
      </c>
      <c r="D556" s="10" t="s">
        <v>22</v>
      </c>
      <c r="E556" s="7"/>
      <c r="F556" s="10"/>
      <c r="G556" s="7"/>
    </row>
    <row r="557" spans="1:7" ht="20.25" customHeight="1">
      <c r="A557" s="10">
        <v>12533</v>
      </c>
      <c r="B557" s="10">
        <v>16533</v>
      </c>
      <c r="C557" s="10">
        <f t="shared" si="9"/>
        <v>12533</v>
      </c>
      <c r="D557" s="10" t="s">
        <v>22</v>
      </c>
      <c r="E557" s="7"/>
      <c r="F557" s="10"/>
      <c r="G557" s="7"/>
    </row>
    <row r="558" spans="1:7" ht="20.25" customHeight="1">
      <c r="A558" s="10">
        <v>12534</v>
      </c>
      <c r="B558" s="10">
        <v>16534</v>
      </c>
      <c r="C558" s="10">
        <f t="shared" si="9"/>
        <v>12534</v>
      </c>
      <c r="D558" s="10" t="s">
        <v>22</v>
      </c>
      <c r="E558" s="7"/>
      <c r="F558" s="10"/>
      <c r="G558" s="7"/>
    </row>
    <row r="559" spans="1:7" ht="20.25" customHeight="1">
      <c r="A559" s="10">
        <v>12535</v>
      </c>
      <c r="B559" s="10">
        <v>16535</v>
      </c>
      <c r="C559" s="10">
        <f t="shared" si="9"/>
        <v>12535</v>
      </c>
      <c r="D559" s="10" t="s">
        <v>22</v>
      </c>
      <c r="E559" s="7"/>
      <c r="F559" s="10"/>
      <c r="G559" s="7"/>
    </row>
    <row r="560" spans="1:7" ht="20.25" customHeight="1">
      <c r="A560" s="10">
        <v>12536</v>
      </c>
      <c r="B560" s="10">
        <v>16536</v>
      </c>
      <c r="C560" s="10">
        <f t="shared" si="9"/>
        <v>12536</v>
      </c>
      <c r="D560" s="10" t="s">
        <v>22</v>
      </c>
      <c r="E560" s="7"/>
      <c r="F560" s="10"/>
      <c r="G560" s="7"/>
    </row>
    <row r="561" spans="1:7" ht="20.25" customHeight="1">
      <c r="A561" s="10">
        <v>12537</v>
      </c>
      <c r="B561" s="10">
        <v>16537</v>
      </c>
      <c r="C561" s="10">
        <f t="shared" si="9"/>
        <v>12537</v>
      </c>
      <c r="D561" s="10" t="s">
        <v>22</v>
      </c>
      <c r="E561" s="7"/>
      <c r="F561" s="10"/>
      <c r="G561" s="7"/>
    </row>
    <row r="562" spans="1:7" ht="20.25" customHeight="1">
      <c r="A562" s="10">
        <v>12538</v>
      </c>
      <c r="B562" s="10">
        <v>16538</v>
      </c>
      <c r="C562" s="10">
        <f t="shared" si="9"/>
        <v>12538</v>
      </c>
      <c r="D562" s="10" t="s">
        <v>22</v>
      </c>
      <c r="E562" s="7"/>
      <c r="F562" s="10"/>
      <c r="G562" s="7"/>
    </row>
    <row r="563" spans="1:7" ht="20.25" customHeight="1">
      <c r="A563" s="10">
        <v>12539</v>
      </c>
      <c r="B563" s="10">
        <v>16539</v>
      </c>
      <c r="C563" s="10">
        <f t="shared" si="9"/>
        <v>12539</v>
      </c>
      <c r="D563" s="10" t="s">
        <v>22</v>
      </c>
      <c r="E563" s="7"/>
      <c r="F563" s="10"/>
      <c r="G563" s="7"/>
    </row>
    <row r="564" spans="1:7" ht="20.25" customHeight="1">
      <c r="A564" s="10">
        <v>12540</v>
      </c>
      <c r="B564" s="10">
        <v>16540</v>
      </c>
      <c r="C564" s="10">
        <f t="shared" si="9"/>
        <v>12540</v>
      </c>
      <c r="D564" s="10" t="s">
        <v>22</v>
      </c>
      <c r="E564" s="7"/>
      <c r="F564" s="10"/>
      <c r="G564" s="7"/>
    </row>
    <row r="565" spans="1:7" ht="20.25" customHeight="1">
      <c r="A565" s="10">
        <v>12541</v>
      </c>
      <c r="B565" s="10">
        <v>16541</v>
      </c>
      <c r="C565" s="10">
        <f t="shared" si="9"/>
        <v>12541</v>
      </c>
      <c r="D565" s="10" t="s">
        <v>22</v>
      </c>
      <c r="E565" s="7"/>
      <c r="F565" s="10"/>
      <c r="G565" s="7"/>
    </row>
    <row r="566" spans="1:7" ht="20.25" customHeight="1">
      <c r="A566" s="10">
        <v>12542</v>
      </c>
      <c r="B566" s="10">
        <v>16542</v>
      </c>
      <c r="C566" s="10">
        <f t="shared" si="9"/>
        <v>12542</v>
      </c>
      <c r="D566" s="10" t="s">
        <v>22</v>
      </c>
      <c r="E566" s="7"/>
      <c r="F566" s="10"/>
      <c r="G566" s="7"/>
    </row>
    <row r="567" spans="1:7" ht="20.25" customHeight="1">
      <c r="A567" s="10">
        <v>12543</v>
      </c>
      <c r="B567" s="10">
        <v>16543</v>
      </c>
      <c r="C567" s="10">
        <f t="shared" si="9"/>
        <v>12543</v>
      </c>
      <c r="D567" s="10" t="s">
        <v>22</v>
      </c>
      <c r="E567" s="7" t="s">
        <v>522</v>
      </c>
      <c r="F567" s="10"/>
      <c r="G567" s="7"/>
    </row>
    <row r="568" spans="1:7" ht="20.25" customHeight="1">
      <c r="A568" s="10">
        <v>12544</v>
      </c>
      <c r="B568" s="10">
        <v>16544</v>
      </c>
      <c r="C568" s="10">
        <f t="shared" si="9"/>
        <v>12544</v>
      </c>
      <c r="D568" s="10" t="s">
        <v>22</v>
      </c>
      <c r="E568" s="7"/>
      <c r="F568" s="10"/>
      <c r="G568" s="7"/>
    </row>
    <row r="569" spans="1:7" ht="20.25" customHeight="1">
      <c r="A569" s="10">
        <v>12545</v>
      </c>
      <c r="B569" s="10">
        <v>16545</v>
      </c>
      <c r="C569" s="10">
        <f t="shared" si="9"/>
        <v>12545</v>
      </c>
      <c r="D569" s="10" t="s">
        <v>22</v>
      </c>
      <c r="E569" s="7"/>
      <c r="F569" s="10"/>
      <c r="G569" s="7"/>
    </row>
    <row r="570" spans="1:7" ht="20.25" customHeight="1">
      <c r="A570" s="10">
        <v>12546</v>
      </c>
      <c r="B570" s="10">
        <v>16546</v>
      </c>
      <c r="C570" s="10">
        <f t="shared" si="9"/>
        <v>12546</v>
      </c>
      <c r="D570" s="10" t="s">
        <v>22</v>
      </c>
      <c r="E570" s="7"/>
      <c r="F570" s="10"/>
      <c r="G570" s="7"/>
    </row>
    <row r="571" spans="1:7" ht="20.25" customHeight="1">
      <c r="A571" s="10">
        <v>12547</v>
      </c>
      <c r="B571" s="10">
        <v>16547</v>
      </c>
      <c r="C571" s="10">
        <f t="shared" si="9"/>
        <v>12547</v>
      </c>
      <c r="D571" s="10" t="s">
        <v>22</v>
      </c>
      <c r="E571" s="7"/>
      <c r="F571" s="10"/>
      <c r="G571" s="7"/>
    </row>
    <row r="572" spans="1:7" ht="20.25" customHeight="1">
      <c r="A572" s="10">
        <v>12548</v>
      </c>
      <c r="B572" s="10">
        <v>16548</v>
      </c>
      <c r="C572" s="10">
        <f t="shared" si="9"/>
        <v>12548</v>
      </c>
      <c r="D572" s="10" t="s">
        <v>22</v>
      </c>
      <c r="E572" s="7"/>
      <c r="F572" s="10"/>
      <c r="G572" s="7"/>
    </row>
    <row r="573" spans="1:7" ht="20.25" customHeight="1">
      <c r="A573" s="10">
        <v>12549</v>
      </c>
      <c r="B573" s="10">
        <v>16549</v>
      </c>
      <c r="C573" s="10">
        <f t="shared" si="9"/>
        <v>12549</v>
      </c>
      <c r="D573" s="10" t="s">
        <v>22</v>
      </c>
      <c r="E573" s="7"/>
      <c r="F573" s="10"/>
      <c r="G573" s="7"/>
    </row>
    <row r="574" spans="1:7" ht="20.25" customHeight="1">
      <c r="A574" s="10">
        <v>12550</v>
      </c>
      <c r="B574" s="10">
        <v>16550</v>
      </c>
      <c r="C574" s="10">
        <f t="shared" si="9"/>
        <v>12550</v>
      </c>
      <c r="D574" s="10" t="s">
        <v>22</v>
      </c>
      <c r="E574" s="7"/>
      <c r="F574" s="10"/>
      <c r="G574" s="7"/>
    </row>
    <row r="575" spans="1:7" ht="20.25" customHeight="1">
      <c r="A575" s="10">
        <v>12551</v>
      </c>
      <c r="B575" s="10">
        <v>16551</v>
      </c>
      <c r="C575" s="10">
        <f t="shared" si="9"/>
        <v>12551</v>
      </c>
      <c r="D575" s="10" t="s">
        <v>22</v>
      </c>
      <c r="E575" s="7"/>
      <c r="F575" s="10"/>
      <c r="G575" s="7"/>
    </row>
    <row r="576" spans="1:7" ht="20.25" customHeight="1">
      <c r="A576" s="10">
        <v>12552</v>
      </c>
      <c r="B576" s="10">
        <v>16552</v>
      </c>
      <c r="C576" s="10">
        <f t="shared" si="9"/>
        <v>12552</v>
      </c>
      <c r="D576" s="10" t="s">
        <v>22</v>
      </c>
      <c r="E576" s="7"/>
      <c r="F576" s="10"/>
      <c r="G576" s="7"/>
    </row>
    <row r="577" spans="1:7" ht="20.25" customHeight="1">
      <c r="A577" s="10">
        <v>12553</v>
      </c>
      <c r="B577" s="10">
        <v>16553</v>
      </c>
      <c r="C577" s="10">
        <f t="shared" si="9"/>
        <v>12553</v>
      </c>
      <c r="D577" s="10" t="s">
        <v>22</v>
      </c>
      <c r="E577" s="7"/>
      <c r="F577" s="10"/>
      <c r="G577" s="7"/>
    </row>
    <row r="578" spans="1:7" ht="20.25" customHeight="1">
      <c r="A578" s="10">
        <v>12554</v>
      </c>
      <c r="B578" s="10">
        <v>16554</v>
      </c>
      <c r="C578" s="10">
        <f t="shared" si="9"/>
        <v>12554</v>
      </c>
      <c r="D578" s="10" t="s">
        <v>22</v>
      </c>
      <c r="E578" s="7"/>
      <c r="F578" s="10"/>
      <c r="G578" s="7"/>
    </row>
    <row r="579" spans="1:7" ht="20.25" customHeight="1">
      <c r="A579" s="10">
        <v>12555</v>
      </c>
      <c r="B579" s="10">
        <v>16555</v>
      </c>
      <c r="C579" s="10">
        <f t="shared" ref="C579:C642" si="10">IF(ISERROR(FIND("B_Epic",E579)),A579,A579+10000)</f>
        <v>12555</v>
      </c>
      <c r="D579" s="10" t="s">
        <v>22</v>
      </c>
      <c r="E579" s="7"/>
      <c r="F579" s="10"/>
      <c r="G579" s="7"/>
    </row>
    <row r="580" spans="1:7" ht="20.25" customHeight="1">
      <c r="A580" s="10">
        <v>12556</v>
      </c>
      <c r="B580" s="10">
        <v>16556</v>
      </c>
      <c r="C580" s="10">
        <f t="shared" si="10"/>
        <v>12556</v>
      </c>
      <c r="D580" s="10" t="s">
        <v>22</v>
      </c>
      <c r="E580" s="7"/>
      <c r="F580" s="10"/>
      <c r="G580" s="7"/>
    </row>
    <row r="581" spans="1:7" ht="20.25" customHeight="1">
      <c r="A581" s="10">
        <v>12557</v>
      </c>
      <c r="B581" s="10">
        <v>16557</v>
      </c>
      <c r="C581" s="10">
        <f t="shared" si="10"/>
        <v>12557</v>
      </c>
      <c r="D581" s="10" t="s">
        <v>22</v>
      </c>
      <c r="E581" s="7"/>
      <c r="F581" s="10"/>
      <c r="G581" s="7"/>
    </row>
    <row r="582" spans="1:7" ht="20.25" customHeight="1">
      <c r="A582" s="10">
        <v>12558</v>
      </c>
      <c r="B582" s="10">
        <v>16558</v>
      </c>
      <c r="C582" s="10">
        <f t="shared" si="10"/>
        <v>12558</v>
      </c>
      <c r="D582" s="10" t="s">
        <v>22</v>
      </c>
      <c r="E582" s="7"/>
      <c r="F582" s="10"/>
      <c r="G582" s="7"/>
    </row>
    <row r="583" spans="1:7" ht="20.25" customHeight="1">
      <c r="A583" s="10">
        <v>12559</v>
      </c>
      <c r="B583" s="10">
        <v>16559</v>
      </c>
      <c r="C583" s="10">
        <f t="shared" si="10"/>
        <v>12559</v>
      </c>
      <c r="D583" s="10" t="s">
        <v>22</v>
      </c>
      <c r="E583" s="7"/>
      <c r="F583" s="10"/>
      <c r="G583" s="7"/>
    </row>
    <row r="584" spans="1:7" ht="20.25" customHeight="1">
      <c r="A584" s="10">
        <v>12560</v>
      </c>
      <c r="B584" s="10">
        <v>16560</v>
      </c>
      <c r="C584" s="10">
        <f t="shared" si="10"/>
        <v>12560</v>
      </c>
      <c r="D584" s="10" t="s">
        <v>22</v>
      </c>
      <c r="E584" s="7"/>
      <c r="F584" s="10"/>
      <c r="G584" s="7"/>
    </row>
    <row r="585" spans="1:7" ht="20.25" customHeight="1">
      <c r="A585" s="10">
        <v>12561</v>
      </c>
      <c r="B585" s="10">
        <v>16561</v>
      </c>
      <c r="C585" s="10">
        <f t="shared" si="10"/>
        <v>12561</v>
      </c>
      <c r="D585" s="10" t="s">
        <v>22</v>
      </c>
      <c r="E585" s="7"/>
      <c r="F585" s="10"/>
      <c r="G585" s="7"/>
    </row>
    <row r="586" spans="1:7" ht="20.25" customHeight="1">
      <c r="A586" s="10">
        <v>12562</v>
      </c>
      <c r="B586" s="10">
        <v>16562</v>
      </c>
      <c r="C586" s="10">
        <f t="shared" si="10"/>
        <v>12562</v>
      </c>
      <c r="D586" s="10" t="s">
        <v>22</v>
      </c>
      <c r="E586" s="7"/>
      <c r="F586" s="10"/>
      <c r="G586" s="7"/>
    </row>
    <row r="587" spans="1:7" ht="20.25" customHeight="1">
      <c r="A587" s="10">
        <v>12563</v>
      </c>
      <c r="B587" s="10">
        <v>16563</v>
      </c>
      <c r="C587" s="10">
        <f t="shared" si="10"/>
        <v>12563</v>
      </c>
      <c r="D587" s="10" t="s">
        <v>22</v>
      </c>
      <c r="E587" s="7"/>
      <c r="F587" s="10"/>
      <c r="G587" s="7"/>
    </row>
    <row r="588" spans="1:7" ht="20.25" customHeight="1">
      <c r="A588" s="10">
        <v>12564</v>
      </c>
      <c r="B588" s="10">
        <v>16564</v>
      </c>
      <c r="C588" s="10">
        <f t="shared" si="10"/>
        <v>12564</v>
      </c>
      <c r="D588" s="10" t="s">
        <v>22</v>
      </c>
      <c r="E588" s="7"/>
      <c r="F588" s="10"/>
      <c r="G588" s="7"/>
    </row>
    <row r="589" spans="1:7" ht="20.25" customHeight="1">
      <c r="A589" s="10">
        <v>12565</v>
      </c>
      <c r="B589" s="10">
        <v>16565</v>
      </c>
      <c r="C589" s="10">
        <f t="shared" si="10"/>
        <v>12565</v>
      </c>
      <c r="D589" s="10" t="s">
        <v>22</v>
      </c>
      <c r="E589" s="7"/>
      <c r="F589" s="10"/>
      <c r="G589" s="7"/>
    </row>
    <row r="590" spans="1:7" ht="20.25" customHeight="1">
      <c r="A590" s="10">
        <v>12566</v>
      </c>
      <c r="B590" s="10">
        <v>16566</v>
      </c>
      <c r="C590" s="10">
        <f t="shared" si="10"/>
        <v>12566</v>
      </c>
      <c r="D590" s="10" t="s">
        <v>22</v>
      </c>
      <c r="E590" s="7"/>
      <c r="F590" s="10"/>
      <c r="G590" s="7"/>
    </row>
    <row r="591" spans="1:7" ht="20.25" customHeight="1">
      <c r="A591" s="10">
        <v>12567</v>
      </c>
      <c r="B591" s="10">
        <v>16567</v>
      </c>
      <c r="C591" s="10">
        <f t="shared" si="10"/>
        <v>12567</v>
      </c>
      <c r="D591" s="10" t="s">
        <v>22</v>
      </c>
      <c r="E591" s="15"/>
      <c r="F591" s="10"/>
      <c r="G591" s="7"/>
    </row>
    <row r="592" spans="1:7" ht="20.25" customHeight="1">
      <c r="A592" s="10">
        <v>12568</v>
      </c>
      <c r="B592" s="10">
        <v>16568</v>
      </c>
      <c r="C592" s="10">
        <f t="shared" si="10"/>
        <v>12568</v>
      </c>
      <c r="D592" s="10" t="s">
        <v>22</v>
      </c>
      <c r="E592" s="7"/>
      <c r="F592" s="10"/>
      <c r="G592" s="7"/>
    </row>
    <row r="593" spans="1:7" ht="20.25" customHeight="1">
      <c r="A593" s="10">
        <v>12569</v>
      </c>
      <c r="B593" s="10">
        <v>16569</v>
      </c>
      <c r="C593" s="10">
        <f t="shared" si="10"/>
        <v>12569</v>
      </c>
      <c r="D593" s="10" t="s">
        <v>22</v>
      </c>
      <c r="E593" s="7"/>
      <c r="F593" s="10"/>
      <c r="G593" s="7"/>
    </row>
    <row r="594" spans="1:7" ht="20.25" customHeight="1">
      <c r="A594" s="10">
        <v>12570</v>
      </c>
      <c r="B594" s="10">
        <v>16570</v>
      </c>
      <c r="C594" s="10">
        <f t="shared" si="10"/>
        <v>12570</v>
      </c>
      <c r="D594" s="10" t="s">
        <v>22</v>
      </c>
      <c r="E594" s="7"/>
      <c r="F594" s="10"/>
      <c r="G594" s="7"/>
    </row>
    <row r="595" spans="1:7" ht="20.25" customHeight="1">
      <c r="A595" s="10">
        <v>12571</v>
      </c>
      <c r="B595" s="10">
        <v>16571</v>
      </c>
      <c r="C595" s="10">
        <f t="shared" si="10"/>
        <v>12571</v>
      </c>
      <c r="D595" s="10" t="s">
        <v>22</v>
      </c>
      <c r="E595" s="111"/>
      <c r="F595" s="10"/>
      <c r="G595" s="7"/>
    </row>
    <row r="596" spans="1:7" ht="20.25" customHeight="1">
      <c r="A596" s="10">
        <v>12572</v>
      </c>
      <c r="B596" s="10">
        <v>16572</v>
      </c>
      <c r="C596" s="10">
        <f t="shared" si="10"/>
        <v>12572</v>
      </c>
      <c r="D596" s="10" t="s">
        <v>22</v>
      </c>
      <c r="E596" s="7"/>
      <c r="F596" s="10"/>
      <c r="G596" s="7"/>
    </row>
    <row r="597" spans="1:7" ht="20.25" customHeight="1">
      <c r="A597" s="10">
        <v>12573</v>
      </c>
      <c r="B597" s="10">
        <v>16573</v>
      </c>
      <c r="C597" s="10">
        <f t="shared" si="10"/>
        <v>12573</v>
      </c>
      <c r="D597" s="10" t="s">
        <v>22</v>
      </c>
      <c r="E597" s="7"/>
      <c r="F597" s="10"/>
      <c r="G597" s="7"/>
    </row>
    <row r="598" spans="1:7" ht="20.25" customHeight="1">
      <c r="A598" s="10">
        <v>12574</v>
      </c>
      <c r="B598" s="10">
        <v>16574</v>
      </c>
      <c r="C598" s="10">
        <f t="shared" si="10"/>
        <v>12574</v>
      </c>
      <c r="D598" s="10" t="s">
        <v>22</v>
      </c>
      <c r="E598" s="111"/>
      <c r="F598" s="10"/>
      <c r="G598" s="7"/>
    </row>
    <row r="599" spans="1:7" ht="20.25" customHeight="1">
      <c r="A599" s="10">
        <v>12575</v>
      </c>
      <c r="B599" s="10">
        <v>16575</v>
      </c>
      <c r="C599" s="10">
        <f t="shared" si="10"/>
        <v>12575</v>
      </c>
      <c r="D599" s="10" t="s">
        <v>22</v>
      </c>
      <c r="E599" s="7"/>
      <c r="F599" s="10"/>
      <c r="G599" s="7"/>
    </row>
    <row r="600" spans="1:7" ht="20.25" customHeight="1">
      <c r="A600" s="10">
        <v>12576</v>
      </c>
      <c r="B600" s="10">
        <v>16576</v>
      </c>
      <c r="C600" s="10">
        <f t="shared" si="10"/>
        <v>12576</v>
      </c>
      <c r="D600" s="10" t="s">
        <v>22</v>
      </c>
      <c r="E600" s="7"/>
      <c r="F600" s="10"/>
      <c r="G600" s="7"/>
    </row>
    <row r="601" spans="1:7" ht="20.25" customHeight="1">
      <c r="A601" s="10">
        <v>12577</v>
      </c>
      <c r="B601" s="10">
        <v>16577</v>
      </c>
      <c r="C601" s="10">
        <f t="shared" si="10"/>
        <v>12577</v>
      </c>
      <c r="D601" s="10" t="s">
        <v>22</v>
      </c>
      <c r="E601" s="7"/>
      <c r="F601" s="10"/>
      <c r="G601" s="7"/>
    </row>
    <row r="602" spans="1:7" ht="20.25" customHeight="1">
      <c r="A602" s="10">
        <v>12578</v>
      </c>
      <c r="B602" s="10">
        <v>16578</v>
      </c>
      <c r="C602" s="10">
        <f t="shared" si="10"/>
        <v>12578</v>
      </c>
      <c r="D602" s="10" t="s">
        <v>22</v>
      </c>
      <c r="E602" s="7"/>
      <c r="F602" s="10"/>
      <c r="G602" s="7"/>
    </row>
    <row r="603" spans="1:7" ht="20.25" customHeight="1">
      <c r="A603" s="10">
        <v>12579</v>
      </c>
      <c r="B603" s="10">
        <v>16579</v>
      </c>
      <c r="C603" s="10">
        <f t="shared" si="10"/>
        <v>12579</v>
      </c>
      <c r="D603" s="10" t="s">
        <v>22</v>
      </c>
      <c r="E603" s="7"/>
      <c r="F603" s="10"/>
      <c r="G603" s="7"/>
    </row>
    <row r="604" spans="1:7" ht="20.25" customHeight="1">
      <c r="A604" s="10">
        <v>12580</v>
      </c>
      <c r="B604" s="10">
        <v>16580</v>
      </c>
      <c r="C604" s="10">
        <f t="shared" si="10"/>
        <v>12580</v>
      </c>
      <c r="D604" s="10" t="s">
        <v>22</v>
      </c>
      <c r="E604" s="7"/>
      <c r="F604" s="10"/>
      <c r="G604" s="7"/>
    </row>
    <row r="605" spans="1:7" ht="20.25" customHeight="1">
      <c r="A605" s="10">
        <v>12581</v>
      </c>
      <c r="B605" s="10">
        <v>16581</v>
      </c>
      <c r="C605" s="10">
        <f t="shared" si="10"/>
        <v>12581</v>
      </c>
      <c r="D605" s="10" t="s">
        <v>22</v>
      </c>
      <c r="E605" s="7"/>
      <c r="F605" s="10"/>
      <c r="G605" s="7"/>
    </row>
    <row r="606" spans="1:7" ht="20.25" customHeight="1">
      <c r="A606" s="10">
        <v>12582</v>
      </c>
      <c r="B606" s="10">
        <v>16582</v>
      </c>
      <c r="C606" s="10">
        <f t="shared" si="10"/>
        <v>12582</v>
      </c>
      <c r="D606" s="10" t="s">
        <v>22</v>
      </c>
      <c r="E606" s="7"/>
      <c r="F606" s="10"/>
      <c r="G606" s="7"/>
    </row>
    <row r="607" spans="1:7" ht="20.25" customHeight="1">
      <c r="A607" s="10">
        <v>12583</v>
      </c>
      <c r="B607" s="10">
        <v>16583</v>
      </c>
      <c r="C607" s="10">
        <f t="shared" si="10"/>
        <v>12583</v>
      </c>
      <c r="D607" s="10" t="s">
        <v>22</v>
      </c>
      <c r="E607" s="7"/>
      <c r="F607" s="10"/>
      <c r="G607" s="7"/>
    </row>
    <row r="608" spans="1:7" ht="20.25" customHeight="1">
      <c r="A608" s="10">
        <v>12584</v>
      </c>
      <c r="B608" s="10">
        <v>16584</v>
      </c>
      <c r="C608" s="10">
        <f t="shared" si="10"/>
        <v>12584</v>
      </c>
      <c r="D608" s="10" t="s">
        <v>22</v>
      </c>
      <c r="E608" s="7"/>
      <c r="F608" s="10"/>
      <c r="G608" s="7"/>
    </row>
    <row r="609" spans="1:7" ht="20.25" customHeight="1">
      <c r="A609" s="10">
        <v>12585</v>
      </c>
      <c r="B609" s="10">
        <v>16585</v>
      </c>
      <c r="C609" s="10">
        <f t="shared" si="10"/>
        <v>12585</v>
      </c>
      <c r="D609" s="10" t="s">
        <v>22</v>
      </c>
      <c r="E609" s="7"/>
      <c r="F609" s="10"/>
      <c r="G609" s="7"/>
    </row>
    <row r="610" spans="1:7" ht="20.25" customHeight="1">
      <c r="A610" s="10">
        <v>12586</v>
      </c>
      <c r="B610" s="10">
        <v>16586</v>
      </c>
      <c r="C610" s="10">
        <f t="shared" si="10"/>
        <v>12586</v>
      </c>
      <c r="D610" s="10" t="s">
        <v>22</v>
      </c>
      <c r="E610" s="7"/>
      <c r="F610" s="10"/>
      <c r="G610" s="7"/>
    </row>
    <row r="611" spans="1:7" ht="20.25" customHeight="1">
      <c r="A611" s="10">
        <v>12587</v>
      </c>
      <c r="B611" s="10">
        <v>16587</v>
      </c>
      <c r="C611" s="10">
        <f t="shared" si="10"/>
        <v>12587</v>
      </c>
      <c r="D611" s="10" t="s">
        <v>22</v>
      </c>
      <c r="E611" s="7"/>
      <c r="F611" s="10"/>
      <c r="G611" s="7"/>
    </row>
    <row r="612" spans="1:7" ht="20.25" customHeight="1">
      <c r="A612" s="10">
        <v>12588</v>
      </c>
      <c r="B612" s="10">
        <v>16588</v>
      </c>
      <c r="C612" s="10">
        <f t="shared" si="10"/>
        <v>12588</v>
      </c>
      <c r="D612" s="10" t="s">
        <v>22</v>
      </c>
      <c r="E612" s="7"/>
      <c r="F612" s="10"/>
      <c r="G612" s="7"/>
    </row>
    <row r="613" spans="1:7" ht="20.25" customHeight="1">
      <c r="A613" s="10">
        <v>12589</v>
      </c>
      <c r="B613" s="10">
        <v>16589</v>
      </c>
      <c r="C613" s="10">
        <f t="shared" si="10"/>
        <v>12589</v>
      </c>
      <c r="D613" s="10" t="s">
        <v>22</v>
      </c>
      <c r="E613" s="7"/>
      <c r="F613" s="10"/>
      <c r="G613" s="7"/>
    </row>
    <row r="614" spans="1:7" ht="20.25" customHeight="1">
      <c r="A614" s="10">
        <v>12590</v>
      </c>
      <c r="B614" s="10">
        <v>16590</v>
      </c>
      <c r="C614" s="10">
        <f t="shared" si="10"/>
        <v>12590</v>
      </c>
      <c r="D614" s="10" t="s">
        <v>22</v>
      </c>
      <c r="E614" s="7"/>
      <c r="F614" s="10"/>
      <c r="G614" s="7"/>
    </row>
    <row r="615" spans="1:7" ht="20.25" customHeight="1">
      <c r="A615" s="10">
        <v>12591</v>
      </c>
      <c r="B615" s="10">
        <v>16591</v>
      </c>
      <c r="C615" s="10">
        <f t="shared" si="10"/>
        <v>12591</v>
      </c>
      <c r="D615" s="10" t="s">
        <v>22</v>
      </c>
      <c r="E615" s="7"/>
      <c r="F615" s="10"/>
      <c r="G615" s="7"/>
    </row>
    <row r="616" spans="1:7" ht="20.25" customHeight="1">
      <c r="A616" s="10">
        <v>12592</v>
      </c>
      <c r="B616" s="10">
        <v>16592</v>
      </c>
      <c r="C616" s="10">
        <f t="shared" si="10"/>
        <v>12592</v>
      </c>
      <c r="D616" s="10" t="s">
        <v>22</v>
      </c>
      <c r="E616" s="7"/>
      <c r="F616" s="10"/>
      <c r="G616" s="7"/>
    </row>
    <row r="617" spans="1:7" ht="20.25" customHeight="1">
      <c r="A617" s="10">
        <v>12593</v>
      </c>
      <c r="B617" s="10">
        <v>16593</v>
      </c>
      <c r="C617" s="10">
        <f t="shared" si="10"/>
        <v>12593</v>
      </c>
      <c r="D617" s="10" t="s">
        <v>22</v>
      </c>
      <c r="E617" s="7"/>
      <c r="F617" s="10"/>
      <c r="G617" s="7"/>
    </row>
    <row r="618" spans="1:7" ht="20.25" customHeight="1">
      <c r="A618" s="10">
        <v>12594</v>
      </c>
      <c r="B618" s="10">
        <v>16594</v>
      </c>
      <c r="C618" s="10">
        <f t="shared" si="10"/>
        <v>12594</v>
      </c>
      <c r="D618" s="10" t="s">
        <v>22</v>
      </c>
      <c r="E618" s="7"/>
      <c r="F618" s="10"/>
      <c r="G618" s="7"/>
    </row>
    <row r="619" spans="1:7" ht="20.25" customHeight="1">
      <c r="A619" s="10">
        <v>12595</v>
      </c>
      <c r="B619" s="10">
        <v>16595</v>
      </c>
      <c r="C619" s="10">
        <f t="shared" si="10"/>
        <v>12595</v>
      </c>
      <c r="D619" s="10" t="s">
        <v>22</v>
      </c>
      <c r="E619" s="7"/>
      <c r="F619" s="10"/>
      <c r="G619" s="7"/>
    </row>
    <row r="620" spans="1:7" ht="20.25" customHeight="1">
      <c r="A620" s="10">
        <v>12596</v>
      </c>
      <c r="B620" s="10">
        <v>16596</v>
      </c>
      <c r="C620" s="10">
        <f t="shared" si="10"/>
        <v>12596</v>
      </c>
      <c r="D620" s="10" t="s">
        <v>22</v>
      </c>
      <c r="E620" s="7"/>
      <c r="F620" s="10"/>
      <c r="G620" s="7"/>
    </row>
    <row r="621" spans="1:7" ht="20.25" customHeight="1">
      <c r="A621" s="10">
        <v>12597</v>
      </c>
      <c r="B621" s="10">
        <v>16597</v>
      </c>
      <c r="C621" s="10">
        <f t="shared" si="10"/>
        <v>12597</v>
      </c>
      <c r="D621" s="10" t="s">
        <v>22</v>
      </c>
      <c r="E621" s="7"/>
      <c r="F621" s="10"/>
      <c r="G621" s="7"/>
    </row>
    <row r="622" spans="1:7" ht="20.25" customHeight="1">
      <c r="A622" s="10">
        <v>12598</v>
      </c>
      <c r="B622" s="10">
        <v>16598</v>
      </c>
      <c r="C622" s="10">
        <f t="shared" si="10"/>
        <v>12598</v>
      </c>
      <c r="D622" s="10" t="s">
        <v>22</v>
      </c>
      <c r="E622" s="7"/>
      <c r="F622" s="10"/>
      <c r="G622" s="7"/>
    </row>
    <row r="623" spans="1:7" ht="20.25" customHeight="1">
      <c r="A623" s="10">
        <v>12599</v>
      </c>
      <c r="B623" s="10">
        <v>16599</v>
      </c>
      <c r="C623" s="10">
        <f t="shared" si="10"/>
        <v>12599</v>
      </c>
      <c r="D623" s="10" t="s">
        <v>22</v>
      </c>
      <c r="E623" s="7"/>
      <c r="F623" s="10"/>
      <c r="G623" s="7"/>
    </row>
    <row r="624" spans="1:7" ht="20.25" customHeight="1">
      <c r="A624" s="10">
        <v>12600</v>
      </c>
      <c r="B624" s="10">
        <v>16600</v>
      </c>
      <c r="C624" s="10">
        <f t="shared" si="10"/>
        <v>12600</v>
      </c>
      <c r="D624" s="10" t="s">
        <v>22</v>
      </c>
      <c r="E624" s="7"/>
      <c r="F624" s="10"/>
      <c r="G624" s="7"/>
    </row>
    <row r="625" spans="1:7" ht="20.25" customHeight="1">
      <c r="A625" s="10">
        <v>12601</v>
      </c>
      <c r="B625" s="10">
        <v>16601</v>
      </c>
      <c r="C625" s="10">
        <f t="shared" si="10"/>
        <v>12601</v>
      </c>
      <c r="D625" s="10" t="s">
        <v>22</v>
      </c>
      <c r="E625" s="7"/>
      <c r="F625" s="10"/>
      <c r="G625" s="7"/>
    </row>
    <row r="626" spans="1:7" ht="20.25" customHeight="1">
      <c r="A626" s="10">
        <v>12602</v>
      </c>
      <c r="B626" s="10">
        <v>16602</v>
      </c>
      <c r="C626" s="10">
        <f t="shared" si="10"/>
        <v>12602</v>
      </c>
      <c r="D626" s="10" t="s">
        <v>22</v>
      </c>
      <c r="E626" s="7"/>
      <c r="F626" s="10"/>
      <c r="G626" s="7"/>
    </row>
    <row r="627" spans="1:7" ht="20.25" customHeight="1">
      <c r="A627" s="10">
        <v>12603</v>
      </c>
      <c r="B627" s="10">
        <v>16603</v>
      </c>
      <c r="C627" s="10">
        <f t="shared" si="10"/>
        <v>12603</v>
      </c>
      <c r="D627" s="10" t="s">
        <v>22</v>
      </c>
      <c r="E627" s="7"/>
      <c r="F627" s="10"/>
      <c r="G627" s="7"/>
    </row>
    <row r="628" spans="1:7" ht="20.25" customHeight="1">
      <c r="A628" s="10">
        <v>12604</v>
      </c>
      <c r="B628" s="10">
        <v>16604</v>
      </c>
      <c r="C628" s="10">
        <f t="shared" si="10"/>
        <v>12604</v>
      </c>
      <c r="D628" s="10" t="s">
        <v>22</v>
      </c>
      <c r="E628" s="7"/>
      <c r="F628" s="10"/>
      <c r="G628" s="7"/>
    </row>
    <row r="629" spans="1:7" ht="20.25" customHeight="1">
      <c r="A629" s="10">
        <v>12605</v>
      </c>
      <c r="B629" s="10">
        <v>16605</v>
      </c>
      <c r="C629" s="10">
        <f t="shared" si="10"/>
        <v>12605</v>
      </c>
      <c r="D629" s="10" t="s">
        <v>22</v>
      </c>
      <c r="E629" s="7"/>
      <c r="F629" s="10"/>
      <c r="G629" s="7"/>
    </row>
    <row r="630" spans="1:7" ht="20.25" customHeight="1">
      <c r="A630" s="10">
        <v>12606</v>
      </c>
      <c r="B630" s="10">
        <v>16606</v>
      </c>
      <c r="C630" s="10">
        <f t="shared" si="10"/>
        <v>12606</v>
      </c>
      <c r="D630" s="10" t="s">
        <v>22</v>
      </c>
      <c r="E630" s="7"/>
      <c r="F630" s="10"/>
      <c r="G630" s="7"/>
    </row>
    <row r="631" spans="1:7" ht="20.25" customHeight="1">
      <c r="A631" s="10">
        <v>12607</v>
      </c>
      <c r="B631" s="10">
        <v>16607</v>
      </c>
      <c r="C631" s="10">
        <f t="shared" si="10"/>
        <v>12607</v>
      </c>
      <c r="D631" s="10" t="s">
        <v>22</v>
      </c>
      <c r="E631" s="9"/>
      <c r="F631" s="10"/>
      <c r="G631" s="7"/>
    </row>
    <row r="632" spans="1:7" ht="20.25" customHeight="1">
      <c r="A632" s="10">
        <v>12608</v>
      </c>
      <c r="B632" s="10">
        <v>16608</v>
      </c>
      <c r="C632" s="10">
        <f t="shared" si="10"/>
        <v>12608</v>
      </c>
      <c r="D632" s="10" t="s">
        <v>22</v>
      </c>
      <c r="E632" s="9"/>
      <c r="F632" s="10"/>
      <c r="G632" s="7"/>
    </row>
    <row r="633" spans="1:7" ht="20.25" customHeight="1">
      <c r="A633" s="10">
        <v>12609</v>
      </c>
      <c r="B633" s="10">
        <v>16609</v>
      </c>
      <c r="C633" s="10">
        <f t="shared" si="10"/>
        <v>12609</v>
      </c>
      <c r="D633" s="10" t="s">
        <v>22</v>
      </c>
      <c r="E633" s="12"/>
      <c r="F633" s="10"/>
      <c r="G633" s="7"/>
    </row>
    <row r="634" spans="1:7" ht="20.25" customHeight="1">
      <c r="A634" s="10">
        <v>12610</v>
      </c>
      <c r="B634" s="10">
        <v>16610</v>
      </c>
      <c r="C634" s="10">
        <f t="shared" si="10"/>
        <v>12610</v>
      </c>
      <c r="D634" s="10" t="s">
        <v>22</v>
      </c>
      <c r="E634" s="12"/>
      <c r="F634" s="10"/>
      <c r="G634" s="7"/>
    </row>
    <row r="635" spans="1:7" ht="20.25" customHeight="1">
      <c r="A635" s="10">
        <v>12611</v>
      </c>
      <c r="B635" s="10">
        <v>16611</v>
      </c>
      <c r="C635" s="10">
        <f t="shared" si="10"/>
        <v>12611</v>
      </c>
      <c r="D635" s="10" t="s">
        <v>22</v>
      </c>
      <c r="E635" s="11"/>
      <c r="F635" s="10"/>
      <c r="G635" s="7"/>
    </row>
    <row r="636" spans="1:7" ht="20.25" customHeight="1">
      <c r="A636" s="10">
        <v>12612</v>
      </c>
      <c r="B636" s="10">
        <v>16612</v>
      </c>
      <c r="C636" s="10">
        <f t="shared" si="10"/>
        <v>12612</v>
      </c>
      <c r="D636" s="10" t="s">
        <v>22</v>
      </c>
      <c r="E636" s="9"/>
      <c r="F636" s="10"/>
      <c r="G636" s="7"/>
    </row>
    <row r="637" spans="1:7" ht="20.25" customHeight="1">
      <c r="A637" s="10">
        <v>12613</v>
      </c>
      <c r="B637" s="10">
        <v>16613</v>
      </c>
      <c r="C637" s="10">
        <f t="shared" si="10"/>
        <v>12613</v>
      </c>
      <c r="D637" s="10" t="s">
        <v>22</v>
      </c>
      <c r="E637" s="9"/>
      <c r="F637" s="10"/>
      <c r="G637" s="7"/>
    </row>
    <row r="638" spans="1:7" ht="20.25" customHeight="1">
      <c r="A638" s="10">
        <v>12614</v>
      </c>
      <c r="B638" s="10">
        <v>16614</v>
      </c>
      <c r="C638" s="10">
        <f t="shared" si="10"/>
        <v>12614</v>
      </c>
      <c r="D638" s="10" t="s">
        <v>22</v>
      </c>
      <c r="E638" s="9"/>
      <c r="F638" s="10"/>
      <c r="G638" s="7"/>
    </row>
    <row r="639" spans="1:7" ht="20.25" customHeight="1">
      <c r="A639" s="10">
        <v>12615</v>
      </c>
      <c r="B639" s="10">
        <v>16615</v>
      </c>
      <c r="C639" s="10">
        <f t="shared" si="10"/>
        <v>12615</v>
      </c>
      <c r="D639" s="10" t="s">
        <v>22</v>
      </c>
      <c r="E639" s="9"/>
      <c r="F639" s="10"/>
      <c r="G639" s="7"/>
    </row>
    <row r="640" spans="1:7" ht="20.25" customHeight="1">
      <c r="A640" s="10">
        <v>12616</v>
      </c>
      <c r="B640" s="10">
        <v>16616</v>
      </c>
      <c r="C640" s="10">
        <f t="shared" si="10"/>
        <v>12616</v>
      </c>
      <c r="D640" s="10" t="s">
        <v>22</v>
      </c>
      <c r="E640" s="7"/>
      <c r="F640" s="10"/>
      <c r="G640" s="7"/>
    </row>
    <row r="641" spans="1:7" ht="20.25" customHeight="1">
      <c r="A641" s="10">
        <v>12617</v>
      </c>
      <c r="B641" s="10">
        <v>16617</v>
      </c>
      <c r="C641" s="10">
        <f t="shared" si="10"/>
        <v>12617</v>
      </c>
      <c r="D641" s="10" t="s">
        <v>22</v>
      </c>
      <c r="E641" s="7"/>
      <c r="F641" s="10"/>
      <c r="G641" s="7"/>
    </row>
    <row r="642" spans="1:7" ht="20.25" customHeight="1">
      <c r="A642" s="10">
        <v>12618</v>
      </c>
      <c r="B642" s="10">
        <v>16618</v>
      </c>
      <c r="C642" s="10">
        <f t="shared" si="10"/>
        <v>12618</v>
      </c>
      <c r="D642" s="10" t="s">
        <v>22</v>
      </c>
      <c r="E642" s="7"/>
      <c r="F642" s="10"/>
      <c r="G642" s="7"/>
    </row>
    <row r="643" spans="1:7" ht="20.25" customHeight="1">
      <c r="A643" s="10">
        <v>12619</v>
      </c>
      <c r="B643" s="10">
        <v>16619</v>
      </c>
      <c r="C643" s="10">
        <f t="shared" ref="C643:C706" si="11">IF(ISERROR(FIND("B_Epic",E643)),A643,A643+10000)</f>
        <v>12619</v>
      </c>
      <c r="D643" s="10" t="s">
        <v>22</v>
      </c>
      <c r="E643" s="7"/>
      <c r="F643" s="10"/>
      <c r="G643" s="7"/>
    </row>
    <row r="644" spans="1:7" ht="20.25" customHeight="1">
      <c r="A644" s="10">
        <v>12620</v>
      </c>
      <c r="B644" s="10">
        <v>16620</v>
      </c>
      <c r="C644" s="10">
        <f t="shared" si="11"/>
        <v>12620</v>
      </c>
      <c r="D644" s="10" t="s">
        <v>22</v>
      </c>
      <c r="E644" s="7"/>
      <c r="F644" s="10"/>
      <c r="G644" s="7"/>
    </row>
    <row r="645" spans="1:7" ht="20.25" customHeight="1">
      <c r="A645" s="10">
        <v>12621</v>
      </c>
      <c r="B645" s="10">
        <v>16621</v>
      </c>
      <c r="C645" s="10">
        <f t="shared" si="11"/>
        <v>12621</v>
      </c>
      <c r="D645" s="10" t="s">
        <v>22</v>
      </c>
      <c r="E645" s="7"/>
      <c r="F645" s="10"/>
      <c r="G645" s="7"/>
    </row>
    <row r="646" spans="1:7" ht="20.25" customHeight="1">
      <c r="A646" s="10">
        <v>12622</v>
      </c>
      <c r="B646" s="10">
        <v>16622</v>
      </c>
      <c r="C646" s="10">
        <f t="shared" si="11"/>
        <v>12622</v>
      </c>
      <c r="D646" s="10" t="s">
        <v>22</v>
      </c>
      <c r="E646" s="7"/>
      <c r="F646" s="10"/>
      <c r="G646" s="7"/>
    </row>
    <row r="647" spans="1:7" ht="20.25" customHeight="1">
      <c r="A647" s="10">
        <v>12623</v>
      </c>
      <c r="B647" s="10">
        <v>16623</v>
      </c>
      <c r="C647" s="10">
        <f t="shared" si="11"/>
        <v>12623</v>
      </c>
      <c r="D647" s="10" t="s">
        <v>22</v>
      </c>
      <c r="E647" s="7"/>
      <c r="F647" s="10"/>
      <c r="G647" s="7"/>
    </row>
    <row r="648" spans="1:7" ht="20.25" customHeight="1">
      <c r="A648" s="10">
        <v>12624</v>
      </c>
      <c r="B648" s="10">
        <v>16624</v>
      </c>
      <c r="C648" s="10">
        <f t="shared" si="11"/>
        <v>12624</v>
      </c>
      <c r="D648" s="10" t="s">
        <v>22</v>
      </c>
      <c r="E648" s="7"/>
      <c r="F648" s="10"/>
      <c r="G648" s="7"/>
    </row>
    <row r="649" spans="1:7" ht="20.25" customHeight="1">
      <c r="A649" s="10">
        <v>12625</v>
      </c>
      <c r="B649" s="10">
        <v>16625</v>
      </c>
      <c r="C649" s="10">
        <f t="shared" si="11"/>
        <v>12625</v>
      </c>
      <c r="D649" s="10" t="s">
        <v>22</v>
      </c>
      <c r="E649" s="7"/>
      <c r="F649" s="10"/>
      <c r="G649" s="7"/>
    </row>
    <row r="650" spans="1:7" ht="20.25" customHeight="1">
      <c r="A650" s="10">
        <v>12626</v>
      </c>
      <c r="B650" s="10">
        <v>16626</v>
      </c>
      <c r="C650" s="10">
        <f t="shared" si="11"/>
        <v>12626</v>
      </c>
      <c r="D650" s="10" t="s">
        <v>22</v>
      </c>
      <c r="E650" s="7"/>
      <c r="F650" s="10"/>
      <c r="G650" s="7"/>
    </row>
    <row r="651" spans="1:7" ht="20.25" customHeight="1">
      <c r="A651" s="10">
        <v>12627</v>
      </c>
      <c r="B651" s="10">
        <v>16627</v>
      </c>
      <c r="C651" s="10">
        <f t="shared" si="11"/>
        <v>12627</v>
      </c>
      <c r="D651" s="10" t="s">
        <v>22</v>
      </c>
      <c r="E651" s="7"/>
      <c r="F651" s="10"/>
      <c r="G651" s="7"/>
    </row>
    <row r="652" spans="1:7" ht="20.25" customHeight="1">
      <c r="A652" s="10">
        <v>12628</v>
      </c>
      <c r="B652" s="10">
        <v>16628</v>
      </c>
      <c r="C652" s="10">
        <f t="shared" si="11"/>
        <v>12628</v>
      </c>
      <c r="D652" s="10" t="s">
        <v>22</v>
      </c>
      <c r="E652" s="7"/>
      <c r="F652" s="10"/>
      <c r="G652" s="7"/>
    </row>
    <row r="653" spans="1:7" ht="20.25" customHeight="1">
      <c r="A653" s="10">
        <v>12629</v>
      </c>
      <c r="B653" s="10">
        <v>16629</v>
      </c>
      <c r="C653" s="10">
        <f t="shared" si="11"/>
        <v>12629</v>
      </c>
      <c r="D653" s="10" t="s">
        <v>22</v>
      </c>
      <c r="E653" s="7"/>
      <c r="F653" s="10"/>
      <c r="G653" s="7"/>
    </row>
    <row r="654" spans="1:7" ht="20.25" customHeight="1">
      <c r="A654" s="10">
        <v>12630</v>
      </c>
      <c r="B654" s="10">
        <v>16630</v>
      </c>
      <c r="C654" s="10">
        <f t="shared" si="11"/>
        <v>12630</v>
      </c>
      <c r="D654" s="10" t="s">
        <v>22</v>
      </c>
      <c r="E654" s="7"/>
      <c r="F654" s="10"/>
      <c r="G654" s="7"/>
    </row>
    <row r="655" spans="1:7" ht="20.25" customHeight="1">
      <c r="A655" s="10">
        <v>12631</v>
      </c>
      <c r="B655" s="10">
        <v>16631</v>
      </c>
      <c r="C655" s="10">
        <f t="shared" si="11"/>
        <v>12631</v>
      </c>
      <c r="D655" s="10" t="s">
        <v>22</v>
      </c>
      <c r="E655" s="7"/>
      <c r="F655" s="10"/>
      <c r="G655" s="7"/>
    </row>
    <row r="656" spans="1:7" ht="20.25" customHeight="1">
      <c r="A656" s="10">
        <v>12632</v>
      </c>
      <c r="B656" s="10">
        <v>16632</v>
      </c>
      <c r="C656" s="10">
        <f t="shared" si="11"/>
        <v>12632</v>
      </c>
      <c r="D656" s="10" t="s">
        <v>22</v>
      </c>
      <c r="E656" s="7"/>
      <c r="F656" s="10"/>
      <c r="G656" s="7"/>
    </row>
    <row r="657" spans="1:7" ht="20.25" customHeight="1">
      <c r="A657" s="10">
        <v>12633</v>
      </c>
      <c r="B657" s="10">
        <v>16633</v>
      </c>
      <c r="C657" s="10">
        <f t="shared" si="11"/>
        <v>12633</v>
      </c>
      <c r="D657" s="10" t="s">
        <v>22</v>
      </c>
      <c r="E657" s="7"/>
      <c r="F657" s="10"/>
      <c r="G657" s="7"/>
    </row>
    <row r="658" spans="1:7" ht="20.25" customHeight="1">
      <c r="A658" s="10">
        <v>12634</v>
      </c>
      <c r="B658" s="10">
        <v>16634</v>
      </c>
      <c r="C658" s="10">
        <f t="shared" si="11"/>
        <v>12634</v>
      </c>
      <c r="D658" s="10" t="s">
        <v>22</v>
      </c>
      <c r="E658" s="7"/>
      <c r="F658" s="10"/>
      <c r="G658" s="7"/>
    </row>
    <row r="659" spans="1:7" ht="20.25" customHeight="1">
      <c r="A659" s="10">
        <v>12635</v>
      </c>
      <c r="B659" s="10">
        <v>16635</v>
      </c>
      <c r="C659" s="10">
        <f t="shared" si="11"/>
        <v>12635</v>
      </c>
      <c r="D659" s="10" t="s">
        <v>22</v>
      </c>
      <c r="E659" s="7"/>
      <c r="F659" s="10"/>
      <c r="G659" s="7"/>
    </row>
    <row r="660" spans="1:7" ht="20.25" customHeight="1">
      <c r="A660" s="10">
        <v>12636</v>
      </c>
      <c r="B660" s="10">
        <v>16636</v>
      </c>
      <c r="C660" s="10">
        <f t="shared" si="11"/>
        <v>12636</v>
      </c>
      <c r="D660" s="10" t="s">
        <v>22</v>
      </c>
      <c r="E660" s="7"/>
      <c r="F660" s="10"/>
      <c r="G660" s="7"/>
    </row>
    <row r="661" spans="1:7" ht="20.25" customHeight="1">
      <c r="A661" s="10">
        <v>12637</v>
      </c>
      <c r="B661" s="10">
        <v>16637</v>
      </c>
      <c r="C661" s="10">
        <f t="shared" si="11"/>
        <v>12637</v>
      </c>
      <c r="D661" s="10" t="s">
        <v>22</v>
      </c>
      <c r="E661" s="7"/>
      <c r="F661" s="10"/>
      <c r="G661" s="7"/>
    </row>
    <row r="662" spans="1:7" ht="20.25" customHeight="1">
      <c r="A662" s="10">
        <v>12638</v>
      </c>
      <c r="B662" s="10">
        <v>16638</v>
      </c>
      <c r="C662" s="10">
        <f t="shared" si="11"/>
        <v>12638</v>
      </c>
      <c r="D662" s="10" t="s">
        <v>22</v>
      </c>
      <c r="E662" s="7"/>
      <c r="F662" s="10"/>
      <c r="G662" s="7"/>
    </row>
    <row r="663" spans="1:7" ht="20.25" customHeight="1">
      <c r="A663" s="10">
        <v>12639</v>
      </c>
      <c r="B663" s="10">
        <v>16639</v>
      </c>
      <c r="C663" s="10">
        <f t="shared" si="11"/>
        <v>12639</v>
      </c>
      <c r="D663" s="10" t="s">
        <v>22</v>
      </c>
      <c r="E663" s="7"/>
      <c r="F663" s="10"/>
      <c r="G663" s="7"/>
    </row>
    <row r="664" spans="1:7" ht="20.25" customHeight="1">
      <c r="A664" s="10">
        <v>12640</v>
      </c>
      <c r="B664" s="10">
        <v>16640</v>
      </c>
      <c r="C664" s="10">
        <f t="shared" si="11"/>
        <v>12640</v>
      </c>
      <c r="D664" s="10" t="s">
        <v>22</v>
      </c>
      <c r="E664" s="7"/>
      <c r="F664" s="10"/>
      <c r="G664" s="7"/>
    </row>
    <row r="665" spans="1:7" ht="20.25" customHeight="1">
      <c r="A665" s="10">
        <v>12641</v>
      </c>
      <c r="B665" s="10">
        <v>16641</v>
      </c>
      <c r="C665" s="10">
        <f t="shared" si="11"/>
        <v>12641</v>
      </c>
      <c r="D665" s="10" t="s">
        <v>22</v>
      </c>
      <c r="E665" s="7"/>
      <c r="F665" s="10"/>
      <c r="G665" s="7"/>
    </row>
    <row r="666" spans="1:7" ht="20.25" customHeight="1">
      <c r="A666" s="10">
        <v>12642</v>
      </c>
      <c r="B666" s="10">
        <v>16642</v>
      </c>
      <c r="C666" s="10">
        <f t="shared" si="11"/>
        <v>12642</v>
      </c>
      <c r="D666" s="10" t="s">
        <v>22</v>
      </c>
      <c r="E666" s="7"/>
      <c r="F666" s="10"/>
      <c r="G666" s="7"/>
    </row>
    <row r="667" spans="1:7" ht="20.25" customHeight="1">
      <c r="A667" s="10">
        <v>12643</v>
      </c>
      <c r="B667" s="10">
        <v>16643</v>
      </c>
      <c r="C667" s="10">
        <f t="shared" si="11"/>
        <v>12643</v>
      </c>
      <c r="D667" s="10" t="s">
        <v>22</v>
      </c>
      <c r="E667" s="7"/>
      <c r="F667" s="10"/>
      <c r="G667" s="7"/>
    </row>
    <row r="668" spans="1:7" ht="20.25" customHeight="1">
      <c r="A668" s="10">
        <v>12644</v>
      </c>
      <c r="B668" s="10">
        <v>16644</v>
      </c>
      <c r="C668" s="10">
        <f t="shared" si="11"/>
        <v>12644</v>
      </c>
      <c r="D668" s="10" t="s">
        <v>22</v>
      </c>
      <c r="E668" s="7"/>
      <c r="F668" s="10"/>
      <c r="G668" s="7"/>
    </row>
    <row r="669" spans="1:7" ht="20.25" customHeight="1">
      <c r="A669" s="10">
        <v>12645</v>
      </c>
      <c r="B669" s="10">
        <v>16645</v>
      </c>
      <c r="C669" s="10">
        <f t="shared" si="11"/>
        <v>12645</v>
      </c>
      <c r="D669" s="10" t="s">
        <v>22</v>
      </c>
      <c r="E669" s="7"/>
      <c r="F669" s="10"/>
      <c r="G669" s="7"/>
    </row>
    <row r="670" spans="1:7" ht="20.25" customHeight="1">
      <c r="A670" s="10">
        <v>12646</v>
      </c>
      <c r="B670" s="10">
        <v>16646</v>
      </c>
      <c r="C670" s="10">
        <f t="shared" si="11"/>
        <v>12646</v>
      </c>
      <c r="D670" s="10" t="s">
        <v>22</v>
      </c>
      <c r="E670" s="7"/>
      <c r="F670" s="10"/>
      <c r="G670" s="7"/>
    </row>
    <row r="671" spans="1:7" ht="20.25" customHeight="1">
      <c r="A671" s="10">
        <v>12647</v>
      </c>
      <c r="B671" s="10">
        <v>16647</v>
      </c>
      <c r="C671" s="10">
        <f t="shared" si="11"/>
        <v>12647</v>
      </c>
      <c r="D671" s="10" t="s">
        <v>22</v>
      </c>
      <c r="E671" s="7"/>
      <c r="F671" s="10"/>
      <c r="G671" s="7"/>
    </row>
    <row r="672" spans="1:7" ht="20.25" customHeight="1">
      <c r="A672" s="10">
        <v>12648</v>
      </c>
      <c r="B672" s="10">
        <v>16648</v>
      </c>
      <c r="C672" s="10">
        <f t="shared" si="11"/>
        <v>12648</v>
      </c>
      <c r="D672" s="10" t="s">
        <v>22</v>
      </c>
      <c r="E672" s="7"/>
      <c r="F672" s="10"/>
      <c r="G672" s="7"/>
    </row>
    <row r="673" spans="1:7" ht="20.25" customHeight="1">
      <c r="A673" s="10">
        <v>12649</v>
      </c>
      <c r="B673" s="10">
        <v>16649</v>
      </c>
      <c r="C673" s="10">
        <f t="shared" si="11"/>
        <v>12649</v>
      </c>
      <c r="D673" s="10" t="s">
        <v>22</v>
      </c>
      <c r="E673" s="7"/>
      <c r="F673" s="10"/>
      <c r="G673" s="7"/>
    </row>
    <row r="674" spans="1:7" ht="20.25" customHeight="1">
      <c r="A674" s="10">
        <v>12650</v>
      </c>
      <c r="B674" s="10">
        <v>16650</v>
      </c>
      <c r="C674" s="10">
        <f t="shared" si="11"/>
        <v>12650</v>
      </c>
      <c r="D674" s="10" t="s">
        <v>22</v>
      </c>
      <c r="E674" s="7"/>
      <c r="F674" s="10"/>
      <c r="G674" s="7"/>
    </row>
    <row r="675" spans="1:7" ht="20.25" customHeight="1">
      <c r="A675" s="10">
        <v>12651</v>
      </c>
      <c r="B675" s="10">
        <v>16651</v>
      </c>
      <c r="C675" s="10">
        <f t="shared" si="11"/>
        <v>12651</v>
      </c>
      <c r="D675" s="10" t="s">
        <v>22</v>
      </c>
      <c r="E675" s="7"/>
      <c r="F675" s="10"/>
      <c r="G675" s="7"/>
    </row>
    <row r="676" spans="1:7" ht="20.25" customHeight="1">
      <c r="A676" s="10">
        <v>12652</v>
      </c>
      <c r="B676" s="10">
        <v>16652</v>
      </c>
      <c r="C676" s="10">
        <f t="shared" si="11"/>
        <v>12652</v>
      </c>
      <c r="D676" s="10" t="s">
        <v>22</v>
      </c>
      <c r="E676" s="7"/>
      <c r="F676" s="10"/>
      <c r="G676" s="7"/>
    </row>
    <row r="677" spans="1:7" ht="20.25" customHeight="1">
      <c r="A677" s="10">
        <v>12653</v>
      </c>
      <c r="B677" s="10">
        <v>16653</v>
      </c>
      <c r="C677" s="10">
        <f t="shared" si="11"/>
        <v>12653</v>
      </c>
      <c r="D677" s="10" t="s">
        <v>22</v>
      </c>
      <c r="E677" s="7"/>
      <c r="F677" s="10"/>
      <c r="G677" s="7"/>
    </row>
    <row r="678" spans="1:7" ht="20.25" customHeight="1">
      <c r="A678" s="10">
        <v>12654</v>
      </c>
      <c r="B678" s="10">
        <v>16654</v>
      </c>
      <c r="C678" s="10">
        <f t="shared" si="11"/>
        <v>12654</v>
      </c>
      <c r="D678" s="10" t="s">
        <v>22</v>
      </c>
      <c r="E678" s="7"/>
      <c r="F678" s="10"/>
      <c r="G678" s="7"/>
    </row>
    <row r="679" spans="1:7" ht="20.25" customHeight="1">
      <c r="A679" s="10">
        <v>12655</v>
      </c>
      <c r="B679" s="10">
        <v>16655</v>
      </c>
      <c r="C679" s="10">
        <f t="shared" si="11"/>
        <v>12655</v>
      </c>
      <c r="D679" s="10" t="s">
        <v>22</v>
      </c>
      <c r="E679" s="7"/>
      <c r="F679" s="10"/>
      <c r="G679" s="7"/>
    </row>
    <row r="680" spans="1:7" ht="20.25" customHeight="1">
      <c r="A680" s="10">
        <v>12656</v>
      </c>
      <c r="B680" s="10">
        <v>16656</v>
      </c>
      <c r="C680" s="10">
        <f t="shared" si="11"/>
        <v>12656</v>
      </c>
      <c r="D680" s="10" t="s">
        <v>22</v>
      </c>
      <c r="E680" s="7"/>
      <c r="F680" s="10"/>
      <c r="G680" s="7"/>
    </row>
    <row r="681" spans="1:7" ht="20.25" customHeight="1">
      <c r="A681" s="10">
        <v>12657</v>
      </c>
      <c r="B681" s="10">
        <v>16657</v>
      </c>
      <c r="C681" s="10">
        <f t="shared" si="11"/>
        <v>12657</v>
      </c>
      <c r="D681" s="10" t="s">
        <v>22</v>
      </c>
      <c r="E681" s="7"/>
      <c r="F681" s="10"/>
      <c r="G681" s="7"/>
    </row>
    <row r="682" spans="1:7" ht="20.25" customHeight="1">
      <c r="A682" s="10">
        <v>12658</v>
      </c>
      <c r="B682" s="10">
        <v>16658</v>
      </c>
      <c r="C682" s="10">
        <f t="shared" si="11"/>
        <v>12658</v>
      </c>
      <c r="D682" s="10" t="s">
        <v>22</v>
      </c>
      <c r="E682" s="7"/>
      <c r="F682" s="10"/>
      <c r="G682" s="7"/>
    </row>
    <row r="683" spans="1:7" ht="20.25" customHeight="1">
      <c r="A683" s="10">
        <v>12659</v>
      </c>
      <c r="B683" s="10">
        <v>16659</v>
      </c>
      <c r="C683" s="10">
        <f t="shared" si="11"/>
        <v>12659</v>
      </c>
      <c r="D683" s="10" t="s">
        <v>22</v>
      </c>
      <c r="E683" s="7"/>
      <c r="F683" s="10"/>
      <c r="G683" s="7"/>
    </row>
    <row r="684" spans="1:7" ht="20.25" customHeight="1">
      <c r="A684" s="10">
        <v>12660</v>
      </c>
      <c r="B684" s="10">
        <v>16660</v>
      </c>
      <c r="C684" s="10">
        <f t="shared" si="11"/>
        <v>12660</v>
      </c>
      <c r="D684" s="10" t="s">
        <v>22</v>
      </c>
      <c r="E684" s="7"/>
      <c r="F684" s="10"/>
      <c r="G684" s="7"/>
    </row>
    <row r="685" spans="1:7" ht="20.25" customHeight="1">
      <c r="A685" s="10">
        <v>12661</v>
      </c>
      <c r="B685" s="10">
        <v>16661</v>
      </c>
      <c r="C685" s="10">
        <f t="shared" si="11"/>
        <v>12661</v>
      </c>
      <c r="D685" s="10" t="s">
        <v>22</v>
      </c>
      <c r="E685" s="7"/>
      <c r="F685" s="10"/>
      <c r="G685" s="7"/>
    </row>
    <row r="686" spans="1:7" ht="20.25" customHeight="1">
      <c r="A686" s="10">
        <v>12662</v>
      </c>
      <c r="B686" s="10">
        <v>16662</v>
      </c>
      <c r="C686" s="10">
        <f t="shared" si="11"/>
        <v>12662</v>
      </c>
      <c r="D686" s="10" t="s">
        <v>22</v>
      </c>
      <c r="E686" s="7"/>
      <c r="F686" s="10"/>
      <c r="G686" s="7"/>
    </row>
    <row r="687" spans="1:7" ht="20.25" customHeight="1">
      <c r="A687" s="10">
        <v>12663</v>
      </c>
      <c r="B687" s="10">
        <v>16663</v>
      </c>
      <c r="C687" s="10">
        <f t="shared" si="11"/>
        <v>12663</v>
      </c>
      <c r="D687" s="10" t="s">
        <v>22</v>
      </c>
      <c r="E687" s="7"/>
      <c r="F687" s="10"/>
      <c r="G687" s="7"/>
    </row>
    <row r="688" spans="1:7" ht="20.25" customHeight="1">
      <c r="A688" s="10">
        <v>12664</v>
      </c>
      <c r="B688" s="10">
        <v>16664</v>
      </c>
      <c r="C688" s="10">
        <f t="shared" si="11"/>
        <v>12664</v>
      </c>
      <c r="D688" s="10" t="s">
        <v>22</v>
      </c>
      <c r="E688" s="7"/>
      <c r="F688" s="10"/>
      <c r="G688" s="7"/>
    </row>
    <row r="689" spans="1:7" ht="20.25" customHeight="1">
      <c r="A689" s="10">
        <v>12665</v>
      </c>
      <c r="B689" s="10">
        <v>16665</v>
      </c>
      <c r="C689" s="10">
        <f t="shared" si="11"/>
        <v>12665</v>
      </c>
      <c r="D689" s="10" t="s">
        <v>22</v>
      </c>
      <c r="E689" s="7"/>
      <c r="F689" s="10"/>
      <c r="G689" s="7"/>
    </row>
    <row r="690" spans="1:7" ht="20.25" customHeight="1">
      <c r="A690" s="10">
        <v>12666</v>
      </c>
      <c r="B690" s="10">
        <v>16666</v>
      </c>
      <c r="C690" s="10">
        <f t="shared" si="11"/>
        <v>12666</v>
      </c>
      <c r="D690" s="10" t="s">
        <v>22</v>
      </c>
      <c r="E690" s="7"/>
      <c r="F690" s="10"/>
      <c r="G690" s="7"/>
    </row>
    <row r="691" spans="1:7" ht="20.25" customHeight="1">
      <c r="A691" s="10">
        <v>12667</v>
      </c>
      <c r="B691" s="10">
        <v>16667</v>
      </c>
      <c r="C691" s="10">
        <f t="shared" si="11"/>
        <v>12667</v>
      </c>
      <c r="D691" s="10" t="s">
        <v>22</v>
      </c>
      <c r="E691" s="7"/>
      <c r="F691" s="10"/>
      <c r="G691" s="7"/>
    </row>
    <row r="692" spans="1:7" ht="20.25" customHeight="1">
      <c r="A692" s="10">
        <v>12668</v>
      </c>
      <c r="B692" s="10">
        <v>16668</v>
      </c>
      <c r="C692" s="10">
        <f t="shared" si="11"/>
        <v>12668</v>
      </c>
      <c r="D692" s="10" t="s">
        <v>22</v>
      </c>
      <c r="E692" s="7"/>
      <c r="F692" s="10"/>
      <c r="G692" s="7"/>
    </row>
    <row r="693" spans="1:7" ht="20.25" customHeight="1">
      <c r="A693" s="10">
        <v>12669</v>
      </c>
      <c r="B693" s="10">
        <v>16669</v>
      </c>
      <c r="C693" s="10">
        <f t="shared" si="11"/>
        <v>12669</v>
      </c>
      <c r="D693" s="10" t="s">
        <v>22</v>
      </c>
      <c r="E693" s="7"/>
      <c r="F693" s="10"/>
      <c r="G693" s="7"/>
    </row>
    <row r="694" spans="1:7" ht="20.25" customHeight="1">
      <c r="A694" s="10">
        <v>12670</v>
      </c>
      <c r="B694" s="10">
        <v>16670</v>
      </c>
      <c r="C694" s="10">
        <f t="shared" si="11"/>
        <v>12670</v>
      </c>
      <c r="D694" s="10" t="s">
        <v>22</v>
      </c>
      <c r="E694" s="7"/>
      <c r="F694" s="10"/>
      <c r="G694" s="7"/>
    </row>
    <row r="695" spans="1:7" ht="20.25" customHeight="1">
      <c r="A695" s="10">
        <v>12671</v>
      </c>
      <c r="B695" s="10">
        <v>16671</v>
      </c>
      <c r="C695" s="10">
        <f t="shared" si="11"/>
        <v>12671</v>
      </c>
      <c r="D695" s="10" t="s">
        <v>22</v>
      </c>
      <c r="E695" s="7"/>
      <c r="F695" s="10"/>
      <c r="G695" s="7"/>
    </row>
    <row r="696" spans="1:7" ht="20.25" customHeight="1">
      <c r="A696" s="10">
        <v>12672</v>
      </c>
      <c r="B696" s="10">
        <v>16672</v>
      </c>
      <c r="C696" s="10">
        <f t="shared" si="11"/>
        <v>12672</v>
      </c>
      <c r="D696" s="10" t="s">
        <v>22</v>
      </c>
      <c r="E696" s="7"/>
      <c r="F696" s="10"/>
      <c r="G696" s="7"/>
    </row>
    <row r="697" spans="1:7" ht="20.25" customHeight="1">
      <c r="A697" s="10">
        <v>12673</v>
      </c>
      <c r="B697" s="10">
        <v>16673</v>
      </c>
      <c r="C697" s="10">
        <f t="shared" si="11"/>
        <v>12673</v>
      </c>
      <c r="D697" s="10" t="s">
        <v>22</v>
      </c>
      <c r="E697" s="7"/>
      <c r="F697" s="10"/>
      <c r="G697" s="7"/>
    </row>
    <row r="698" spans="1:7" ht="20.25" customHeight="1">
      <c r="A698" s="10">
        <v>12674</v>
      </c>
      <c r="B698" s="10">
        <v>16674</v>
      </c>
      <c r="C698" s="10">
        <f t="shared" si="11"/>
        <v>12674</v>
      </c>
      <c r="D698" s="10" t="s">
        <v>22</v>
      </c>
      <c r="E698" s="7"/>
      <c r="F698" s="10"/>
      <c r="G698" s="7"/>
    </row>
    <row r="699" spans="1:7" ht="20.25" customHeight="1">
      <c r="A699" s="10">
        <v>12675</v>
      </c>
      <c r="B699" s="10">
        <v>16675</v>
      </c>
      <c r="C699" s="10">
        <f t="shared" si="11"/>
        <v>12675</v>
      </c>
      <c r="D699" s="10" t="s">
        <v>22</v>
      </c>
      <c r="E699" s="7"/>
      <c r="F699" s="10"/>
      <c r="G699" s="7"/>
    </row>
    <row r="700" spans="1:7" ht="20.25" customHeight="1">
      <c r="A700" s="10">
        <v>12676</v>
      </c>
      <c r="B700" s="10">
        <v>16676</v>
      </c>
      <c r="C700" s="10">
        <f t="shared" si="11"/>
        <v>12676</v>
      </c>
      <c r="D700" s="10" t="s">
        <v>22</v>
      </c>
      <c r="E700" s="7"/>
      <c r="F700" s="10"/>
      <c r="G700" s="7"/>
    </row>
    <row r="701" spans="1:7" ht="20.25" customHeight="1">
      <c r="A701" s="10">
        <v>12677</v>
      </c>
      <c r="B701" s="10">
        <v>16677</v>
      </c>
      <c r="C701" s="10">
        <f t="shared" si="11"/>
        <v>12677</v>
      </c>
      <c r="D701" s="10" t="s">
        <v>22</v>
      </c>
      <c r="E701" s="7"/>
      <c r="F701" s="10"/>
      <c r="G701" s="7"/>
    </row>
    <row r="702" spans="1:7" ht="20.25" customHeight="1">
      <c r="A702" s="10">
        <v>12678</v>
      </c>
      <c r="B702" s="10">
        <v>16678</v>
      </c>
      <c r="C702" s="10">
        <f t="shared" si="11"/>
        <v>12678</v>
      </c>
      <c r="D702" s="10" t="s">
        <v>22</v>
      </c>
      <c r="E702" s="7"/>
      <c r="F702" s="10"/>
      <c r="G702" s="7"/>
    </row>
    <row r="703" spans="1:7" ht="20.25" customHeight="1">
      <c r="A703" s="10">
        <v>12679</v>
      </c>
      <c r="B703" s="10">
        <v>16679</v>
      </c>
      <c r="C703" s="10">
        <f t="shared" si="11"/>
        <v>12679</v>
      </c>
      <c r="D703" s="10" t="s">
        <v>22</v>
      </c>
      <c r="E703" s="7"/>
      <c r="F703" s="10"/>
      <c r="G703" s="7"/>
    </row>
    <row r="704" spans="1:7" ht="20.25" customHeight="1">
      <c r="A704" s="10">
        <v>12680</v>
      </c>
      <c r="B704" s="10">
        <v>16680</v>
      </c>
      <c r="C704" s="10">
        <f t="shared" si="11"/>
        <v>12680</v>
      </c>
      <c r="D704" s="10" t="s">
        <v>22</v>
      </c>
      <c r="E704" s="7"/>
      <c r="F704" s="10"/>
      <c r="G704" s="7"/>
    </row>
    <row r="705" spans="1:7" ht="20.25" customHeight="1">
      <c r="A705" s="10">
        <v>12681</v>
      </c>
      <c r="B705" s="10">
        <v>16681</v>
      </c>
      <c r="C705" s="10">
        <f t="shared" si="11"/>
        <v>12681</v>
      </c>
      <c r="D705" s="10" t="s">
        <v>22</v>
      </c>
      <c r="E705" s="7"/>
      <c r="F705" s="10"/>
      <c r="G705" s="7"/>
    </row>
    <row r="706" spans="1:7" ht="20.25" customHeight="1">
      <c r="A706" s="10">
        <v>12682</v>
      </c>
      <c r="B706" s="10">
        <v>16682</v>
      </c>
      <c r="C706" s="10">
        <f t="shared" si="11"/>
        <v>12682</v>
      </c>
      <c r="D706" s="10" t="s">
        <v>22</v>
      </c>
      <c r="E706" s="7"/>
      <c r="F706" s="10"/>
      <c r="G706" s="7"/>
    </row>
    <row r="707" spans="1:7" ht="20.25" customHeight="1">
      <c r="A707" s="10">
        <v>12683</v>
      </c>
      <c r="B707" s="10">
        <v>16683</v>
      </c>
      <c r="C707" s="10">
        <f t="shared" ref="C707:C770" si="12">IF(ISERROR(FIND("B_Epic",E707)),A707,A707+10000)</f>
        <v>12683</v>
      </c>
      <c r="D707" s="10" t="s">
        <v>22</v>
      </c>
      <c r="E707" s="7"/>
      <c r="F707" s="10"/>
      <c r="G707" s="7"/>
    </row>
    <row r="708" spans="1:7" ht="20.25" customHeight="1">
      <c r="A708" s="10">
        <v>12684</v>
      </c>
      <c r="B708" s="10">
        <v>16684</v>
      </c>
      <c r="C708" s="10">
        <f t="shared" si="12"/>
        <v>12684</v>
      </c>
      <c r="D708" s="10" t="s">
        <v>22</v>
      </c>
      <c r="E708" s="7"/>
      <c r="F708" s="10"/>
      <c r="G708" s="7"/>
    </row>
    <row r="709" spans="1:7" ht="20.25" customHeight="1">
      <c r="A709" s="10">
        <v>12685</v>
      </c>
      <c r="B709" s="10">
        <v>16685</v>
      </c>
      <c r="C709" s="10">
        <f t="shared" si="12"/>
        <v>12685</v>
      </c>
      <c r="D709" s="10" t="s">
        <v>22</v>
      </c>
      <c r="E709" s="7"/>
      <c r="F709" s="10"/>
      <c r="G709" s="7"/>
    </row>
    <row r="710" spans="1:7" ht="20.25" customHeight="1">
      <c r="A710" s="10">
        <v>12686</v>
      </c>
      <c r="B710" s="10">
        <v>16686</v>
      </c>
      <c r="C710" s="10">
        <f t="shared" si="12"/>
        <v>12686</v>
      </c>
      <c r="D710" s="10" t="s">
        <v>22</v>
      </c>
      <c r="E710" s="7"/>
      <c r="F710" s="10"/>
      <c r="G710" s="7"/>
    </row>
    <row r="711" spans="1:7" ht="20.25" customHeight="1">
      <c r="A711" s="10">
        <v>12687</v>
      </c>
      <c r="B711" s="10">
        <v>16687</v>
      </c>
      <c r="C711" s="10">
        <f t="shared" si="12"/>
        <v>12687</v>
      </c>
      <c r="D711" s="10" t="s">
        <v>22</v>
      </c>
      <c r="E711" s="7"/>
      <c r="F711" s="10"/>
      <c r="G711" s="7"/>
    </row>
    <row r="712" spans="1:7" ht="20.25" customHeight="1">
      <c r="A712" s="10">
        <v>12688</v>
      </c>
      <c r="B712" s="10">
        <v>16688</v>
      </c>
      <c r="C712" s="10">
        <f t="shared" si="12"/>
        <v>12688</v>
      </c>
      <c r="D712" s="10" t="s">
        <v>22</v>
      </c>
      <c r="E712" s="7"/>
      <c r="F712" s="10"/>
      <c r="G712" s="7"/>
    </row>
    <row r="713" spans="1:7" ht="20.25" customHeight="1">
      <c r="A713" s="10">
        <v>12689</v>
      </c>
      <c r="B713" s="10">
        <v>16689</v>
      </c>
      <c r="C713" s="10">
        <f t="shared" si="12"/>
        <v>12689</v>
      </c>
      <c r="D713" s="10" t="s">
        <v>22</v>
      </c>
      <c r="E713" s="7"/>
      <c r="F713" s="10"/>
      <c r="G713" s="7"/>
    </row>
    <row r="714" spans="1:7" ht="20.25" customHeight="1">
      <c r="A714" s="10">
        <v>12690</v>
      </c>
      <c r="B714" s="10">
        <v>16690</v>
      </c>
      <c r="C714" s="10">
        <f t="shared" si="12"/>
        <v>12690</v>
      </c>
      <c r="D714" s="10" t="s">
        <v>22</v>
      </c>
      <c r="E714" s="7"/>
      <c r="F714" s="10"/>
      <c r="G714" s="7"/>
    </row>
    <row r="715" spans="1:7" ht="20.25" customHeight="1">
      <c r="A715" s="10">
        <v>12691</v>
      </c>
      <c r="B715" s="10">
        <v>16691</v>
      </c>
      <c r="C715" s="10">
        <f t="shared" si="12"/>
        <v>12691</v>
      </c>
      <c r="D715" s="10" t="s">
        <v>22</v>
      </c>
      <c r="E715" s="7"/>
      <c r="F715" s="10"/>
      <c r="G715" s="7"/>
    </row>
    <row r="716" spans="1:7" ht="20.25" customHeight="1">
      <c r="A716" s="10">
        <v>12692</v>
      </c>
      <c r="B716" s="10">
        <v>16692</v>
      </c>
      <c r="C716" s="10">
        <f t="shared" si="12"/>
        <v>12692</v>
      </c>
      <c r="D716" s="10" t="s">
        <v>22</v>
      </c>
      <c r="E716" s="7"/>
      <c r="F716" s="10"/>
      <c r="G716" s="7"/>
    </row>
    <row r="717" spans="1:7" ht="20.25" customHeight="1">
      <c r="A717" s="10">
        <v>12693</v>
      </c>
      <c r="B717" s="10">
        <v>16693</v>
      </c>
      <c r="C717" s="10">
        <f t="shared" si="12"/>
        <v>12693</v>
      </c>
      <c r="D717" s="10" t="s">
        <v>22</v>
      </c>
      <c r="E717" s="7"/>
      <c r="F717" s="10"/>
      <c r="G717" s="7"/>
    </row>
    <row r="718" spans="1:7" ht="20.25" customHeight="1">
      <c r="A718" s="10">
        <v>12694</v>
      </c>
      <c r="B718" s="10">
        <v>16694</v>
      </c>
      <c r="C718" s="10">
        <f t="shared" si="12"/>
        <v>12694</v>
      </c>
      <c r="D718" s="10" t="s">
        <v>22</v>
      </c>
      <c r="E718" s="7"/>
      <c r="F718" s="10"/>
      <c r="G718" s="7"/>
    </row>
    <row r="719" spans="1:7" ht="20.25" customHeight="1">
      <c r="A719" s="10">
        <v>12695</v>
      </c>
      <c r="B719" s="10">
        <v>16695</v>
      </c>
      <c r="C719" s="10">
        <f t="shared" si="12"/>
        <v>12695</v>
      </c>
      <c r="D719" s="10" t="s">
        <v>22</v>
      </c>
      <c r="E719" s="7"/>
      <c r="F719" s="10"/>
      <c r="G719" s="7"/>
    </row>
    <row r="720" spans="1:7" ht="20.25" customHeight="1">
      <c r="A720" s="10">
        <v>12696</v>
      </c>
      <c r="B720" s="10">
        <v>16696</v>
      </c>
      <c r="C720" s="10">
        <f t="shared" si="12"/>
        <v>12696</v>
      </c>
      <c r="D720" s="10" t="s">
        <v>22</v>
      </c>
      <c r="E720" s="7"/>
      <c r="F720" s="10"/>
      <c r="G720" s="7"/>
    </row>
    <row r="721" spans="1:7" ht="20.25" customHeight="1">
      <c r="A721" s="10">
        <v>12697</v>
      </c>
      <c r="B721" s="10">
        <v>16697</v>
      </c>
      <c r="C721" s="10">
        <f t="shared" si="12"/>
        <v>12697</v>
      </c>
      <c r="D721" s="10" t="s">
        <v>22</v>
      </c>
      <c r="E721" s="7"/>
      <c r="F721" s="10"/>
      <c r="G721" s="7"/>
    </row>
    <row r="722" spans="1:7" ht="20.25" customHeight="1">
      <c r="A722" s="10">
        <v>12698</v>
      </c>
      <c r="B722" s="10">
        <v>16698</v>
      </c>
      <c r="C722" s="10">
        <f t="shared" si="12"/>
        <v>12698</v>
      </c>
      <c r="D722" s="10" t="s">
        <v>22</v>
      </c>
      <c r="E722" s="7"/>
      <c r="F722" s="10"/>
      <c r="G722" s="7"/>
    </row>
    <row r="723" spans="1:7" ht="20.25" customHeight="1">
      <c r="A723" s="10">
        <v>12699</v>
      </c>
      <c r="B723" s="10">
        <v>16699</v>
      </c>
      <c r="C723" s="10">
        <f t="shared" si="12"/>
        <v>12699</v>
      </c>
      <c r="D723" s="10" t="s">
        <v>22</v>
      </c>
      <c r="E723" s="7"/>
      <c r="F723" s="10"/>
      <c r="G723" s="7"/>
    </row>
    <row r="724" spans="1:7" ht="20.25" customHeight="1">
      <c r="A724" s="10">
        <v>12700</v>
      </c>
      <c r="B724" s="10">
        <v>16700</v>
      </c>
      <c r="C724" s="10">
        <f t="shared" si="12"/>
        <v>12700</v>
      </c>
      <c r="D724" s="10" t="s">
        <v>22</v>
      </c>
      <c r="E724" s="7"/>
      <c r="F724" s="10"/>
      <c r="G724" s="7"/>
    </row>
    <row r="725" spans="1:7" ht="20.25" customHeight="1">
      <c r="A725" s="10">
        <v>12701</v>
      </c>
      <c r="B725" s="10">
        <v>16701</v>
      </c>
      <c r="C725" s="10">
        <f t="shared" si="12"/>
        <v>12701</v>
      </c>
      <c r="D725" s="10" t="s">
        <v>22</v>
      </c>
      <c r="E725" s="7"/>
      <c r="F725" s="10"/>
      <c r="G725" s="7"/>
    </row>
    <row r="726" spans="1:7" ht="20.25" customHeight="1">
      <c r="A726" s="10">
        <v>12702</v>
      </c>
      <c r="B726" s="10">
        <v>16702</v>
      </c>
      <c r="C726" s="10">
        <f t="shared" si="12"/>
        <v>12702</v>
      </c>
      <c r="D726" s="10" t="s">
        <v>22</v>
      </c>
      <c r="E726" s="7"/>
      <c r="F726" s="10"/>
      <c r="G726" s="7"/>
    </row>
    <row r="727" spans="1:7" ht="20.25" customHeight="1">
      <c r="A727" s="10">
        <v>12703</v>
      </c>
      <c r="B727" s="10">
        <v>16703</v>
      </c>
      <c r="C727" s="10">
        <f t="shared" si="12"/>
        <v>12703</v>
      </c>
      <c r="D727" s="10" t="s">
        <v>22</v>
      </c>
      <c r="E727" s="7"/>
      <c r="F727" s="10"/>
      <c r="G727" s="7"/>
    </row>
    <row r="728" spans="1:7" ht="20.25" customHeight="1">
      <c r="A728" s="10">
        <v>12704</v>
      </c>
      <c r="B728" s="10">
        <v>16704</v>
      </c>
      <c r="C728" s="10">
        <f t="shared" si="12"/>
        <v>12704</v>
      </c>
      <c r="D728" s="10" t="s">
        <v>22</v>
      </c>
      <c r="E728" s="7"/>
      <c r="F728" s="10"/>
      <c r="G728" s="7"/>
    </row>
    <row r="729" spans="1:7" ht="20.25" customHeight="1">
      <c r="A729" s="10">
        <v>12705</v>
      </c>
      <c r="B729" s="10">
        <v>16705</v>
      </c>
      <c r="C729" s="10">
        <f t="shared" si="12"/>
        <v>12705</v>
      </c>
      <c r="D729" s="10" t="s">
        <v>22</v>
      </c>
      <c r="E729" s="7"/>
      <c r="F729" s="10"/>
      <c r="G729" s="7"/>
    </row>
    <row r="730" spans="1:7" ht="20.25" customHeight="1">
      <c r="A730" s="10">
        <v>12706</v>
      </c>
      <c r="B730" s="10">
        <v>16706</v>
      </c>
      <c r="C730" s="10">
        <f t="shared" si="12"/>
        <v>12706</v>
      </c>
      <c r="D730" s="10" t="s">
        <v>22</v>
      </c>
      <c r="E730" s="7"/>
      <c r="F730" s="10"/>
      <c r="G730" s="7"/>
    </row>
    <row r="731" spans="1:7" ht="20.25" customHeight="1">
      <c r="A731" s="10">
        <v>12707</v>
      </c>
      <c r="B731" s="10">
        <v>16707</v>
      </c>
      <c r="C731" s="10">
        <f t="shared" si="12"/>
        <v>12707</v>
      </c>
      <c r="D731" s="10" t="s">
        <v>22</v>
      </c>
      <c r="E731" s="7"/>
      <c r="F731" s="10"/>
      <c r="G731" s="7"/>
    </row>
    <row r="732" spans="1:7" ht="20.25" customHeight="1">
      <c r="A732" s="10">
        <v>12708</v>
      </c>
      <c r="B732" s="10">
        <v>16708</v>
      </c>
      <c r="C732" s="10">
        <f t="shared" si="12"/>
        <v>12708</v>
      </c>
      <c r="D732" s="10" t="s">
        <v>22</v>
      </c>
      <c r="E732" s="7"/>
      <c r="F732" s="10"/>
      <c r="G732" s="7"/>
    </row>
    <row r="733" spans="1:7" ht="20.25" customHeight="1">
      <c r="A733" s="10">
        <v>12709</v>
      </c>
      <c r="B733" s="10">
        <v>16709</v>
      </c>
      <c r="C733" s="10">
        <f t="shared" si="12"/>
        <v>12709</v>
      </c>
      <c r="D733" s="10" t="s">
        <v>22</v>
      </c>
      <c r="E733" s="7"/>
      <c r="F733" s="10"/>
      <c r="G733" s="7"/>
    </row>
    <row r="734" spans="1:7" ht="20.25" customHeight="1">
      <c r="A734" s="10">
        <v>12710</v>
      </c>
      <c r="B734" s="10">
        <v>16710</v>
      </c>
      <c r="C734" s="10">
        <f t="shared" si="12"/>
        <v>12710</v>
      </c>
      <c r="D734" s="10" t="s">
        <v>22</v>
      </c>
      <c r="E734" s="7"/>
      <c r="F734" s="10"/>
      <c r="G734" s="7"/>
    </row>
    <row r="735" spans="1:7" ht="20.25" customHeight="1">
      <c r="A735" s="10">
        <v>12711</v>
      </c>
      <c r="B735" s="10">
        <v>16711</v>
      </c>
      <c r="C735" s="10">
        <f t="shared" si="12"/>
        <v>12711</v>
      </c>
      <c r="D735" s="10" t="s">
        <v>22</v>
      </c>
      <c r="E735" s="7"/>
      <c r="F735" s="10"/>
      <c r="G735" s="7"/>
    </row>
    <row r="736" spans="1:7" ht="20.25" customHeight="1">
      <c r="A736" s="10">
        <v>12712</v>
      </c>
      <c r="B736" s="10">
        <v>16712</v>
      </c>
      <c r="C736" s="10">
        <f t="shared" si="12"/>
        <v>12712</v>
      </c>
      <c r="D736" s="10" t="s">
        <v>22</v>
      </c>
      <c r="E736" s="7"/>
      <c r="F736" s="10"/>
      <c r="G736" s="7"/>
    </row>
    <row r="737" spans="1:7" ht="20.25" customHeight="1">
      <c r="A737" s="10">
        <v>12713</v>
      </c>
      <c r="B737" s="10">
        <v>16713</v>
      </c>
      <c r="C737" s="10">
        <f t="shared" si="12"/>
        <v>12713</v>
      </c>
      <c r="D737" s="10" t="s">
        <v>22</v>
      </c>
      <c r="E737" s="7"/>
      <c r="F737" s="10"/>
      <c r="G737" s="7"/>
    </row>
    <row r="738" spans="1:7" ht="20.25" customHeight="1">
      <c r="A738" s="10">
        <v>12714</v>
      </c>
      <c r="B738" s="10">
        <v>16714</v>
      </c>
      <c r="C738" s="10">
        <f t="shared" si="12"/>
        <v>12714</v>
      </c>
      <c r="D738" s="10" t="s">
        <v>22</v>
      </c>
      <c r="E738" s="7"/>
      <c r="F738" s="10"/>
      <c r="G738" s="7"/>
    </row>
    <row r="739" spans="1:7" ht="20.25" customHeight="1">
      <c r="A739" s="10">
        <v>12715</v>
      </c>
      <c r="B739" s="10">
        <v>16715</v>
      </c>
      <c r="C739" s="10">
        <f t="shared" si="12"/>
        <v>12715</v>
      </c>
      <c r="D739" s="10" t="s">
        <v>22</v>
      </c>
      <c r="E739" s="7"/>
      <c r="F739" s="10"/>
      <c r="G739" s="7"/>
    </row>
    <row r="740" spans="1:7" ht="20.25" customHeight="1">
      <c r="A740" s="10">
        <v>12716</v>
      </c>
      <c r="B740" s="10">
        <v>16716</v>
      </c>
      <c r="C740" s="10">
        <f t="shared" si="12"/>
        <v>12716</v>
      </c>
      <c r="D740" s="10" t="s">
        <v>22</v>
      </c>
      <c r="E740" s="7"/>
      <c r="F740" s="10"/>
      <c r="G740" s="7"/>
    </row>
    <row r="741" spans="1:7" ht="20.25" customHeight="1">
      <c r="A741" s="10">
        <v>12717</v>
      </c>
      <c r="B741" s="10">
        <v>16717</v>
      </c>
      <c r="C741" s="10">
        <f t="shared" si="12"/>
        <v>12717</v>
      </c>
      <c r="D741" s="10" t="s">
        <v>22</v>
      </c>
      <c r="E741" s="7"/>
      <c r="F741" s="10"/>
      <c r="G741" s="7"/>
    </row>
    <row r="742" spans="1:7" ht="20.25" customHeight="1">
      <c r="A742" s="10">
        <v>12718</v>
      </c>
      <c r="B742" s="10">
        <v>16718</v>
      </c>
      <c r="C742" s="10">
        <f t="shared" si="12"/>
        <v>12718</v>
      </c>
      <c r="D742" s="10" t="s">
        <v>22</v>
      </c>
      <c r="E742" s="7"/>
      <c r="F742" s="10"/>
      <c r="G742" s="7"/>
    </row>
    <row r="743" spans="1:7" ht="20.25" customHeight="1">
      <c r="A743" s="10">
        <v>12719</v>
      </c>
      <c r="B743" s="10">
        <v>16719</v>
      </c>
      <c r="C743" s="10">
        <f t="shared" si="12"/>
        <v>12719</v>
      </c>
      <c r="D743" s="10" t="s">
        <v>22</v>
      </c>
      <c r="E743" s="7"/>
      <c r="F743" s="10"/>
      <c r="G743" s="7"/>
    </row>
    <row r="744" spans="1:7" ht="20.25" customHeight="1">
      <c r="A744" s="10">
        <v>12720</v>
      </c>
      <c r="B744" s="10">
        <v>16720</v>
      </c>
      <c r="C744" s="10">
        <f t="shared" si="12"/>
        <v>12720</v>
      </c>
      <c r="D744" s="10" t="s">
        <v>22</v>
      </c>
      <c r="E744" s="7"/>
      <c r="F744" s="10"/>
      <c r="G744" s="7"/>
    </row>
    <row r="745" spans="1:7" ht="20.25" customHeight="1">
      <c r="A745" s="10">
        <v>12721</v>
      </c>
      <c r="B745" s="10">
        <v>16721</v>
      </c>
      <c r="C745" s="10">
        <f t="shared" si="12"/>
        <v>12721</v>
      </c>
      <c r="D745" s="10" t="s">
        <v>22</v>
      </c>
      <c r="E745" s="7"/>
      <c r="F745" s="10"/>
      <c r="G745" s="7"/>
    </row>
    <row r="746" spans="1:7" ht="20.25" customHeight="1">
      <c r="A746" s="10">
        <v>12722</v>
      </c>
      <c r="B746" s="10">
        <v>16722</v>
      </c>
      <c r="C746" s="10">
        <f t="shared" si="12"/>
        <v>12722</v>
      </c>
      <c r="D746" s="10" t="s">
        <v>22</v>
      </c>
      <c r="E746" s="7"/>
      <c r="F746" s="10"/>
      <c r="G746" s="7"/>
    </row>
    <row r="747" spans="1:7" ht="20.25" customHeight="1">
      <c r="A747" s="10">
        <v>12723</v>
      </c>
      <c r="B747" s="10">
        <v>16723</v>
      </c>
      <c r="C747" s="10">
        <f t="shared" si="12"/>
        <v>12723</v>
      </c>
      <c r="D747" s="10" t="s">
        <v>22</v>
      </c>
      <c r="E747" s="7"/>
      <c r="F747" s="10"/>
      <c r="G747" s="7"/>
    </row>
    <row r="748" spans="1:7" ht="20.25" customHeight="1">
      <c r="A748" s="10">
        <v>12724</v>
      </c>
      <c r="B748" s="10">
        <v>16724</v>
      </c>
      <c r="C748" s="10">
        <f t="shared" si="12"/>
        <v>12724</v>
      </c>
      <c r="D748" s="10" t="s">
        <v>22</v>
      </c>
      <c r="E748" s="7"/>
      <c r="F748" s="10"/>
      <c r="G748" s="7"/>
    </row>
    <row r="749" spans="1:7" ht="20.25" customHeight="1">
      <c r="A749" s="10">
        <v>12725</v>
      </c>
      <c r="B749" s="10">
        <v>16725</v>
      </c>
      <c r="C749" s="10">
        <f t="shared" si="12"/>
        <v>12725</v>
      </c>
      <c r="D749" s="10" t="s">
        <v>22</v>
      </c>
      <c r="E749" s="7"/>
      <c r="F749" s="10"/>
      <c r="G749" s="7"/>
    </row>
    <row r="750" spans="1:7" ht="20.25" customHeight="1">
      <c r="A750" s="10">
        <v>12726</v>
      </c>
      <c r="B750" s="10">
        <v>16726</v>
      </c>
      <c r="C750" s="10">
        <f t="shared" si="12"/>
        <v>12726</v>
      </c>
      <c r="D750" s="10" t="s">
        <v>22</v>
      </c>
      <c r="E750" s="7"/>
      <c r="F750" s="10"/>
      <c r="G750" s="7"/>
    </row>
    <row r="751" spans="1:7" ht="20.25" customHeight="1">
      <c r="A751" s="10">
        <v>12727</v>
      </c>
      <c r="B751" s="10">
        <v>16727</v>
      </c>
      <c r="C751" s="10">
        <f t="shared" si="12"/>
        <v>12727</v>
      </c>
      <c r="D751" s="10" t="s">
        <v>22</v>
      </c>
      <c r="E751" s="7"/>
      <c r="F751" s="10"/>
      <c r="G751" s="7"/>
    </row>
    <row r="752" spans="1:7" ht="20.25" customHeight="1">
      <c r="A752" s="10">
        <v>12728</v>
      </c>
      <c r="B752" s="10">
        <v>16728</v>
      </c>
      <c r="C752" s="10">
        <f t="shared" si="12"/>
        <v>12728</v>
      </c>
      <c r="D752" s="10" t="s">
        <v>22</v>
      </c>
      <c r="E752" s="7"/>
      <c r="F752" s="10"/>
      <c r="G752" s="7"/>
    </row>
    <row r="753" spans="1:7" ht="20.25" customHeight="1">
      <c r="A753" s="10">
        <v>12729</v>
      </c>
      <c r="B753" s="10">
        <v>16729</v>
      </c>
      <c r="C753" s="10">
        <f t="shared" si="12"/>
        <v>12729</v>
      </c>
      <c r="D753" s="10" t="s">
        <v>22</v>
      </c>
      <c r="E753" s="111"/>
      <c r="F753" s="10"/>
      <c r="G753" s="7"/>
    </row>
    <row r="754" spans="1:7" ht="20.25" customHeight="1">
      <c r="A754" s="10">
        <v>12730</v>
      </c>
      <c r="B754" s="10">
        <v>16730</v>
      </c>
      <c r="C754" s="10">
        <f t="shared" si="12"/>
        <v>12730</v>
      </c>
      <c r="D754" s="10" t="s">
        <v>22</v>
      </c>
      <c r="E754" s="7"/>
      <c r="F754" s="10"/>
      <c r="G754" s="7"/>
    </row>
    <row r="755" spans="1:7" ht="20.25" customHeight="1">
      <c r="A755" s="10">
        <v>12731</v>
      </c>
      <c r="B755" s="10">
        <v>16731</v>
      </c>
      <c r="C755" s="10">
        <f t="shared" si="12"/>
        <v>12731</v>
      </c>
      <c r="D755" s="10" t="s">
        <v>22</v>
      </c>
      <c r="E755" s="7"/>
      <c r="F755" s="10"/>
      <c r="G755" s="7"/>
    </row>
    <row r="756" spans="1:7" ht="20.25" customHeight="1">
      <c r="A756" s="10">
        <v>12732</v>
      </c>
      <c r="B756" s="10">
        <v>16732</v>
      </c>
      <c r="C756" s="10">
        <f t="shared" si="12"/>
        <v>12732</v>
      </c>
      <c r="D756" s="10" t="s">
        <v>22</v>
      </c>
      <c r="E756" s="7"/>
      <c r="F756" s="10"/>
      <c r="G756" s="7"/>
    </row>
    <row r="757" spans="1:7" ht="20.25" customHeight="1">
      <c r="A757" s="10">
        <v>12733</v>
      </c>
      <c r="B757" s="10">
        <v>16733</v>
      </c>
      <c r="C757" s="10">
        <f t="shared" si="12"/>
        <v>12733</v>
      </c>
      <c r="D757" s="10" t="s">
        <v>22</v>
      </c>
      <c r="E757" s="7"/>
      <c r="F757" s="10"/>
      <c r="G757" s="7"/>
    </row>
    <row r="758" spans="1:7" ht="20.25" customHeight="1">
      <c r="A758" s="10">
        <v>12734</v>
      </c>
      <c r="B758" s="10">
        <v>16734</v>
      </c>
      <c r="C758" s="10">
        <f t="shared" si="12"/>
        <v>12734</v>
      </c>
      <c r="D758" s="10" t="s">
        <v>22</v>
      </c>
      <c r="E758" s="7"/>
      <c r="F758" s="10"/>
      <c r="G758" s="7"/>
    </row>
    <row r="759" spans="1:7" ht="20.25" customHeight="1">
      <c r="A759" s="10">
        <v>12735</v>
      </c>
      <c r="B759" s="10">
        <v>16735</v>
      </c>
      <c r="C759" s="10">
        <f t="shared" si="12"/>
        <v>12735</v>
      </c>
      <c r="D759" s="10" t="s">
        <v>22</v>
      </c>
      <c r="E759" s="125"/>
      <c r="F759" s="10"/>
      <c r="G759" s="7"/>
    </row>
    <row r="760" spans="1:7" ht="20.25" customHeight="1">
      <c r="A760" s="10">
        <v>12736</v>
      </c>
      <c r="B760" s="10">
        <v>16736</v>
      </c>
      <c r="C760" s="10">
        <f t="shared" si="12"/>
        <v>12736</v>
      </c>
      <c r="D760" s="10" t="s">
        <v>22</v>
      </c>
      <c r="E760" s="7"/>
      <c r="F760" s="10"/>
      <c r="G760" s="7"/>
    </row>
    <row r="761" spans="1:7" ht="20.25" customHeight="1">
      <c r="A761" s="10">
        <v>12737</v>
      </c>
      <c r="B761" s="10">
        <v>16737</v>
      </c>
      <c r="C761" s="10">
        <f t="shared" si="12"/>
        <v>12737</v>
      </c>
      <c r="D761" s="10" t="s">
        <v>22</v>
      </c>
      <c r="E761" s="7"/>
      <c r="F761" s="10"/>
      <c r="G761" s="7"/>
    </row>
    <row r="762" spans="1:7" ht="20.25" customHeight="1">
      <c r="A762" s="10">
        <v>12738</v>
      </c>
      <c r="B762" s="10">
        <v>16738</v>
      </c>
      <c r="C762" s="10">
        <f t="shared" si="12"/>
        <v>12738</v>
      </c>
      <c r="D762" s="10" t="s">
        <v>22</v>
      </c>
      <c r="E762" s="7"/>
      <c r="F762" s="10"/>
      <c r="G762" s="7"/>
    </row>
    <row r="763" spans="1:7" ht="20.25" customHeight="1">
      <c r="A763" s="10">
        <v>12739</v>
      </c>
      <c r="B763" s="10">
        <v>16739</v>
      </c>
      <c r="C763" s="10">
        <f t="shared" si="12"/>
        <v>12739</v>
      </c>
      <c r="D763" s="10" t="s">
        <v>22</v>
      </c>
      <c r="E763" s="7"/>
      <c r="F763" s="10"/>
      <c r="G763" s="7"/>
    </row>
    <row r="764" spans="1:7" ht="20.25" customHeight="1">
      <c r="A764" s="10">
        <v>12740</v>
      </c>
      <c r="B764" s="10">
        <v>16740</v>
      </c>
      <c r="C764" s="10">
        <f t="shared" si="12"/>
        <v>12740</v>
      </c>
      <c r="D764" s="10" t="s">
        <v>22</v>
      </c>
      <c r="E764" s="7"/>
      <c r="F764" s="10"/>
      <c r="G764" s="7"/>
    </row>
    <row r="765" spans="1:7" ht="20.25" customHeight="1">
      <c r="A765" s="10">
        <v>12741</v>
      </c>
      <c r="B765" s="10">
        <v>16741</v>
      </c>
      <c r="C765" s="10">
        <f t="shared" si="12"/>
        <v>12741</v>
      </c>
      <c r="D765" s="10" t="s">
        <v>22</v>
      </c>
      <c r="E765" s="7"/>
      <c r="F765" s="10"/>
      <c r="G765" s="7"/>
    </row>
    <row r="766" spans="1:7" ht="20.25" customHeight="1">
      <c r="A766" s="10">
        <v>12742</v>
      </c>
      <c r="B766" s="10">
        <v>16742</v>
      </c>
      <c r="C766" s="10">
        <f t="shared" si="12"/>
        <v>12742</v>
      </c>
      <c r="D766" s="10" t="s">
        <v>22</v>
      </c>
      <c r="E766" s="7"/>
      <c r="F766" s="10"/>
      <c r="G766" s="7"/>
    </row>
    <row r="767" spans="1:7" ht="20.25" customHeight="1">
      <c r="A767" s="10">
        <v>12743</v>
      </c>
      <c r="B767" s="10">
        <v>16743</v>
      </c>
      <c r="C767" s="10">
        <f t="shared" si="12"/>
        <v>12743</v>
      </c>
      <c r="D767" s="10" t="s">
        <v>22</v>
      </c>
      <c r="E767" s="7"/>
      <c r="F767" s="10"/>
      <c r="G767" s="7"/>
    </row>
    <row r="768" spans="1:7" ht="20.25" customHeight="1">
      <c r="A768" s="10">
        <v>12744</v>
      </c>
      <c r="B768" s="10">
        <v>16744</v>
      </c>
      <c r="C768" s="10">
        <f t="shared" si="12"/>
        <v>12744</v>
      </c>
      <c r="D768" s="10" t="s">
        <v>22</v>
      </c>
      <c r="E768" s="7"/>
      <c r="F768" s="10"/>
      <c r="G768" s="7"/>
    </row>
    <row r="769" spans="1:7" ht="20.25" customHeight="1">
      <c r="A769" s="10">
        <v>12745</v>
      </c>
      <c r="B769" s="10">
        <v>16745</v>
      </c>
      <c r="C769" s="10">
        <f t="shared" si="12"/>
        <v>12745</v>
      </c>
      <c r="D769" s="10" t="s">
        <v>22</v>
      </c>
      <c r="E769" s="7"/>
      <c r="F769" s="10"/>
      <c r="G769" s="7"/>
    </row>
    <row r="770" spans="1:7" ht="20.25" customHeight="1">
      <c r="A770" s="10">
        <v>12746</v>
      </c>
      <c r="B770" s="10">
        <v>16746</v>
      </c>
      <c r="C770" s="10">
        <f t="shared" si="12"/>
        <v>12746</v>
      </c>
      <c r="D770" s="10" t="s">
        <v>22</v>
      </c>
      <c r="E770" s="7"/>
      <c r="F770" s="10"/>
      <c r="G770" s="7"/>
    </row>
    <row r="771" spans="1:7" ht="20.25" customHeight="1">
      <c r="A771" s="10">
        <v>12747</v>
      </c>
      <c r="B771" s="10">
        <v>16747</v>
      </c>
      <c r="C771" s="10">
        <f t="shared" ref="C771:C834" si="13">IF(ISERROR(FIND("B_Epic",E771)),A771,A771+10000)</f>
        <v>12747</v>
      </c>
      <c r="D771" s="10" t="s">
        <v>22</v>
      </c>
      <c r="E771" s="111"/>
      <c r="F771" s="10"/>
      <c r="G771" s="7"/>
    </row>
    <row r="772" spans="1:7" ht="20.25" customHeight="1">
      <c r="A772" s="10">
        <v>12748</v>
      </c>
      <c r="B772" s="10">
        <v>16748</v>
      </c>
      <c r="C772" s="10">
        <f t="shared" si="13"/>
        <v>12748</v>
      </c>
      <c r="D772" s="10" t="s">
        <v>22</v>
      </c>
      <c r="E772" s="7"/>
      <c r="F772" s="10"/>
      <c r="G772" s="7"/>
    </row>
    <row r="773" spans="1:7" ht="20.25" customHeight="1">
      <c r="A773" s="10">
        <v>12749</v>
      </c>
      <c r="B773" s="10">
        <v>16749</v>
      </c>
      <c r="C773" s="10">
        <f t="shared" si="13"/>
        <v>12749</v>
      </c>
      <c r="D773" s="10" t="s">
        <v>22</v>
      </c>
      <c r="E773" s="7"/>
      <c r="F773" s="10"/>
      <c r="G773" s="7"/>
    </row>
    <row r="774" spans="1:7" ht="20.25" customHeight="1">
      <c r="A774" s="10">
        <v>12750</v>
      </c>
      <c r="B774" s="10">
        <v>16750</v>
      </c>
      <c r="C774" s="10">
        <f t="shared" si="13"/>
        <v>12750</v>
      </c>
      <c r="D774" s="10" t="s">
        <v>22</v>
      </c>
      <c r="E774" s="7"/>
      <c r="F774" s="10"/>
      <c r="G774" s="7"/>
    </row>
    <row r="775" spans="1:7" ht="20.25" customHeight="1">
      <c r="A775" s="10">
        <v>12751</v>
      </c>
      <c r="B775" s="10">
        <v>16751</v>
      </c>
      <c r="C775" s="10">
        <f t="shared" si="13"/>
        <v>12751</v>
      </c>
      <c r="D775" s="10" t="s">
        <v>22</v>
      </c>
      <c r="E775" s="7"/>
      <c r="F775" s="10"/>
      <c r="G775" s="7"/>
    </row>
    <row r="776" spans="1:7" ht="20.25" customHeight="1">
      <c r="A776" s="10">
        <v>12752</v>
      </c>
      <c r="B776" s="10">
        <v>16752</v>
      </c>
      <c r="C776" s="10">
        <f t="shared" si="13"/>
        <v>12752</v>
      </c>
      <c r="D776" s="10" t="s">
        <v>22</v>
      </c>
      <c r="E776" s="7"/>
      <c r="F776" s="10"/>
      <c r="G776" s="7"/>
    </row>
    <row r="777" spans="1:7" ht="20.25" customHeight="1">
      <c r="A777" s="10">
        <v>12753</v>
      </c>
      <c r="B777" s="10">
        <v>16753</v>
      </c>
      <c r="C777" s="10">
        <f t="shared" si="13"/>
        <v>12753</v>
      </c>
      <c r="D777" s="10" t="s">
        <v>22</v>
      </c>
      <c r="E777" s="7"/>
      <c r="F777" s="10"/>
      <c r="G777" s="7"/>
    </row>
    <row r="778" spans="1:7" ht="20.25" customHeight="1">
      <c r="A778" s="10">
        <v>12754</v>
      </c>
      <c r="B778" s="10">
        <v>16754</v>
      </c>
      <c r="C778" s="10">
        <f t="shared" si="13"/>
        <v>12754</v>
      </c>
      <c r="D778" s="10" t="s">
        <v>22</v>
      </c>
      <c r="E778" s="7"/>
      <c r="F778" s="10"/>
      <c r="G778" s="7"/>
    </row>
    <row r="779" spans="1:7" ht="20.25" customHeight="1">
      <c r="A779" s="10">
        <v>12755</v>
      </c>
      <c r="B779" s="10">
        <v>16755</v>
      </c>
      <c r="C779" s="10">
        <f t="shared" si="13"/>
        <v>12755</v>
      </c>
      <c r="D779" s="10" t="s">
        <v>22</v>
      </c>
      <c r="E779" s="7"/>
      <c r="F779" s="10"/>
      <c r="G779" s="7"/>
    </row>
    <row r="780" spans="1:7" ht="20.25" customHeight="1">
      <c r="A780" s="10">
        <v>12756</v>
      </c>
      <c r="B780" s="10">
        <v>16756</v>
      </c>
      <c r="C780" s="10">
        <f t="shared" si="13"/>
        <v>12756</v>
      </c>
      <c r="D780" s="10" t="s">
        <v>22</v>
      </c>
      <c r="E780" s="7"/>
      <c r="F780" s="10"/>
      <c r="G780" s="7"/>
    </row>
    <row r="781" spans="1:7" ht="20.25" customHeight="1">
      <c r="A781" s="10">
        <v>12757</v>
      </c>
      <c r="B781" s="10">
        <v>16757</v>
      </c>
      <c r="C781" s="10">
        <f t="shared" si="13"/>
        <v>12757</v>
      </c>
      <c r="D781" s="10" t="s">
        <v>22</v>
      </c>
      <c r="E781" s="7"/>
      <c r="F781" s="10"/>
      <c r="G781" s="7"/>
    </row>
    <row r="782" spans="1:7" ht="20.25" customHeight="1">
      <c r="A782" s="10">
        <v>12758</v>
      </c>
      <c r="B782" s="10">
        <v>16758</v>
      </c>
      <c r="C782" s="10">
        <f t="shared" si="13"/>
        <v>12758</v>
      </c>
      <c r="D782" s="10" t="s">
        <v>22</v>
      </c>
      <c r="E782" s="7"/>
      <c r="F782" s="10"/>
      <c r="G782" s="7"/>
    </row>
    <row r="783" spans="1:7" ht="20.25" customHeight="1">
      <c r="A783" s="10">
        <v>12759</v>
      </c>
      <c r="B783" s="10">
        <v>16759</v>
      </c>
      <c r="C783" s="10">
        <f t="shared" si="13"/>
        <v>12759</v>
      </c>
      <c r="D783" s="10" t="s">
        <v>22</v>
      </c>
      <c r="E783" s="7"/>
      <c r="F783" s="10"/>
      <c r="G783" s="7"/>
    </row>
    <row r="784" spans="1:7" ht="20.25" customHeight="1">
      <c r="A784" s="10">
        <v>12760</v>
      </c>
      <c r="B784" s="10">
        <v>16760</v>
      </c>
      <c r="C784" s="10">
        <f t="shared" si="13"/>
        <v>12760</v>
      </c>
      <c r="D784" s="10" t="s">
        <v>22</v>
      </c>
      <c r="E784" s="7"/>
      <c r="F784" s="10"/>
      <c r="G784" s="7"/>
    </row>
    <row r="785" spans="1:7" ht="20.25" customHeight="1">
      <c r="A785" s="10">
        <v>12761</v>
      </c>
      <c r="B785" s="10">
        <v>16761</v>
      </c>
      <c r="C785" s="10">
        <f t="shared" si="13"/>
        <v>12761</v>
      </c>
      <c r="D785" s="10" t="s">
        <v>22</v>
      </c>
      <c r="E785" s="7"/>
      <c r="F785" s="10"/>
      <c r="G785" s="7"/>
    </row>
    <row r="786" spans="1:7" ht="20.25" customHeight="1">
      <c r="A786" s="10">
        <v>12762</v>
      </c>
      <c r="B786" s="10">
        <v>16762</v>
      </c>
      <c r="C786" s="10">
        <f t="shared" si="13"/>
        <v>12762</v>
      </c>
      <c r="D786" s="10" t="s">
        <v>22</v>
      </c>
      <c r="E786" s="7"/>
      <c r="F786" s="10"/>
      <c r="G786" s="7"/>
    </row>
    <row r="787" spans="1:7" ht="20.25" customHeight="1">
      <c r="A787" s="10">
        <v>12763</v>
      </c>
      <c r="B787" s="10">
        <v>16763</v>
      </c>
      <c r="C787" s="10">
        <f t="shared" si="13"/>
        <v>12763</v>
      </c>
      <c r="D787" s="10" t="s">
        <v>22</v>
      </c>
      <c r="E787" s="7"/>
      <c r="F787" s="10"/>
      <c r="G787" s="7"/>
    </row>
    <row r="788" spans="1:7" ht="20.25" customHeight="1">
      <c r="A788" s="10">
        <v>12764</v>
      </c>
      <c r="B788" s="10">
        <v>16764</v>
      </c>
      <c r="C788" s="10">
        <f t="shared" si="13"/>
        <v>12764</v>
      </c>
      <c r="D788" s="10" t="s">
        <v>22</v>
      </c>
      <c r="E788" s="7"/>
      <c r="F788" s="10"/>
      <c r="G788" s="7"/>
    </row>
    <row r="789" spans="1:7" ht="20.25" customHeight="1">
      <c r="A789" s="10">
        <v>12765</v>
      </c>
      <c r="B789" s="10">
        <v>16765</v>
      </c>
      <c r="C789" s="10">
        <f t="shared" si="13"/>
        <v>12765</v>
      </c>
      <c r="D789" s="10" t="s">
        <v>22</v>
      </c>
      <c r="E789" s="7"/>
      <c r="F789" s="10"/>
      <c r="G789" s="7"/>
    </row>
    <row r="790" spans="1:7" ht="20.25" customHeight="1">
      <c r="A790" s="10">
        <v>12766</v>
      </c>
      <c r="B790" s="10">
        <v>16766</v>
      </c>
      <c r="C790" s="10">
        <f t="shared" si="13"/>
        <v>12766</v>
      </c>
      <c r="D790" s="10" t="s">
        <v>22</v>
      </c>
      <c r="E790" s="7"/>
      <c r="F790" s="10"/>
      <c r="G790" s="7"/>
    </row>
    <row r="791" spans="1:7" ht="20.25" customHeight="1">
      <c r="A791" s="10">
        <v>12767</v>
      </c>
      <c r="B791" s="10">
        <v>16767</v>
      </c>
      <c r="C791" s="10">
        <f t="shared" si="13"/>
        <v>12767</v>
      </c>
      <c r="D791" s="10" t="s">
        <v>22</v>
      </c>
      <c r="E791" s="7"/>
      <c r="F791" s="10"/>
      <c r="G791" s="7"/>
    </row>
    <row r="792" spans="1:7" ht="20.25" customHeight="1">
      <c r="A792" s="10">
        <v>12768</v>
      </c>
      <c r="B792" s="10">
        <v>16768</v>
      </c>
      <c r="C792" s="10">
        <f t="shared" si="13"/>
        <v>12768</v>
      </c>
      <c r="D792" s="10" t="s">
        <v>22</v>
      </c>
      <c r="E792" s="7"/>
      <c r="F792" s="10"/>
      <c r="G792" s="7"/>
    </row>
    <row r="793" spans="1:7" ht="20.25" customHeight="1">
      <c r="A793" s="10">
        <v>12769</v>
      </c>
      <c r="B793" s="10">
        <v>16769</v>
      </c>
      <c r="C793" s="10">
        <f t="shared" si="13"/>
        <v>12769</v>
      </c>
      <c r="D793" s="10" t="s">
        <v>22</v>
      </c>
      <c r="E793" s="7"/>
      <c r="F793" s="10"/>
      <c r="G793" s="7"/>
    </row>
    <row r="794" spans="1:7" ht="20.25" customHeight="1">
      <c r="A794" s="10">
        <v>12770</v>
      </c>
      <c r="B794" s="10">
        <v>16770</v>
      </c>
      <c r="C794" s="10">
        <f t="shared" si="13"/>
        <v>12770</v>
      </c>
      <c r="D794" s="10" t="s">
        <v>22</v>
      </c>
      <c r="E794" s="7"/>
      <c r="F794" s="10"/>
      <c r="G794" s="7"/>
    </row>
    <row r="795" spans="1:7" ht="20.25" customHeight="1">
      <c r="A795" s="10">
        <v>12771</v>
      </c>
      <c r="B795" s="10">
        <v>16771</v>
      </c>
      <c r="C795" s="10">
        <f t="shared" si="13"/>
        <v>12771</v>
      </c>
      <c r="D795" s="10" t="s">
        <v>22</v>
      </c>
      <c r="E795" s="7"/>
      <c r="F795" s="10"/>
      <c r="G795" s="7"/>
    </row>
    <row r="796" spans="1:7" ht="20.25" customHeight="1">
      <c r="A796" s="10">
        <v>12772</v>
      </c>
      <c r="B796" s="10">
        <v>16772</v>
      </c>
      <c r="C796" s="10">
        <f t="shared" si="13"/>
        <v>12772</v>
      </c>
      <c r="D796" s="10" t="s">
        <v>22</v>
      </c>
      <c r="E796" s="7"/>
      <c r="F796" s="10"/>
      <c r="G796" s="7"/>
    </row>
    <row r="797" spans="1:7" ht="20.25" customHeight="1">
      <c r="A797" s="10">
        <v>12773</v>
      </c>
      <c r="B797" s="10">
        <v>16773</v>
      </c>
      <c r="C797" s="10">
        <f t="shared" si="13"/>
        <v>12773</v>
      </c>
      <c r="D797" s="10" t="s">
        <v>22</v>
      </c>
      <c r="E797" s="7"/>
      <c r="F797" s="10"/>
      <c r="G797" s="7"/>
    </row>
    <row r="798" spans="1:7" ht="20.25" customHeight="1">
      <c r="A798" s="10">
        <v>12774</v>
      </c>
      <c r="B798" s="10">
        <v>16774</v>
      </c>
      <c r="C798" s="10">
        <f t="shared" si="13"/>
        <v>12774</v>
      </c>
      <c r="D798" s="10" t="s">
        <v>22</v>
      </c>
      <c r="E798" s="7"/>
      <c r="F798" s="10"/>
      <c r="G798" s="7"/>
    </row>
    <row r="799" spans="1:7" ht="20.25" customHeight="1">
      <c r="A799" s="10">
        <v>12775</v>
      </c>
      <c r="B799" s="10">
        <v>16775</v>
      </c>
      <c r="C799" s="10">
        <f t="shared" si="13"/>
        <v>12775</v>
      </c>
      <c r="D799" s="10" t="s">
        <v>22</v>
      </c>
      <c r="E799" s="7"/>
      <c r="F799" s="10"/>
      <c r="G799" s="7"/>
    </row>
    <row r="800" spans="1:7" ht="20.25" customHeight="1">
      <c r="A800" s="10">
        <v>12776</v>
      </c>
      <c r="B800" s="10">
        <v>16776</v>
      </c>
      <c r="C800" s="10">
        <f t="shared" si="13"/>
        <v>12776</v>
      </c>
      <c r="D800" s="10" t="s">
        <v>22</v>
      </c>
      <c r="E800" s="7"/>
      <c r="F800" s="10"/>
      <c r="G800" s="7"/>
    </row>
    <row r="801" spans="1:7" ht="20.25" customHeight="1">
      <c r="A801" s="10">
        <v>12777</v>
      </c>
      <c r="B801" s="10">
        <v>16777</v>
      </c>
      <c r="C801" s="10">
        <f t="shared" si="13"/>
        <v>12777</v>
      </c>
      <c r="D801" s="10" t="s">
        <v>22</v>
      </c>
      <c r="E801" s="7"/>
      <c r="F801" s="10"/>
      <c r="G801" s="7"/>
    </row>
    <row r="802" spans="1:7" ht="20.25" customHeight="1">
      <c r="A802" s="10">
        <v>12778</v>
      </c>
      <c r="B802" s="10">
        <v>16778</v>
      </c>
      <c r="C802" s="10">
        <f t="shared" si="13"/>
        <v>12778</v>
      </c>
      <c r="D802" s="10" t="s">
        <v>22</v>
      </c>
      <c r="E802" s="7"/>
      <c r="F802" s="10"/>
      <c r="G802" s="7"/>
    </row>
    <row r="803" spans="1:7" ht="20.25" customHeight="1">
      <c r="A803" s="10">
        <v>12779</v>
      </c>
      <c r="B803" s="10">
        <v>16779</v>
      </c>
      <c r="C803" s="10">
        <f t="shared" si="13"/>
        <v>12779</v>
      </c>
      <c r="D803" s="10" t="s">
        <v>22</v>
      </c>
      <c r="E803" s="7"/>
      <c r="F803" s="10"/>
      <c r="G803" s="7"/>
    </row>
    <row r="804" spans="1:7" ht="20.25" customHeight="1">
      <c r="A804" s="10">
        <v>12780</v>
      </c>
      <c r="B804" s="10">
        <v>16780</v>
      </c>
      <c r="C804" s="10">
        <f t="shared" si="13"/>
        <v>12780</v>
      </c>
      <c r="D804" s="10" t="s">
        <v>22</v>
      </c>
      <c r="E804" s="7"/>
      <c r="F804" s="10"/>
      <c r="G804" s="7"/>
    </row>
    <row r="805" spans="1:7" ht="20.25" customHeight="1">
      <c r="A805" s="10">
        <v>12781</v>
      </c>
      <c r="B805" s="10">
        <v>16781</v>
      </c>
      <c r="C805" s="10">
        <f t="shared" si="13"/>
        <v>12781</v>
      </c>
      <c r="D805" s="10" t="s">
        <v>22</v>
      </c>
      <c r="E805" s="7"/>
      <c r="F805" s="10"/>
      <c r="G805" s="7"/>
    </row>
    <row r="806" spans="1:7" ht="20.25" customHeight="1">
      <c r="A806" s="10">
        <v>12782</v>
      </c>
      <c r="B806" s="10">
        <v>16782</v>
      </c>
      <c r="C806" s="10">
        <f t="shared" si="13"/>
        <v>12782</v>
      </c>
      <c r="D806" s="10" t="s">
        <v>22</v>
      </c>
      <c r="E806" s="7"/>
      <c r="F806" s="10"/>
      <c r="G806" s="7"/>
    </row>
    <row r="807" spans="1:7" ht="20.25" customHeight="1">
      <c r="A807" s="10">
        <v>12783</v>
      </c>
      <c r="B807" s="10">
        <v>16783</v>
      </c>
      <c r="C807" s="10">
        <f t="shared" si="13"/>
        <v>12783</v>
      </c>
      <c r="D807" s="10" t="s">
        <v>22</v>
      </c>
      <c r="E807" s="111"/>
      <c r="F807" s="10"/>
      <c r="G807" s="7"/>
    </row>
    <row r="808" spans="1:7" ht="20.25" customHeight="1">
      <c r="A808" s="10">
        <v>12784</v>
      </c>
      <c r="B808" s="10">
        <v>16784</v>
      </c>
      <c r="C808" s="10">
        <f t="shared" si="13"/>
        <v>12784</v>
      </c>
      <c r="D808" s="10" t="s">
        <v>22</v>
      </c>
      <c r="E808" s="7"/>
      <c r="F808" s="10"/>
      <c r="G808" s="7"/>
    </row>
    <row r="809" spans="1:7" ht="20.25" customHeight="1">
      <c r="A809" s="10">
        <v>12785</v>
      </c>
      <c r="B809" s="10">
        <v>16785</v>
      </c>
      <c r="C809" s="10">
        <f t="shared" si="13"/>
        <v>12785</v>
      </c>
      <c r="D809" s="10" t="s">
        <v>22</v>
      </c>
      <c r="E809" s="7"/>
      <c r="F809" s="10"/>
      <c r="G809" s="7"/>
    </row>
    <row r="810" spans="1:7" ht="20.25" customHeight="1">
      <c r="A810" s="10">
        <v>12786</v>
      </c>
      <c r="B810" s="10">
        <v>16786</v>
      </c>
      <c r="C810" s="10">
        <f t="shared" si="13"/>
        <v>12786</v>
      </c>
      <c r="D810" s="10" t="s">
        <v>22</v>
      </c>
      <c r="E810" s="7"/>
      <c r="F810" s="10"/>
      <c r="G810" s="7"/>
    </row>
    <row r="811" spans="1:7" ht="20.25" customHeight="1">
      <c r="A811" s="10">
        <v>12787</v>
      </c>
      <c r="B811" s="10">
        <v>16787</v>
      </c>
      <c r="C811" s="10">
        <f t="shared" si="13"/>
        <v>12787</v>
      </c>
      <c r="D811" s="10" t="s">
        <v>22</v>
      </c>
      <c r="E811" s="7"/>
      <c r="F811" s="10"/>
      <c r="G811" s="7"/>
    </row>
    <row r="812" spans="1:7" ht="20.25" customHeight="1">
      <c r="A812" s="10">
        <v>12788</v>
      </c>
      <c r="B812" s="10">
        <v>16788</v>
      </c>
      <c r="C812" s="10">
        <f t="shared" si="13"/>
        <v>12788</v>
      </c>
      <c r="D812" s="10" t="s">
        <v>22</v>
      </c>
      <c r="E812" s="7"/>
      <c r="F812" s="10"/>
      <c r="G812" s="7"/>
    </row>
    <row r="813" spans="1:7" ht="20.25" customHeight="1">
      <c r="A813" s="10">
        <v>12789</v>
      </c>
      <c r="B813" s="10">
        <v>16789</v>
      </c>
      <c r="C813" s="10">
        <f t="shared" si="13"/>
        <v>12789</v>
      </c>
      <c r="D813" s="10" t="s">
        <v>22</v>
      </c>
      <c r="E813" s="7"/>
      <c r="F813" s="10"/>
      <c r="G813" s="7"/>
    </row>
    <row r="814" spans="1:7" ht="20.25" customHeight="1">
      <c r="A814" s="10">
        <v>12790</v>
      </c>
      <c r="B814" s="10">
        <v>16790</v>
      </c>
      <c r="C814" s="10">
        <f t="shared" si="13"/>
        <v>12790</v>
      </c>
      <c r="D814" s="10" t="s">
        <v>22</v>
      </c>
      <c r="E814" s="7"/>
      <c r="F814" s="10"/>
      <c r="G814" s="7"/>
    </row>
    <row r="815" spans="1:7" ht="20.25" customHeight="1">
      <c r="A815" s="10">
        <v>12791</v>
      </c>
      <c r="B815" s="10">
        <v>16791</v>
      </c>
      <c r="C815" s="10">
        <f t="shared" si="13"/>
        <v>12791</v>
      </c>
      <c r="D815" s="10" t="s">
        <v>22</v>
      </c>
      <c r="E815" s="7"/>
      <c r="F815" s="10"/>
      <c r="G815" s="7"/>
    </row>
    <row r="816" spans="1:7" ht="20.25" customHeight="1">
      <c r="A816" s="10">
        <v>12792</v>
      </c>
      <c r="B816" s="10">
        <v>16792</v>
      </c>
      <c r="C816" s="10">
        <f t="shared" si="13"/>
        <v>12792</v>
      </c>
      <c r="D816" s="10" t="s">
        <v>22</v>
      </c>
      <c r="E816" s="7"/>
      <c r="F816" s="10"/>
      <c r="G816" s="7"/>
    </row>
    <row r="817" spans="1:7" ht="20.25" customHeight="1">
      <c r="A817" s="10">
        <v>12793</v>
      </c>
      <c r="B817" s="10">
        <v>16793</v>
      </c>
      <c r="C817" s="10">
        <f t="shared" si="13"/>
        <v>12793</v>
      </c>
      <c r="D817" s="10" t="s">
        <v>22</v>
      </c>
      <c r="E817" s="7"/>
      <c r="F817" s="10"/>
      <c r="G817" s="7"/>
    </row>
    <row r="818" spans="1:7" ht="20.25" customHeight="1">
      <c r="A818" s="10">
        <v>12794</v>
      </c>
      <c r="B818" s="10">
        <v>16794</v>
      </c>
      <c r="C818" s="10">
        <f t="shared" si="13"/>
        <v>12794</v>
      </c>
      <c r="D818" s="10" t="s">
        <v>22</v>
      </c>
      <c r="E818" s="7"/>
      <c r="F818" s="10"/>
      <c r="G818" s="7"/>
    </row>
    <row r="819" spans="1:7" ht="20.25" customHeight="1">
      <c r="A819" s="10">
        <v>12795</v>
      </c>
      <c r="B819" s="10">
        <v>16795</v>
      </c>
      <c r="C819" s="10">
        <f t="shared" si="13"/>
        <v>12795</v>
      </c>
      <c r="D819" s="10" t="s">
        <v>22</v>
      </c>
      <c r="E819" s="7"/>
      <c r="F819" s="10"/>
      <c r="G819" s="7"/>
    </row>
    <row r="820" spans="1:7" ht="20.25" customHeight="1">
      <c r="A820" s="10">
        <v>12796</v>
      </c>
      <c r="B820" s="10">
        <v>16796</v>
      </c>
      <c r="C820" s="10">
        <f t="shared" si="13"/>
        <v>12796</v>
      </c>
      <c r="D820" s="10" t="s">
        <v>22</v>
      </c>
      <c r="E820" s="7"/>
      <c r="F820" s="10"/>
      <c r="G820" s="7"/>
    </row>
    <row r="821" spans="1:7" ht="20.25" customHeight="1">
      <c r="A821" s="10">
        <v>12797</v>
      </c>
      <c r="B821" s="10">
        <v>16797</v>
      </c>
      <c r="C821" s="10">
        <f t="shared" si="13"/>
        <v>12797</v>
      </c>
      <c r="D821" s="10" t="s">
        <v>22</v>
      </c>
      <c r="E821" s="7"/>
      <c r="F821" s="10"/>
      <c r="G821" s="7"/>
    </row>
    <row r="822" spans="1:7" ht="20.25" customHeight="1">
      <c r="A822" s="10">
        <v>12798</v>
      </c>
      <c r="B822" s="10">
        <v>16798</v>
      </c>
      <c r="C822" s="10">
        <f t="shared" si="13"/>
        <v>12798</v>
      </c>
      <c r="D822" s="10" t="s">
        <v>22</v>
      </c>
      <c r="E822" s="7"/>
      <c r="F822" s="10"/>
      <c r="G822" s="7"/>
    </row>
    <row r="823" spans="1:7" ht="20.25" customHeight="1">
      <c r="A823" s="10">
        <v>12799</v>
      </c>
      <c r="B823" s="10">
        <v>16799</v>
      </c>
      <c r="C823" s="10">
        <f t="shared" si="13"/>
        <v>12799</v>
      </c>
      <c r="D823" s="10" t="s">
        <v>22</v>
      </c>
      <c r="E823" s="7"/>
      <c r="F823" s="10"/>
      <c r="G823" s="7"/>
    </row>
    <row r="824" spans="1:7" ht="20.25" customHeight="1">
      <c r="A824" s="10">
        <v>12800</v>
      </c>
      <c r="B824" s="10">
        <v>16800</v>
      </c>
      <c r="C824" s="10">
        <f t="shared" si="13"/>
        <v>12800</v>
      </c>
      <c r="D824" s="10" t="s">
        <v>22</v>
      </c>
      <c r="E824" s="7"/>
      <c r="F824" s="10"/>
      <c r="G824" s="7"/>
    </row>
    <row r="825" spans="1:7" ht="20.25" customHeight="1">
      <c r="A825" s="10">
        <v>12801</v>
      </c>
      <c r="B825" s="10">
        <v>16801</v>
      </c>
      <c r="C825" s="10">
        <f t="shared" si="13"/>
        <v>12801</v>
      </c>
      <c r="D825" s="10" t="s">
        <v>22</v>
      </c>
      <c r="E825" s="7"/>
      <c r="F825" s="10"/>
      <c r="G825" s="7"/>
    </row>
    <row r="826" spans="1:7" ht="20.25" customHeight="1">
      <c r="A826" s="10">
        <v>12802</v>
      </c>
      <c r="B826" s="10">
        <v>16802</v>
      </c>
      <c r="C826" s="10">
        <f t="shared" si="13"/>
        <v>12802</v>
      </c>
      <c r="D826" s="10" t="s">
        <v>22</v>
      </c>
      <c r="E826" s="7"/>
      <c r="F826" s="10"/>
      <c r="G826" s="7"/>
    </row>
    <row r="827" spans="1:7" ht="20.25" customHeight="1">
      <c r="A827" s="10">
        <v>12803</v>
      </c>
      <c r="B827" s="10">
        <v>16803</v>
      </c>
      <c r="C827" s="10">
        <f t="shared" si="13"/>
        <v>12803</v>
      </c>
      <c r="D827" s="10" t="s">
        <v>22</v>
      </c>
      <c r="E827" s="7"/>
      <c r="F827" s="10"/>
      <c r="G827" s="7"/>
    </row>
    <row r="828" spans="1:7" ht="20.25" customHeight="1">
      <c r="A828" s="10">
        <v>12804</v>
      </c>
      <c r="B828" s="10">
        <v>16804</v>
      </c>
      <c r="C828" s="10">
        <f t="shared" si="13"/>
        <v>12804</v>
      </c>
      <c r="D828" s="10" t="s">
        <v>22</v>
      </c>
      <c r="E828" s="7"/>
      <c r="F828" s="10"/>
      <c r="G828" s="7"/>
    </row>
    <row r="829" spans="1:7" ht="20.25" customHeight="1">
      <c r="A829" s="10">
        <v>12805</v>
      </c>
      <c r="B829" s="10">
        <v>16805</v>
      </c>
      <c r="C829" s="10">
        <f t="shared" si="13"/>
        <v>12805</v>
      </c>
      <c r="D829" s="10" t="s">
        <v>22</v>
      </c>
      <c r="E829" s="7"/>
      <c r="F829" s="10"/>
      <c r="G829" s="7"/>
    </row>
    <row r="830" spans="1:7" ht="20.25" customHeight="1">
      <c r="A830" s="10">
        <v>12806</v>
      </c>
      <c r="B830" s="10">
        <v>16806</v>
      </c>
      <c r="C830" s="10">
        <f t="shared" si="13"/>
        <v>12806</v>
      </c>
      <c r="D830" s="10" t="s">
        <v>22</v>
      </c>
      <c r="E830" s="7"/>
      <c r="F830" s="10"/>
      <c r="G830" s="7"/>
    </row>
    <row r="831" spans="1:7" ht="20.25" customHeight="1">
      <c r="A831" s="10">
        <v>12807</v>
      </c>
      <c r="B831" s="10">
        <v>16807</v>
      </c>
      <c r="C831" s="10">
        <f t="shared" si="13"/>
        <v>12807</v>
      </c>
      <c r="D831" s="10" t="s">
        <v>22</v>
      </c>
      <c r="E831" s="7"/>
      <c r="F831" s="10"/>
      <c r="G831" s="7"/>
    </row>
    <row r="832" spans="1:7" ht="20.25" customHeight="1">
      <c r="A832" s="10">
        <v>12808</v>
      </c>
      <c r="B832" s="10">
        <v>16808</v>
      </c>
      <c r="C832" s="10">
        <f t="shared" si="13"/>
        <v>12808</v>
      </c>
      <c r="D832" s="10" t="s">
        <v>22</v>
      </c>
      <c r="E832" s="7"/>
      <c r="F832" s="10"/>
      <c r="G832" s="7"/>
    </row>
    <row r="833" spans="1:7" ht="20.25" customHeight="1">
      <c r="A833" s="10">
        <v>12809</v>
      </c>
      <c r="B833" s="10">
        <v>16809</v>
      </c>
      <c r="C833" s="10">
        <f t="shared" si="13"/>
        <v>12809</v>
      </c>
      <c r="D833" s="10" t="s">
        <v>22</v>
      </c>
      <c r="E833" s="7"/>
      <c r="F833" s="10"/>
      <c r="G833" s="7"/>
    </row>
    <row r="834" spans="1:7" ht="20.25" customHeight="1">
      <c r="A834" s="10">
        <v>12810</v>
      </c>
      <c r="B834" s="10">
        <v>16810</v>
      </c>
      <c r="C834" s="10">
        <f t="shared" si="13"/>
        <v>12810</v>
      </c>
      <c r="D834" s="10" t="s">
        <v>22</v>
      </c>
      <c r="E834" s="7"/>
      <c r="F834" s="10"/>
      <c r="G834" s="7"/>
    </row>
    <row r="835" spans="1:7" ht="20.25" customHeight="1">
      <c r="A835" s="10">
        <v>12811</v>
      </c>
      <c r="B835" s="10">
        <v>16811</v>
      </c>
      <c r="C835" s="10">
        <f t="shared" ref="C835:C898" si="14">IF(ISERROR(FIND("B_Epic",E835)),A835,A835+10000)</f>
        <v>12811</v>
      </c>
      <c r="D835" s="10" t="s">
        <v>22</v>
      </c>
      <c r="E835" s="7"/>
      <c r="F835" s="10"/>
      <c r="G835" s="7"/>
    </row>
    <row r="836" spans="1:7" ht="20.25" customHeight="1">
      <c r="A836" s="10">
        <v>12812</v>
      </c>
      <c r="B836" s="10">
        <v>16812</v>
      </c>
      <c r="C836" s="10">
        <f t="shared" si="14"/>
        <v>12812</v>
      </c>
      <c r="D836" s="10" t="s">
        <v>22</v>
      </c>
      <c r="E836" s="7"/>
      <c r="F836" s="10"/>
      <c r="G836" s="7"/>
    </row>
    <row r="837" spans="1:7" ht="20.25" customHeight="1">
      <c r="A837" s="10">
        <v>12813</v>
      </c>
      <c r="B837" s="10">
        <v>16813</v>
      </c>
      <c r="C837" s="10">
        <f t="shared" si="14"/>
        <v>12813</v>
      </c>
      <c r="D837" s="10" t="s">
        <v>22</v>
      </c>
      <c r="E837" s="7"/>
      <c r="F837" s="10"/>
      <c r="G837" s="7"/>
    </row>
    <row r="838" spans="1:7" ht="20.25" customHeight="1">
      <c r="A838" s="10">
        <v>12814</v>
      </c>
      <c r="B838" s="10">
        <v>16814</v>
      </c>
      <c r="C838" s="10">
        <f t="shared" si="14"/>
        <v>12814</v>
      </c>
      <c r="D838" s="10" t="s">
        <v>22</v>
      </c>
      <c r="E838" s="7"/>
      <c r="F838" s="10"/>
      <c r="G838" s="7"/>
    </row>
    <row r="839" spans="1:7" ht="20.25" customHeight="1">
      <c r="A839" s="10">
        <v>12815</v>
      </c>
      <c r="B839" s="10">
        <v>16815</v>
      </c>
      <c r="C839" s="10">
        <f t="shared" si="14"/>
        <v>12815</v>
      </c>
      <c r="D839" s="10" t="s">
        <v>22</v>
      </c>
      <c r="E839" s="7"/>
      <c r="F839" s="10"/>
      <c r="G839" s="7"/>
    </row>
    <row r="840" spans="1:7" ht="20.25" customHeight="1">
      <c r="A840" s="10">
        <v>12816</v>
      </c>
      <c r="B840" s="10">
        <v>16816</v>
      </c>
      <c r="C840" s="10">
        <f t="shared" si="14"/>
        <v>12816</v>
      </c>
      <c r="D840" s="10" t="s">
        <v>22</v>
      </c>
      <c r="E840" s="7"/>
      <c r="F840" s="10"/>
      <c r="G840" s="7"/>
    </row>
    <row r="841" spans="1:7" ht="20.25" customHeight="1">
      <c r="A841" s="10">
        <v>12817</v>
      </c>
      <c r="B841" s="10">
        <v>16817</v>
      </c>
      <c r="C841" s="10">
        <f t="shared" si="14"/>
        <v>12817</v>
      </c>
      <c r="D841" s="10" t="s">
        <v>22</v>
      </c>
      <c r="E841" s="7"/>
      <c r="F841" s="10"/>
      <c r="G841" s="7"/>
    </row>
    <row r="842" spans="1:7" ht="20.25" customHeight="1">
      <c r="A842" s="10">
        <v>12818</v>
      </c>
      <c r="B842" s="10">
        <v>16818</v>
      </c>
      <c r="C842" s="10">
        <f t="shared" si="14"/>
        <v>12818</v>
      </c>
      <c r="D842" s="10" t="s">
        <v>22</v>
      </c>
      <c r="E842" s="7"/>
      <c r="F842" s="10"/>
      <c r="G842" s="7"/>
    </row>
    <row r="843" spans="1:7" ht="20.25" customHeight="1">
      <c r="A843" s="10">
        <v>12819</v>
      </c>
      <c r="B843" s="10">
        <v>16819</v>
      </c>
      <c r="C843" s="10">
        <f t="shared" si="14"/>
        <v>12819</v>
      </c>
      <c r="D843" s="10" t="s">
        <v>22</v>
      </c>
      <c r="E843" s="7"/>
      <c r="F843" s="10"/>
      <c r="G843" s="7"/>
    </row>
    <row r="844" spans="1:7" ht="20.25" customHeight="1">
      <c r="A844" s="10">
        <v>12820</v>
      </c>
      <c r="B844" s="10">
        <v>16820</v>
      </c>
      <c r="C844" s="10">
        <f t="shared" si="14"/>
        <v>12820</v>
      </c>
      <c r="D844" s="10" t="s">
        <v>22</v>
      </c>
      <c r="E844" s="7"/>
      <c r="F844" s="10"/>
      <c r="G844" s="7"/>
    </row>
    <row r="845" spans="1:7" ht="20.25" customHeight="1">
      <c r="A845" s="10">
        <v>12821</v>
      </c>
      <c r="B845" s="10">
        <v>16821</v>
      </c>
      <c r="C845" s="10">
        <f t="shared" si="14"/>
        <v>12821</v>
      </c>
      <c r="D845" s="10" t="s">
        <v>22</v>
      </c>
      <c r="E845" s="7"/>
      <c r="F845" s="10"/>
      <c r="G845" s="7"/>
    </row>
    <row r="846" spans="1:7" ht="20.25" customHeight="1">
      <c r="A846" s="10">
        <v>12822</v>
      </c>
      <c r="B846" s="10">
        <v>16822</v>
      </c>
      <c r="C846" s="10">
        <f t="shared" si="14"/>
        <v>12822</v>
      </c>
      <c r="D846" s="10" t="s">
        <v>22</v>
      </c>
      <c r="E846" s="7"/>
      <c r="F846" s="10"/>
      <c r="G846" s="7"/>
    </row>
    <row r="847" spans="1:7" ht="20.25" customHeight="1">
      <c r="A847" s="10">
        <v>12823</v>
      </c>
      <c r="B847" s="10">
        <v>16823</v>
      </c>
      <c r="C847" s="10">
        <f t="shared" si="14"/>
        <v>12823</v>
      </c>
      <c r="D847" s="10" t="s">
        <v>22</v>
      </c>
      <c r="E847" s="7"/>
      <c r="F847" s="10"/>
      <c r="G847" s="7"/>
    </row>
    <row r="848" spans="1:7" ht="20.25" customHeight="1">
      <c r="A848" s="10">
        <v>12824</v>
      </c>
      <c r="B848" s="10">
        <v>16824</v>
      </c>
      <c r="C848" s="10">
        <f t="shared" si="14"/>
        <v>12824</v>
      </c>
      <c r="D848" s="10" t="s">
        <v>22</v>
      </c>
      <c r="E848" s="7"/>
      <c r="F848" s="10"/>
      <c r="G848" s="7"/>
    </row>
    <row r="849" spans="1:7" ht="20.25" customHeight="1">
      <c r="A849" s="10">
        <v>12825</v>
      </c>
      <c r="B849" s="10">
        <v>16825</v>
      </c>
      <c r="C849" s="10">
        <f t="shared" si="14"/>
        <v>12825</v>
      </c>
      <c r="D849" s="10" t="s">
        <v>22</v>
      </c>
      <c r="E849" s="7"/>
      <c r="F849" s="10"/>
      <c r="G849" s="7"/>
    </row>
    <row r="850" spans="1:7" ht="20.25" customHeight="1">
      <c r="A850" s="10">
        <v>12826</v>
      </c>
      <c r="B850" s="10">
        <v>16826</v>
      </c>
      <c r="C850" s="10">
        <f t="shared" si="14"/>
        <v>12826</v>
      </c>
      <c r="D850" s="10" t="s">
        <v>22</v>
      </c>
      <c r="E850" s="7"/>
      <c r="F850" s="10"/>
      <c r="G850" s="7"/>
    </row>
    <row r="851" spans="1:7" ht="20.25" customHeight="1">
      <c r="A851" s="10">
        <v>12827</v>
      </c>
      <c r="B851" s="10">
        <v>16827</v>
      </c>
      <c r="C851" s="10">
        <f t="shared" si="14"/>
        <v>12827</v>
      </c>
      <c r="D851" s="10" t="s">
        <v>22</v>
      </c>
      <c r="E851" s="7"/>
      <c r="F851" s="10"/>
      <c r="G851" s="7"/>
    </row>
    <row r="852" spans="1:7" ht="20.25" customHeight="1">
      <c r="A852" s="10">
        <v>12828</v>
      </c>
      <c r="B852" s="10">
        <v>16828</v>
      </c>
      <c r="C852" s="10">
        <f t="shared" si="14"/>
        <v>12828</v>
      </c>
      <c r="D852" s="10" t="s">
        <v>22</v>
      </c>
      <c r="E852" s="7"/>
      <c r="F852" s="10"/>
      <c r="G852" s="7"/>
    </row>
    <row r="853" spans="1:7" ht="20.25" customHeight="1">
      <c r="A853" s="10">
        <v>12829</v>
      </c>
      <c r="B853" s="10">
        <v>16829</v>
      </c>
      <c r="C853" s="10">
        <f t="shared" si="14"/>
        <v>12829</v>
      </c>
      <c r="D853" s="10" t="s">
        <v>22</v>
      </c>
      <c r="E853" s="9"/>
      <c r="F853" s="10"/>
      <c r="G853" s="7"/>
    </row>
    <row r="854" spans="1:7" ht="20.25" customHeight="1">
      <c r="A854" s="10">
        <v>12830</v>
      </c>
      <c r="B854" s="10">
        <v>16830</v>
      </c>
      <c r="C854" s="10">
        <f t="shared" si="14"/>
        <v>12830</v>
      </c>
      <c r="D854" s="10" t="s">
        <v>22</v>
      </c>
      <c r="E854" s="111"/>
      <c r="F854" s="10"/>
      <c r="G854" s="7"/>
    </row>
    <row r="855" spans="1:7" ht="20.25" customHeight="1">
      <c r="A855" s="10">
        <v>12831</v>
      </c>
      <c r="B855" s="10">
        <v>16831</v>
      </c>
      <c r="C855" s="10">
        <f t="shared" si="14"/>
        <v>12831</v>
      </c>
      <c r="D855" s="10" t="s">
        <v>22</v>
      </c>
      <c r="E855" s="7"/>
      <c r="F855" s="10"/>
      <c r="G855" s="7"/>
    </row>
    <row r="856" spans="1:7" ht="20.25" customHeight="1">
      <c r="A856" s="10">
        <v>12832</v>
      </c>
      <c r="B856" s="10">
        <v>16832</v>
      </c>
      <c r="C856" s="10">
        <f t="shared" si="14"/>
        <v>12832</v>
      </c>
      <c r="D856" s="10" t="s">
        <v>22</v>
      </c>
      <c r="E856" s="7"/>
      <c r="F856" s="10"/>
      <c r="G856" s="7"/>
    </row>
    <row r="857" spans="1:7" ht="20.25" customHeight="1">
      <c r="A857" s="10">
        <v>12833</v>
      </c>
      <c r="B857" s="10">
        <v>16833</v>
      </c>
      <c r="C857" s="10">
        <f t="shared" si="14"/>
        <v>12833</v>
      </c>
      <c r="D857" s="10" t="s">
        <v>22</v>
      </c>
      <c r="E857" s="7"/>
      <c r="F857" s="10"/>
      <c r="G857" s="7"/>
    </row>
    <row r="858" spans="1:7" ht="20.25" customHeight="1">
      <c r="A858" s="10">
        <v>12834</v>
      </c>
      <c r="B858" s="10">
        <v>16834</v>
      </c>
      <c r="C858" s="10">
        <f t="shared" si="14"/>
        <v>12834</v>
      </c>
      <c r="D858" s="10" t="s">
        <v>22</v>
      </c>
      <c r="E858" s="7"/>
      <c r="F858" s="10"/>
      <c r="G858" s="7"/>
    </row>
    <row r="859" spans="1:7" ht="20.25" customHeight="1">
      <c r="A859" s="10">
        <v>12835</v>
      </c>
      <c r="B859" s="10">
        <v>16835</v>
      </c>
      <c r="C859" s="10">
        <f t="shared" si="14"/>
        <v>12835</v>
      </c>
      <c r="D859" s="10" t="s">
        <v>22</v>
      </c>
      <c r="E859" s="7"/>
      <c r="F859" s="10"/>
      <c r="G859" s="7"/>
    </row>
    <row r="860" spans="1:7" ht="20.25" customHeight="1">
      <c r="A860" s="10">
        <v>12836</v>
      </c>
      <c r="B860" s="10">
        <v>16836</v>
      </c>
      <c r="C860" s="10">
        <f t="shared" si="14"/>
        <v>12836</v>
      </c>
      <c r="D860" s="10" t="s">
        <v>22</v>
      </c>
      <c r="E860" s="7"/>
      <c r="F860" s="10"/>
      <c r="G860" s="7"/>
    </row>
    <row r="861" spans="1:7" ht="20.25" customHeight="1">
      <c r="A861" s="10">
        <v>12837</v>
      </c>
      <c r="B861" s="10">
        <v>16837</v>
      </c>
      <c r="C861" s="10">
        <f t="shared" si="14"/>
        <v>12837</v>
      </c>
      <c r="D861" s="10" t="s">
        <v>22</v>
      </c>
      <c r="E861" s="7"/>
      <c r="F861" s="10"/>
      <c r="G861" s="7"/>
    </row>
    <row r="862" spans="1:7" ht="20.25" customHeight="1">
      <c r="A862" s="10">
        <v>12838</v>
      </c>
      <c r="B862" s="10">
        <v>16838</v>
      </c>
      <c r="C862" s="10">
        <f t="shared" si="14"/>
        <v>12838</v>
      </c>
      <c r="D862" s="10" t="s">
        <v>22</v>
      </c>
      <c r="E862" s="111"/>
      <c r="F862" s="10"/>
      <c r="G862" s="7"/>
    </row>
    <row r="863" spans="1:7" ht="20.25" customHeight="1">
      <c r="A863" s="10">
        <v>12839</v>
      </c>
      <c r="B863" s="10">
        <v>16839</v>
      </c>
      <c r="C863" s="10">
        <f t="shared" si="14"/>
        <v>12839</v>
      </c>
      <c r="D863" s="10" t="s">
        <v>22</v>
      </c>
      <c r="E863" s="7"/>
      <c r="F863" s="10"/>
      <c r="G863" s="7"/>
    </row>
    <row r="864" spans="1:7" ht="20.25" customHeight="1">
      <c r="A864" s="10">
        <v>12840</v>
      </c>
      <c r="B864" s="10">
        <v>16840</v>
      </c>
      <c r="C864" s="10">
        <f t="shared" si="14"/>
        <v>12840</v>
      </c>
      <c r="D864" s="10" t="s">
        <v>22</v>
      </c>
      <c r="E864" s="7"/>
      <c r="F864" s="10"/>
      <c r="G864" s="7"/>
    </row>
    <row r="865" spans="1:7" ht="20.25" customHeight="1">
      <c r="A865" s="10">
        <v>12841</v>
      </c>
      <c r="B865" s="10">
        <v>16841</v>
      </c>
      <c r="C865" s="10">
        <f t="shared" si="14"/>
        <v>12841</v>
      </c>
      <c r="D865" s="10" t="s">
        <v>22</v>
      </c>
      <c r="E865" s="7"/>
      <c r="F865" s="10"/>
      <c r="G865" s="7"/>
    </row>
    <row r="866" spans="1:7" ht="20.25" customHeight="1">
      <c r="A866" s="10">
        <v>12842</v>
      </c>
      <c r="B866" s="10">
        <v>16842</v>
      </c>
      <c r="C866" s="10">
        <f t="shared" si="14"/>
        <v>12842</v>
      </c>
      <c r="D866" s="10" t="s">
        <v>22</v>
      </c>
      <c r="E866" s="7"/>
      <c r="F866" s="10"/>
      <c r="G866" s="7"/>
    </row>
    <row r="867" spans="1:7" ht="20.25" customHeight="1">
      <c r="A867" s="10">
        <v>12843</v>
      </c>
      <c r="B867" s="10">
        <v>16843</v>
      </c>
      <c r="C867" s="10">
        <f t="shared" si="14"/>
        <v>12843</v>
      </c>
      <c r="D867" s="10" t="s">
        <v>22</v>
      </c>
      <c r="E867" s="7"/>
      <c r="F867" s="10"/>
      <c r="G867" s="7"/>
    </row>
    <row r="868" spans="1:7" ht="20.25" customHeight="1">
      <c r="A868" s="10">
        <v>12844</v>
      </c>
      <c r="B868" s="10">
        <v>16844</v>
      </c>
      <c r="C868" s="10">
        <f t="shared" si="14"/>
        <v>12844</v>
      </c>
      <c r="D868" s="10" t="s">
        <v>22</v>
      </c>
      <c r="E868" s="7"/>
      <c r="F868" s="10"/>
      <c r="G868" s="7"/>
    </row>
    <row r="869" spans="1:7" ht="20.25" customHeight="1">
      <c r="A869" s="10">
        <v>12845</v>
      </c>
      <c r="B869" s="10">
        <v>16845</v>
      </c>
      <c r="C869" s="10">
        <f t="shared" si="14"/>
        <v>12845</v>
      </c>
      <c r="D869" s="10" t="s">
        <v>22</v>
      </c>
      <c r="E869" s="7"/>
      <c r="F869" s="10"/>
      <c r="G869" s="7"/>
    </row>
    <row r="870" spans="1:7" ht="20.25" customHeight="1">
      <c r="A870" s="10">
        <v>12846</v>
      </c>
      <c r="B870" s="10">
        <v>16846</v>
      </c>
      <c r="C870" s="10">
        <f t="shared" si="14"/>
        <v>12846</v>
      </c>
      <c r="D870" s="10" t="s">
        <v>22</v>
      </c>
      <c r="E870" s="7"/>
      <c r="F870" s="10"/>
      <c r="G870" s="7"/>
    </row>
    <row r="871" spans="1:7" ht="20.25" customHeight="1">
      <c r="A871" s="10">
        <v>12847</v>
      </c>
      <c r="B871" s="10">
        <v>16847</v>
      </c>
      <c r="C871" s="10">
        <f t="shared" si="14"/>
        <v>12847</v>
      </c>
      <c r="D871" s="10" t="s">
        <v>22</v>
      </c>
      <c r="E871" s="7"/>
      <c r="F871" s="10"/>
      <c r="G871" s="7"/>
    </row>
    <row r="872" spans="1:7" ht="20.25" customHeight="1">
      <c r="A872" s="10">
        <v>12848</v>
      </c>
      <c r="B872" s="10">
        <v>16848</v>
      </c>
      <c r="C872" s="10">
        <f t="shared" si="14"/>
        <v>12848</v>
      </c>
      <c r="D872" s="10" t="s">
        <v>22</v>
      </c>
      <c r="E872" s="7"/>
      <c r="F872" s="10"/>
      <c r="G872" s="7"/>
    </row>
    <row r="873" spans="1:7" ht="20.25" customHeight="1">
      <c r="A873" s="10">
        <v>12849</v>
      </c>
      <c r="B873" s="10">
        <v>16849</v>
      </c>
      <c r="C873" s="10">
        <f t="shared" si="14"/>
        <v>12849</v>
      </c>
      <c r="D873" s="10" t="s">
        <v>22</v>
      </c>
      <c r="E873" s="7"/>
      <c r="F873" s="10"/>
      <c r="G873" s="7"/>
    </row>
    <row r="874" spans="1:7" ht="20.25" customHeight="1">
      <c r="A874" s="10">
        <v>12850</v>
      </c>
      <c r="B874" s="10">
        <v>16850</v>
      </c>
      <c r="C874" s="10">
        <f t="shared" si="14"/>
        <v>12850</v>
      </c>
      <c r="D874" s="10" t="s">
        <v>22</v>
      </c>
      <c r="E874" s="7"/>
      <c r="F874" s="10"/>
      <c r="G874" s="7"/>
    </row>
    <row r="875" spans="1:7" ht="20.25" customHeight="1">
      <c r="A875" s="10">
        <v>12851</v>
      </c>
      <c r="B875" s="10">
        <v>16851</v>
      </c>
      <c r="C875" s="10">
        <f t="shared" si="14"/>
        <v>12851</v>
      </c>
      <c r="D875" s="10" t="s">
        <v>22</v>
      </c>
      <c r="E875" s="7"/>
      <c r="F875" s="10"/>
      <c r="G875" s="7"/>
    </row>
    <row r="876" spans="1:7" ht="20.25" customHeight="1">
      <c r="A876" s="10">
        <v>12852</v>
      </c>
      <c r="B876" s="10">
        <v>16852</v>
      </c>
      <c r="C876" s="10">
        <f t="shared" si="14"/>
        <v>12852</v>
      </c>
      <c r="D876" s="10" t="s">
        <v>22</v>
      </c>
      <c r="E876" s="7"/>
      <c r="F876" s="10"/>
      <c r="G876" s="7"/>
    </row>
    <row r="877" spans="1:7" ht="20.25" customHeight="1">
      <c r="A877" s="10">
        <v>12853</v>
      </c>
      <c r="B877" s="10">
        <v>16853</v>
      </c>
      <c r="C877" s="10">
        <f t="shared" si="14"/>
        <v>12853</v>
      </c>
      <c r="D877" s="10" t="s">
        <v>22</v>
      </c>
      <c r="E877" s="7"/>
      <c r="F877" s="10"/>
      <c r="G877" s="7"/>
    </row>
    <row r="878" spans="1:7" ht="20.25" customHeight="1">
      <c r="A878" s="10">
        <v>12854</v>
      </c>
      <c r="B878" s="10">
        <v>16854</v>
      </c>
      <c r="C878" s="10">
        <f t="shared" si="14"/>
        <v>12854</v>
      </c>
      <c r="D878" s="10" t="s">
        <v>22</v>
      </c>
      <c r="E878" s="7"/>
      <c r="F878" s="10"/>
      <c r="G878" s="7"/>
    </row>
    <row r="879" spans="1:7" ht="20.25" customHeight="1">
      <c r="A879" s="10">
        <v>12855</v>
      </c>
      <c r="B879" s="10">
        <v>16855</v>
      </c>
      <c r="C879" s="10">
        <f t="shared" si="14"/>
        <v>12855</v>
      </c>
      <c r="D879" s="10" t="s">
        <v>22</v>
      </c>
      <c r="E879" s="22"/>
      <c r="F879" s="10"/>
      <c r="G879" s="7"/>
    </row>
    <row r="880" spans="1:7" ht="20.25" customHeight="1">
      <c r="A880" s="10">
        <v>12856</v>
      </c>
      <c r="B880" s="10">
        <v>16856</v>
      </c>
      <c r="C880" s="10">
        <f t="shared" si="14"/>
        <v>12856</v>
      </c>
      <c r="D880" s="10" t="s">
        <v>22</v>
      </c>
      <c r="E880" s="7"/>
      <c r="F880" s="10"/>
      <c r="G880" s="7"/>
    </row>
    <row r="881" spans="1:7" ht="20.25" customHeight="1">
      <c r="A881" s="10">
        <v>12857</v>
      </c>
      <c r="B881" s="10">
        <v>16857</v>
      </c>
      <c r="C881" s="10">
        <f t="shared" si="14"/>
        <v>12857</v>
      </c>
      <c r="D881" s="10" t="s">
        <v>22</v>
      </c>
      <c r="E881" s="7"/>
      <c r="F881" s="10"/>
      <c r="G881" s="7"/>
    </row>
    <row r="882" spans="1:7" ht="20.25" customHeight="1">
      <c r="A882" s="10">
        <v>12858</v>
      </c>
      <c r="B882" s="10">
        <v>16858</v>
      </c>
      <c r="C882" s="10">
        <f t="shared" si="14"/>
        <v>12858</v>
      </c>
      <c r="D882" s="10" t="s">
        <v>22</v>
      </c>
      <c r="E882" s="7"/>
      <c r="F882" s="10"/>
      <c r="G882" s="7"/>
    </row>
    <row r="883" spans="1:7" ht="20.25" customHeight="1">
      <c r="A883" s="10">
        <v>12859</v>
      </c>
      <c r="B883" s="10">
        <v>16859</v>
      </c>
      <c r="C883" s="10">
        <f t="shared" si="14"/>
        <v>12859</v>
      </c>
      <c r="D883" s="10" t="s">
        <v>22</v>
      </c>
      <c r="E883" s="7"/>
      <c r="F883" s="10"/>
      <c r="G883" s="7"/>
    </row>
    <row r="884" spans="1:7" ht="20.25" customHeight="1">
      <c r="A884" s="10">
        <v>12860</v>
      </c>
      <c r="B884" s="10">
        <v>16860</v>
      </c>
      <c r="C884" s="10">
        <f t="shared" si="14"/>
        <v>12860</v>
      </c>
      <c r="D884" s="10" t="s">
        <v>22</v>
      </c>
      <c r="E884" s="7"/>
      <c r="F884" s="10"/>
      <c r="G884" s="7"/>
    </row>
    <row r="885" spans="1:7" ht="20.25" customHeight="1">
      <c r="A885" s="10">
        <v>12861</v>
      </c>
      <c r="B885" s="10">
        <v>16861</v>
      </c>
      <c r="C885" s="10">
        <f t="shared" si="14"/>
        <v>12861</v>
      </c>
      <c r="D885" s="10" t="s">
        <v>22</v>
      </c>
      <c r="E885" s="7"/>
      <c r="F885" s="10"/>
      <c r="G885" s="7"/>
    </row>
    <row r="886" spans="1:7" ht="20.25" customHeight="1">
      <c r="A886" s="10">
        <v>12862</v>
      </c>
      <c r="B886" s="10">
        <v>16862</v>
      </c>
      <c r="C886" s="10">
        <f t="shared" si="14"/>
        <v>12862</v>
      </c>
      <c r="D886" s="10" t="s">
        <v>22</v>
      </c>
      <c r="E886" s="7"/>
      <c r="F886" s="10"/>
      <c r="G886" s="7"/>
    </row>
    <row r="887" spans="1:7" ht="20.25" customHeight="1">
      <c r="A887" s="10">
        <v>12863</v>
      </c>
      <c r="B887" s="10">
        <v>16863</v>
      </c>
      <c r="C887" s="10">
        <f t="shared" si="14"/>
        <v>12863</v>
      </c>
      <c r="D887" s="10" t="s">
        <v>22</v>
      </c>
      <c r="E887" s="7"/>
      <c r="F887" s="10"/>
      <c r="G887" s="7"/>
    </row>
    <row r="888" spans="1:7" ht="20.25" customHeight="1">
      <c r="A888" s="10">
        <v>12864</v>
      </c>
      <c r="B888" s="10">
        <v>16864</v>
      </c>
      <c r="C888" s="10">
        <f t="shared" si="14"/>
        <v>12864</v>
      </c>
      <c r="D888" s="10" t="s">
        <v>22</v>
      </c>
      <c r="E888" s="7"/>
      <c r="F888" s="10"/>
      <c r="G888" s="7"/>
    </row>
    <row r="889" spans="1:7" ht="20.25" customHeight="1">
      <c r="A889" s="10">
        <v>12865</v>
      </c>
      <c r="B889" s="10">
        <v>16865</v>
      </c>
      <c r="C889" s="10">
        <f t="shared" si="14"/>
        <v>12865</v>
      </c>
      <c r="D889" s="10" t="s">
        <v>22</v>
      </c>
      <c r="E889" s="7"/>
      <c r="F889" s="10"/>
      <c r="G889" s="7"/>
    </row>
    <row r="890" spans="1:7" ht="20.25" customHeight="1">
      <c r="A890" s="10">
        <v>12866</v>
      </c>
      <c r="B890" s="10">
        <v>16866</v>
      </c>
      <c r="C890" s="10">
        <f t="shared" si="14"/>
        <v>12866</v>
      </c>
      <c r="D890" s="10" t="s">
        <v>22</v>
      </c>
      <c r="E890" s="7"/>
      <c r="F890" s="10"/>
      <c r="G890" s="7"/>
    </row>
    <row r="891" spans="1:7" ht="20.25" customHeight="1">
      <c r="A891" s="10">
        <v>12867</v>
      </c>
      <c r="B891" s="10">
        <v>16867</v>
      </c>
      <c r="C891" s="10">
        <f t="shared" si="14"/>
        <v>12867</v>
      </c>
      <c r="D891" s="10" t="s">
        <v>22</v>
      </c>
      <c r="E891" s="107"/>
      <c r="F891" s="10"/>
      <c r="G891" s="7"/>
    </row>
    <row r="892" spans="1:7" ht="20.25" customHeight="1">
      <c r="A892" s="10">
        <v>12868</v>
      </c>
      <c r="B892" s="10">
        <v>16868</v>
      </c>
      <c r="C892" s="10">
        <f t="shared" si="14"/>
        <v>12868</v>
      </c>
      <c r="D892" s="10" t="s">
        <v>22</v>
      </c>
      <c r="E892" s="7"/>
      <c r="F892" s="10"/>
      <c r="G892" s="7"/>
    </row>
    <row r="893" spans="1:7" ht="20.25" customHeight="1">
      <c r="A893" s="10">
        <v>12869</v>
      </c>
      <c r="B893" s="10">
        <v>16869</v>
      </c>
      <c r="C893" s="10">
        <f t="shared" si="14"/>
        <v>12869</v>
      </c>
      <c r="D893" s="10" t="s">
        <v>22</v>
      </c>
      <c r="E893" s="7"/>
      <c r="F893" s="10"/>
      <c r="G893" s="7"/>
    </row>
    <row r="894" spans="1:7" ht="20.25" customHeight="1">
      <c r="A894" s="10">
        <v>12870</v>
      </c>
      <c r="B894" s="10">
        <v>16870</v>
      </c>
      <c r="C894" s="10">
        <f t="shared" si="14"/>
        <v>12870</v>
      </c>
      <c r="D894" s="10" t="s">
        <v>22</v>
      </c>
      <c r="E894" s="7"/>
      <c r="F894" s="10"/>
      <c r="G894" s="7"/>
    </row>
    <row r="895" spans="1:7" ht="20.25" customHeight="1">
      <c r="A895" s="10">
        <v>12871</v>
      </c>
      <c r="B895" s="10">
        <v>16871</v>
      </c>
      <c r="C895" s="10">
        <f t="shared" si="14"/>
        <v>12871</v>
      </c>
      <c r="D895" s="10" t="s">
        <v>22</v>
      </c>
      <c r="E895" s="7"/>
      <c r="F895" s="10"/>
      <c r="G895" s="7"/>
    </row>
    <row r="896" spans="1:7" ht="20.25" customHeight="1">
      <c r="A896" s="10">
        <v>12872</v>
      </c>
      <c r="B896" s="10">
        <v>16872</v>
      </c>
      <c r="C896" s="10">
        <f t="shared" si="14"/>
        <v>12872</v>
      </c>
      <c r="D896" s="10" t="s">
        <v>22</v>
      </c>
      <c r="E896" s="7"/>
      <c r="F896" s="10"/>
      <c r="G896" s="7"/>
    </row>
    <row r="897" spans="1:7" ht="20.25" customHeight="1">
      <c r="A897" s="10">
        <v>12873</v>
      </c>
      <c r="B897" s="10">
        <v>16873</v>
      </c>
      <c r="C897" s="10">
        <f t="shared" si="14"/>
        <v>12873</v>
      </c>
      <c r="D897" s="10" t="s">
        <v>22</v>
      </c>
      <c r="E897" s="7"/>
      <c r="F897" s="10"/>
      <c r="G897" s="7"/>
    </row>
    <row r="898" spans="1:7" ht="20.25" customHeight="1">
      <c r="A898" s="10">
        <v>12874</v>
      </c>
      <c r="B898" s="10">
        <v>16874</v>
      </c>
      <c r="C898" s="10">
        <f t="shared" si="14"/>
        <v>12874</v>
      </c>
      <c r="D898" s="10" t="s">
        <v>22</v>
      </c>
      <c r="E898" s="107"/>
      <c r="F898" s="10"/>
      <c r="G898" s="7"/>
    </row>
    <row r="899" spans="1:7" ht="20.25" customHeight="1">
      <c r="A899" s="10">
        <v>12875</v>
      </c>
      <c r="B899" s="10">
        <v>16875</v>
      </c>
      <c r="C899" s="10">
        <f t="shared" ref="C899:C962" si="15">IF(ISERROR(FIND("B_Epic",E899)),A899,A899+10000)</f>
        <v>12875</v>
      </c>
      <c r="D899" s="10" t="s">
        <v>22</v>
      </c>
      <c r="E899" s="7"/>
      <c r="F899" s="10"/>
      <c r="G899" s="7"/>
    </row>
    <row r="900" spans="1:7" ht="20.25" customHeight="1">
      <c r="A900" s="10">
        <v>12876</v>
      </c>
      <c r="B900" s="10">
        <v>16876</v>
      </c>
      <c r="C900" s="10">
        <f t="shared" si="15"/>
        <v>12876</v>
      </c>
      <c r="D900" s="10" t="s">
        <v>22</v>
      </c>
      <c r="E900" s="7"/>
      <c r="F900" s="10"/>
      <c r="G900" s="7"/>
    </row>
    <row r="901" spans="1:7" ht="20.25" customHeight="1">
      <c r="A901" s="10">
        <v>12877</v>
      </c>
      <c r="B901" s="10">
        <v>16877</v>
      </c>
      <c r="C901" s="10">
        <f t="shared" si="15"/>
        <v>12877</v>
      </c>
      <c r="D901" s="10" t="s">
        <v>22</v>
      </c>
      <c r="E901" s="7"/>
      <c r="F901" s="10"/>
      <c r="G901" s="7"/>
    </row>
    <row r="902" spans="1:7" ht="20.25" customHeight="1">
      <c r="A902" s="10">
        <v>12878</v>
      </c>
      <c r="B902" s="10">
        <v>16878</v>
      </c>
      <c r="C902" s="10">
        <f t="shared" si="15"/>
        <v>12878</v>
      </c>
      <c r="D902" s="10" t="s">
        <v>22</v>
      </c>
      <c r="E902" s="7"/>
      <c r="F902" s="10"/>
      <c r="G902" s="7"/>
    </row>
    <row r="903" spans="1:7" ht="20.25" customHeight="1">
      <c r="A903" s="10">
        <v>12879</v>
      </c>
      <c r="B903" s="10">
        <v>16879</v>
      </c>
      <c r="C903" s="10">
        <f t="shared" si="15"/>
        <v>12879</v>
      </c>
      <c r="D903" s="10" t="s">
        <v>22</v>
      </c>
      <c r="E903" s="7"/>
      <c r="F903" s="10"/>
      <c r="G903" s="7"/>
    </row>
    <row r="904" spans="1:7" ht="20.25" customHeight="1">
      <c r="A904" s="10">
        <v>12880</v>
      </c>
      <c r="B904" s="10">
        <v>16880</v>
      </c>
      <c r="C904" s="10">
        <f t="shared" si="15"/>
        <v>12880</v>
      </c>
      <c r="D904" s="10" t="s">
        <v>22</v>
      </c>
      <c r="E904" s="7"/>
      <c r="F904" s="10"/>
      <c r="G904" s="7"/>
    </row>
    <row r="905" spans="1:7" ht="20.25" customHeight="1">
      <c r="A905" s="10">
        <v>12881</v>
      </c>
      <c r="B905" s="10">
        <v>16881</v>
      </c>
      <c r="C905" s="10">
        <f t="shared" si="15"/>
        <v>12881</v>
      </c>
      <c r="D905" s="10" t="s">
        <v>22</v>
      </c>
      <c r="E905" s="7"/>
      <c r="F905" s="10"/>
      <c r="G905" s="7"/>
    </row>
    <row r="906" spans="1:7" ht="20.25" customHeight="1">
      <c r="A906" s="10">
        <v>12882</v>
      </c>
      <c r="B906" s="10">
        <v>16882</v>
      </c>
      <c r="C906" s="10">
        <f t="shared" si="15"/>
        <v>12882</v>
      </c>
      <c r="D906" s="10" t="s">
        <v>22</v>
      </c>
      <c r="E906" s="7"/>
      <c r="F906" s="10"/>
      <c r="G906" s="7"/>
    </row>
    <row r="907" spans="1:7" ht="20.25" customHeight="1">
      <c r="A907" s="10">
        <v>12883</v>
      </c>
      <c r="B907" s="10">
        <v>16883</v>
      </c>
      <c r="C907" s="10">
        <f t="shared" si="15"/>
        <v>12883</v>
      </c>
      <c r="D907" s="10" t="s">
        <v>22</v>
      </c>
      <c r="E907" s="7"/>
      <c r="F907" s="10"/>
      <c r="G907" s="7"/>
    </row>
    <row r="908" spans="1:7" ht="20.25" customHeight="1">
      <c r="A908" s="10">
        <v>12884</v>
      </c>
      <c r="B908" s="10">
        <v>16884</v>
      </c>
      <c r="C908" s="10">
        <f t="shared" si="15"/>
        <v>12884</v>
      </c>
      <c r="D908" s="10" t="s">
        <v>22</v>
      </c>
      <c r="E908" s="7"/>
      <c r="F908" s="10"/>
      <c r="G908" s="7"/>
    </row>
    <row r="909" spans="1:7" ht="20.25" customHeight="1">
      <c r="A909" s="10">
        <v>12885</v>
      </c>
      <c r="B909" s="10">
        <v>16885</v>
      </c>
      <c r="C909" s="10">
        <f t="shared" si="15"/>
        <v>12885</v>
      </c>
      <c r="D909" s="10" t="s">
        <v>22</v>
      </c>
      <c r="E909" s="7"/>
      <c r="F909" s="10"/>
      <c r="G909" s="7"/>
    </row>
    <row r="910" spans="1:7" ht="20.25" customHeight="1">
      <c r="A910" s="10">
        <v>12886</v>
      </c>
      <c r="B910" s="10">
        <v>16886</v>
      </c>
      <c r="C910" s="10">
        <f t="shared" si="15"/>
        <v>12886</v>
      </c>
      <c r="D910" s="10" t="s">
        <v>22</v>
      </c>
      <c r="E910" s="7"/>
      <c r="F910" s="10"/>
      <c r="G910" s="7"/>
    </row>
    <row r="911" spans="1:7" ht="20.25" customHeight="1">
      <c r="A911" s="10">
        <v>12887</v>
      </c>
      <c r="B911" s="10">
        <v>16887</v>
      </c>
      <c r="C911" s="10">
        <f t="shared" si="15"/>
        <v>12887</v>
      </c>
      <c r="D911" s="10" t="s">
        <v>22</v>
      </c>
      <c r="E911" s="7"/>
      <c r="F911" s="10"/>
      <c r="G911" s="7"/>
    </row>
    <row r="912" spans="1:7" ht="20.25" customHeight="1">
      <c r="A912" s="10">
        <v>12888</v>
      </c>
      <c r="B912" s="10">
        <v>16888</v>
      </c>
      <c r="C912" s="10">
        <f t="shared" si="15"/>
        <v>12888</v>
      </c>
      <c r="D912" s="10" t="s">
        <v>22</v>
      </c>
      <c r="E912" s="7"/>
      <c r="F912" s="10"/>
      <c r="G912" s="7"/>
    </row>
    <row r="913" spans="1:7" ht="20.25" customHeight="1">
      <c r="A913" s="10">
        <v>12889</v>
      </c>
      <c r="B913" s="10">
        <v>16889</v>
      </c>
      <c r="C913" s="10">
        <f t="shared" si="15"/>
        <v>12889</v>
      </c>
      <c r="D913" s="10" t="s">
        <v>22</v>
      </c>
      <c r="E913" s="7"/>
      <c r="F913" s="10"/>
      <c r="G913" s="7"/>
    </row>
    <row r="914" spans="1:7" ht="20.25" customHeight="1">
      <c r="A914" s="10">
        <v>12890</v>
      </c>
      <c r="B914" s="10">
        <v>16890</v>
      </c>
      <c r="C914" s="10">
        <f t="shared" si="15"/>
        <v>12890</v>
      </c>
      <c r="D914" s="10" t="s">
        <v>22</v>
      </c>
      <c r="E914" s="7"/>
      <c r="F914" s="10"/>
      <c r="G914" s="7"/>
    </row>
    <row r="915" spans="1:7" ht="20.25" customHeight="1">
      <c r="A915" s="10">
        <v>12891</v>
      </c>
      <c r="B915" s="10">
        <v>16891</v>
      </c>
      <c r="C915" s="10">
        <f t="shared" si="15"/>
        <v>12891</v>
      </c>
      <c r="D915" s="10" t="s">
        <v>22</v>
      </c>
      <c r="E915" s="7"/>
      <c r="F915" s="10"/>
      <c r="G915" s="7"/>
    </row>
    <row r="916" spans="1:7" ht="20.25" customHeight="1">
      <c r="A916" s="10">
        <v>12892</v>
      </c>
      <c r="B916" s="10">
        <v>16892</v>
      </c>
      <c r="C916" s="10">
        <f t="shared" si="15"/>
        <v>12892</v>
      </c>
      <c r="D916" s="10" t="s">
        <v>22</v>
      </c>
      <c r="E916" s="7"/>
      <c r="F916" s="10"/>
      <c r="G916" s="7"/>
    </row>
    <row r="917" spans="1:7" ht="20.25" customHeight="1">
      <c r="A917" s="10">
        <v>12893</v>
      </c>
      <c r="B917" s="10">
        <v>16893</v>
      </c>
      <c r="C917" s="10">
        <f t="shared" si="15"/>
        <v>12893</v>
      </c>
      <c r="D917" s="10" t="s">
        <v>22</v>
      </c>
      <c r="E917" s="125"/>
      <c r="F917" s="10"/>
      <c r="G917" s="7"/>
    </row>
    <row r="918" spans="1:7" ht="20.25" customHeight="1">
      <c r="A918" s="10">
        <v>12894</v>
      </c>
      <c r="B918" s="10">
        <v>16894</v>
      </c>
      <c r="C918" s="10">
        <f t="shared" si="15"/>
        <v>12894</v>
      </c>
      <c r="D918" s="10" t="s">
        <v>22</v>
      </c>
      <c r="E918" s="7"/>
      <c r="F918" s="10"/>
      <c r="G918" s="7"/>
    </row>
    <row r="919" spans="1:7" ht="20.25" customHeight="1">
      <c r="A919" s="10">
        <v>12895</v>
      </c>
      <c r="B919" s="10">
        <v>16895</v>
      </c>
      <c r="C919" s="10">
        <f t="shared" si="15"/>
        <v>12895</v>
      </c>
      <c r="D919" s="10" t="s">
        <v>22</v>
      </c>
      <c r="E919" s="7"/>
      <c r="F919" s="10"/>
      <c r="G919" s="7"/>
    </row>
    <row r="920" spans="1:7" ht="20.25" customHeight="1">
      <c r="A920" s="10">
        <v>12896</v>
      </c>
      <c r="B920" s="10">
        <v>16896</v>
      </c>
      <c r="C920" s="10">
        <f t="shared" si="15"/>
        <v>12896</v>
      </c>
      <c r="D920" s="10" t="s">
        <v>22</v>
      </c>
      <c r="E920" s="7"/>
      <c r="F920" s="10"/>
      <c r="G920" s="7"/>
    </row>
    <row r="921" spans="1:7" ht="20.25" customHeight="1">
      <c r="A921" s="10">
        <v>12897</v>
      </c>
      <c r="B921" s="10">
        <v>16897</v>
      </c>
      <c r="C921" s="10">
        <f t="shared" si="15"/>
        <v>12897</v>
      </c>
      <c r="D921" s="10" t="s">
        <v>22</v>
      </c>
      <c r="E921" s="7"/>
      <c r="F921" s="10"/>
      <c r="G921" s="7"/>
    </row>
    <row r="922" spans="1:7" ht="20.25" customHeight="1">
      <c r="A922" s="10">
        <v>12898</v>
      </c>
      <c r="B922" s="10">
        <v>16898</v>
      </c>
      <c r="C922" s="10">
        <f t="shared" si="15"/>
        <v>12898</v>
      </c>
      <c r="D922" s="10" t="s">
        <v>22</v>
      </c>
      <c r="E922" s="7"/>
      <c r="F922" s="10"/>
      <c r="G922" s="7"/>
    </row>
    <row r="923" spans="1:7" ht="20.25" customHeight="1">
      <c r="A923" s="10">
        <v>12899</v>
      </c>
      <c r="B923" s="10">
        <v>16899</v>
      </c>
      <c r="C923" s="10">
        <f t="shared" si="15"/>
        <v>12899</v>
      </c>
      <c r="D923" s="10" t="s">
        <v>22</v>
      </c>
      <c r="E923" s="7"/>
      <c r="F923" s="10"/>
      <c r="G923" s="7"/>
    </row>
    <row r="924" spans="1:7" ht="20.25" customHeight="1">
      <c r="A924" s="10">
        <v>12900</v>
      </c>
      <c r="B924" s="10">
        <v>16900</v>
      </c>
      <c r="C924" s="10">
        <f t="shared" si="15"/>
        <v>12900</v>
      </c>
      <c r="D924" s="10" t="s">
        <v>22</v>
      </c>
      <c r="E924" s="7" t="s">
        <v>523</v>
      </c>
      <c r="F924" s="7"/>
      <c r="G924" s="7"/>
    </row>
    <row r="925" spans="1:7" ht="20.25" customHeight="1">
      <c r="A925" s="10">
        <v>12901</v>
      </c>
      <c r="B925" s="10">
        <v>16901</v>
      </c>
      <c r="C925" s="10">
        <f t="shared" si="15"/>
        <v>12901</v>
      </c>
      <c r="D925" s="10" t="s">
        <v>22</v>
      </c>
      <c r="E925" s="7" t="s">
        <v>524</v>
      </c>
      <c r="F925" s="5"/>
      <c r="G925" s="7"/>
    </row>
    <row r="926" spans="1:7" ht="20.25" customHeight="1">
      <c r="A926" s="10">
        <v>12902</v>
      </c>
      <c r="B926" s="10">
        <v>16902</v>
      </c>
      <c r="C926" s="10">
        <f t="shared" si="15"/>
        <v>12902</v>
      </c>
      <c r="D926" s="10" t="s">
        <v>22</v>
      </c>
      <c r="E926" s="7"/>
      <c r="F926" s="7"/>
      <c r="G926" s="7"/>
    </row>
    <row r="927" spans="1:7" ht="20.25" customHeight="1">
      <c r="A927" s="10">
        <v>12903</v>
      </c>
      <c r="B927" s="10">
        <v>16903</v>
      </c>
      <c r="C927" s="10">
        <f t="shared" si="15"/>
        <v>12903</v>
      </c>
      <c r="D927" s="10" t="s">
        <v>22</v>
      </c>
      <c r="E927" s="7"/>
      <c r="F927" s="7"/>
      <c r="G927" s="7"/>
    </row>
    <row r="928" spans="1:7" ht="20.25" customHeight="1">
      <c r="A928" s="10">
        <v>12904</v>
      </c>
      <c r="B928" s="10">
        <v>16904</v>
      </c>
      <c r="C928" s="10">
        <f t="shared" si="15"/>
        <v>12904</v>
      </c>
      <c r="D928" s="10" t="s">
        <v>22</v>
      </c>
      <c r="E928" s="7" t="s">
        <v>525</v>
      </c>
      <c r="F928" s="7"/>
      <c r="G928" s="7"/>
    </row>
    <row r="929" spans="1:7" ht="20.25" customHeight="1">
      <c r="A929" s="10">
        <v>12905</v>
      </c>
      <c r="B929" s="10">
        <v>16905</v>
      </c>
      <c r="C929" s="10">
        <f t="shared" si="15"/>
        <v>12905</v>
      </c>
      <c r="D929" s="10" t="s">
        <v>22</v>
      </c>
      <c r="E929" s="7"/>
      <c r="F929" s="7"/>
      <c r="G929" s="7"/>
    </row>
    <row r="930" spans="1:7" ht="20.25" customHeight="1">
      <c r="A930" s="10">
        <v>12906</v>
      </c>
      <c r="B930" s="10">
        <v>16906</v>
      </c>
      <c r="C930" s="10">
        <f t="shared" si="15"/>
        <v>12906</v>
      </c>
      <c r="D930" s="10" t="s">
        <v>22</v>
      </c>
      <c r="E930" s="7"/>
      <c r="F930" s="7"/>
      <c r="G930" s="7"/>
    </row>
    <row r="931" spans="1:7" ht="20.25" customHeight="1">
      <c r="A931" s="10">
        <v>12907</v>
      </c>
      <c r="B931" s="10">
        <v>16907</v>
      </c>
      <c r="C931" s="10">
        <f t="shared" si="15"/>
        <v>12907</v>
      </c>
      <c r="D931" s="10" t="s">
        <v>22</v>
      </c>
      <c r="E931" s="7"/>
      <c r="F931" s="7"/>
      <c r="G931" s="7"/>
    </row>
    <row r="932" spans="1:7" ht="20.25" customHeight="1">
      <c r="A932" s="10">
        <v>12908</v>
      </c>
      <c r="B932" s="10">
        <v>16908</v>
      </c>
      <c r="C932" s="10">
        <f t="shared" si="15"/>
        <v>12908</v>
      </c>
      <c r="D932" s="10" t="s">
        <v>22</v>
      </c>
      <c r="E932" s="7"/>
      <c r="F932" s="7"/>
      <c r="G932" s="7"/>
    </row>
    <row r="933" spans="1:7" ht="20.25" customHeight="1">
      <c r="A933" s="10">
        <v>12909</v>
      </c>
      <c r="B933" s="10">
        <v>16909</v>
      </c>
      <c r="C933" s="10">
        <f t="shared" si="15"/>
        <v>12909</v>
      </c>
      <c r="D933" s="10" t="s">
        <v>22</v>
      </c>
      <c r="E933" s="7"/>
      <c r="F933" s="7"/>
      <c r="G933" s="7"/>
    </row>
    <row r="934" spans="1:7" ht="20.25" customHeight="1">
      <c r="A934" s="10">
        <v>12910</v>
      </c>
      <c r="B934" s="10">
        <v>16910</v>
      </c>
      <c r="C934" s="10">
        <f t="shared" si="15"/>
        <v>12910</v>
      </c>
      <c r="D934" s="10" t="s">
        <v>22</v>
      </c>
      <c r="E934" s="7"/>
      <c r="F934" s="7"/>
      <c r="G934" s="7"/>
    </row>
    <row r="935" spans="1:7" ht="20.25" customHeight="1">
      <c r="A935" s="10">
        <v>12911</v>
      </c>
      <c r="B935" s="10">
        <v>16911</v>
      </c>
      <c r="C935" s="10">
        <f t="shared" si="15"/>
        <v>12911</v>
      </c>
      <c r="D935" s="10" t="s">
        <v>22</v>
      </c>
      <c r="E935" s="7"/>
      <c r="F935" s="7"/>
      <c r="G935" s="7"/>
    </row>
    <row r="936" spans="1:7" ht="20.25" customHeight="1">
      <c r="A936" s="10">
        <v>12912</v>
      </c>
      <c r="B936" s="10">
        <v>16912</v>
      </c>
      <c r="C936" s="10">
        <f t="shared" si="15"/>
        <v>12912</v>
      </c>
      <c r="D936" s="10" t="s">
        <v>22</v>
      </c>
      <c r="E936" s="7"/>
      <c r="F936" s="7"/>
      <c r="G936" s="7"/>
    </row>
    <row r="937" spans="1:7" ht="20.25" customHeight="1">
      <c r="A937" s="10">
        <v>12913</v>
      </c>
      <c r="B937" s="10">
        <v>16913</v>
      </c>
      <c r="C937" s="10">
        <f t="shared" si="15"/>
        <v>12913</v>
      </c>
      <c r="D937" s="10" t="s">
        <v>22</v>
      </c>
      <c r="E937" s="7"/>
      <c r="F937" s="7"/>
      <c r="G937" s="7"/>
    </row>
    <row r="938" spans="1:7" ht="20.25" customHeight="1">
      <c r="A938" s="10">
        <v>12914</v>
      </c>
      <c r="B938" s="10">
        <v>16914</v>
      </c>
      <c r="C938" s="10">
        <f t="shared" si="15"/>
        <v>12914</v>
      </c>
      <c r="D938" s="10" t="s">
        <v>22</v>
      </c>
      <c r="E938" s="7"/>
      <c r="F938" s="7"/>
      <c r="G938" s="7"/>
    </row>
    <row r="939" spans="1:7" ht="20.25" customHeight="1">
      <c r="A939" s="10">
        <v>12915</v>
      </c>
      <c r="B939" s="10">
        <v>16915</v>
      </c>
      <c r="C939" s="10">
        <f t="shared" si="15"/>
        <v>12915</v>
      </c>
      <c r="D939" s="10" t="s">
        <v>22</v>
      </c>
      <c r="E939" s="7"/>
      <c r="F939" s="7"/>
      <c r="G939" s="7"/>
    </row>
    <row r="940" spans="1:7" ht="20.25" customHeight="1">
      <c r="A940" s="10">
        <v>12916</v>
      </c>
      <c r="B940" s="10">
        <v>16916</v>
      </c>
      <c r="C940" s="10">
        <f t="shared" si="15"/>
        <v>12916</v>
      </c>
      <c r="D940" s="10" t="s">
        <v>22</v>
      </c>
      <c r="E940" s="7"/>
      <c r="F940" s="7"/>
      <c r="G940" s="7"/>
    </row>
    <row r="941" spans="1:7" ht="20.25" customHeight="1">
      <c r="A941" s="10">
        <v>12917</v>
      </c>
      <c r="B941" s="10">
        <v>16917</v>
      </c>
      <c r="C941" s="10">
        <f t="shared" si="15"/>
        <v>12917</v>
      </c>
      <c r="D941" s="10" t="s">
        <v>67</v>
      </c>
      <c r="E941" s="7" t="s">
        <v>526</v>
      </c>
      <c r="F941" s="7"/>
      <c r="G941" s="7"/>
    </row>
    <row r="942" spans="1:7" ht="20.25" customHeight="1">
      <c r="A942" s="10">
        <v>12918</v>
      </c>
      <c r="B942" s="10">
        <v>16918</v>
      </c>
      <c r="C942" s="10">
        <f t="shared" si="15"/>
        <v>12918</v>
      </c>
      <c r="D942" s="10" t="s">
        <v>67</v>
      </c>
      <c r="E942" s="111" t="s">
        <v>527</v>
      </c>
      <c r="F942" s="7"/>
      <c r="G942" s="7"/>
    </row>
    <row r="943" spans="1:7" ht="20.25" customHeight="1">
      <c r="A943" s="10">
        <v>12919</v>
      </c>
      <c r="B943" s="10">
        <v>16919</v>
      </c>
      <c r="C943" s="10">
        <f t="shared" si="15"/>
        <v>12919</v>
      </c>
      <c r="D943" s="10" t="s">
        <v>67</v>
      </c>
      <c r="E943" s="7" t="s">
        <v>528</v>
      </c>
      <c r="F943" s="7"/>
      <c r="G943" s="7"/>
    </row>
    <row r="944" spans="1:7" ht="20.25" customHeight="1">
      <c r="A944" s="10">
        <v>12920</v>
      </c>
      <c r="B944" s="10">
        <v>16920</v>
      </c>
      <c r="C944" s="10">
        <f t="shared" si="15"/>
        <v>12920</v>
      </c>
      <c r="D944" s="10" t="s">
        <v>67</v>
      </c>
      <c r="E944" s="7" t="s">
        <v>529</v>
      </c>
      <c r="F944" s="7"/>
      <c r="G944" s="7"/>
    </row>
    <row r="945" spans="1:7" ht="20.25" customHeight="1">
      <c r="A945" s="10">
        <v>12921</v>
      </c>
      <c r="B945" s="10">
        <v>16921</v>
      </c>
      <c r="C945" s="10">
        <f t="shared" si="15"/>
        <v>12921</v>
      </c>
      <c r="D945" s="10" t="s">
        <v>22</v>
      </c>
      <c r="E945" s="7"/>
      <c r="F945" s="7"/>
      <c r="G945" s="7"/>
    </row>
    <row r="946" spans="1:7" ht="20.25" customHeight="1">
      <c r="A946" s="10">
        <v>12922</v>
      </c>
      <c r="B946" s="10">
        <v>16922</v>
      </c>
      <c r="C946" s="10">
        <f t="shared" si="15"/>
        <v>12922</v>
      </c>
      <c r="D946" s="10" t="s">
        <v>17</v>
      </c>
      <c r="E946" s="7" t="s">
        <v>530</v>
      </c>
      <c r="F946" s="7"/>
      <c r="G946" s="22" t="s">
        <v>531</v>
      </c>
    </row>
    <row r="947" spans="1:7" ht="20.25" customHeight="1">
      <c r="A947" s="10">
        <v>12923</v>
      </c>
      <c r="B947" s="10">
        <v>16923</v>
      </c>
      <c r="C947" s="10">
        <f t="shared" si="15"/>
        <v>12923</v>
      </c>
      <c r="D947" s="10" t="s">
        <v>17</v>
      </c>
      <c r="E947" s="7" t="s">
        <v>532</v>
      </c>
      <c r="F947" s="7"/>
      <c r="G947" s="22" t="s">
        <v>531</v>
      </c>
    </row>
    <row r="948" spans="1:7" ht="20.25" customHeight="1">
      <c r="A948" s="10">
        <v>12924</v>
      </c>
      <c r="B948" s="10">
        <v>16924</v>
      </c>
      <c r="C948" s="10">
        <f t="shared" si="15"/>
        <v>12924</v>
      </c>
      <c r="D948" s="10" t="s">
        <v>17</v>
      </c>
      <c r="E948" s="111" t="s">
        <v>533</v>
      </c>
      <c r="F948" s="7"/>
      <c r="G948" s="22" t="s">
        <v>531</v>
      </c>
    </row>
    <row r="949" spans="1:7" ht="20.25" customHeight="1">
      <c r="A949" s="10">
        <v>12925</v>
      </c>
      <c r="B949" s="10">
        <v>16925</v>
      </c>
      <c r="C949" s="10">
        <f t="shared" si="15"/>
        <v>12925</v>
      </c>
      <c r="D949" s="10" t="s">
        <v>17</v>
      </c>
      <c r="E949" s="7" t="s">
        <v>534</v>
      </c>
      <c r="F949" s="7"/>
      <c r="G949" s="22" t="s">
        <v>531</v>
      </c>
    </row>
    <row r="950" spans="1:7" ht="20.25" customHeight="1">
      <c r="A950" s="10">
        <v>12926</v>
      </c>
      <c r="B950" s="10">
        <v>16926</v>
      </c>
      <c r="C950" s="10">
        <f t="shared" si="15"/>
        <v>12926</v>
      </c>
      <c r="D950" s="10" t="s">
        <v>22</v>
      </c>
      <c r="E950" s="7"/>
      <c r="F950" s="101"/>
      <c r="G950" s="22"/>
    </row>
    <row r="951" spans="1:7" ht="20.25" customHeight="1">
      <c r="A951" s="10">
        <v>12927</v>
      </c>
      <c r="B951" s="10">
        <v>16927</v>
      </c>
      <c r="C951" s="10">
        <f t="shared" si="15"/>
        <v>12927</v>
      </c>
      <c r="D951" s="10" t="s">
        <v>22</v>
      </c>
      <c r="E951" s="7"/>
      <c r="F951" s="7"/>
      <c r="G951" s="22"/>
    </row>
    <row r="952" spans="1:7" ht="20.25" customHeight="1">
      <c r="A952" s="10">
        <v>12928</v>
      </c>
      <c r="B952" s="10">
        <v>16928</v>
      </c>
      <c r="C952" s="10">
        <f t="shared" si="15"/>
        <v>12928</v>
      </c>
      <c r="D952" s="10" t="s">
        <v>22</v>
      </c>
      <c r="E952" s="7"/>
      <c r="F952" s="7"/>
      <c r="G952" s="7"/>
    </row>
    <row r="953" spans="1:7" ht="20.25" customHeight="1">
      <c r="A953" s="10">
        <v>12929</v>
      </c>
      <c r="B953" s="10">
        <v>16929</v>
      </c>
      <c r="C953" s="10">
        <f t="shared" si="15"/>
        <v>12929</v>
      </c>
      <c r="D953" s="10" t="s">
        <v>22</v>
      </c>
      <c r="E953" s="7"/>
      <c r="F953" s="7"/>
      <c r="G953" s="7"/>
    </row>
    <row r="954" spans="1:7" ht="20.25" customHeight="1">
      <c r="A954" s="10">
        <v>12930</v>
      </c>
      <c r="B954" s="10">
        <v>16930</v>
      </c>
      <c r="C954" s="10">
        <f t="shared" si="15"/>
        <v>12930</v>
      </c>
      <c r="D954" s="10" t="s">
        <v>22</v>
      </c>
      <c r="E954" s="7"/>
      <c r="F954" s="26"/>
      <c r="G954" s="7"/>
    </row>
    <row r="955" spans="1:7" ht="20.25" customHeight="1">
      <c r="A955" s="10">
        <v>12931</v>
      </c>
      <c r="B955" s="10">
        <v>16931</v>
      </c>
      <c r="C955" s="10">
        <f t="shared" si="15"/>
        <v>12931</v>
      </c>
      <c r="D955" s="10" t="s">
        <v>22</v>
      </c>
      <c r="E955" s="7"/>
      <c r="F955" s="7"/>
      <c r="G955" s="7"/>
    </row>
    <row r="956" spans="1:7" ht="20.25" customHeight="1">
      <c r="A956" s="10">
        <v>12932</v>
      </c>
      <c r="B956" s="10">
        <v>16932</v>
      </c>
      <c r="C956" s="10">
        <f t="shared" si="15"/>
        <v>12932</v>
      </c>
      <c r="D956" s="10" t="s">
        <v>22</v>
      </c>
      <c r="E956" s="7"/>
      <c r="F956" s="7"/>
      <c r="G956" s="7"/>
    </row>
    <row r="957" spans="1:7" ht="20.25" customHeight="1">
      <c r="A957" s="10">
        <v>12933</v>
      </c>
      <c r="B957" s="10">
        <v>16933</v>
      </c>
      <c r="C957" s="10">
        <f t="shared" si="15"/>
        <v>12933</v>
      </c>
      <c r="D957" s="10" t="s">
        <v>22</v>
      </c>
      <c r="E957" s="7"/>
      <c r="F957" s="7"/>
      <c r="G957" s="7"/>
    </row>
    <row r="958" spans="1:7" ht="20.25" customHeight="1">
      <c r="A958" s="10">
        <v>12934</v>
      </c>
      <c r="B958" s="10">
        <v>16934</v>
      </c>
      <c r="C958" s="10">
        <f t="shared" si="15"/>
        <v>12934</v>
      </c>
      <c r="D958" s="10" t="s">
        <v>22</v>
      </c>
      <c r="E958" s="7"/>
      <c r="F958" s="7"/>
      <c r="G958" s="7"/>
    </row>
    <row r="959" spans="1:7" ht="20.25" customHeight="1">
      <c r="A959" s="10">
        <v>12935</v>
      </c>
      <c r="B959" s="10">
        <v>16935</v>
      </c>
      <c r="C959" s="10">
        <f t="shared" si="15"/>
        <v>12935</v>
      </c>
      <c r="D959" s="10" t="s">
        <v>22</v>
      </c>
      <c r="E959" s="7"/>
      <c r="F959" s="7"/>
      <c r="G959" s="7"/>
    </row>
    <row r="960" spans="1:7" ht="20.25" customHeight="1">
      <c r="A960" s="10">
        <v>12936</v>
      </c>
      <c r="B960" s="10">
        <v>16936</v>
      </c>
      <c r="C960" s="10">
        <f t="shared" si="15"/>
        <v>12936</v>
      </c>
      <c r="D960" s="10" t="s">
        <v>22</v>
      </c>
      <c r="E960" s="7"/>
      <c r="F960" s="7"/>
      <c r="G960" s="7"/>
    </row>
    <row r="961" spans="1:7" ht="20.25" customHeight="1">
      <c r="A961" s="10">
        <v>12937</v>
      </c>
      <c r="B961" s="10">
        <v>16937</v>
      </c>
      <c r="C961" s="10">
        <f t="shared" si="15"/>
        <v>12937</v>
      </c>
      <c r="D961" s="10" t="s">
        <v>22</v>
      </c>
      <c r="E961" s="7"/>
      <c r="F961" s="7"/>
      <c r="G961" s="7"/>
    </row>
    <row r="962" spans="1:7" ht="20.25" customHeight="1">
      <c r="A962" s="10">
        <v>12938</v>
      </c>
      <c r="B962" s="10">
        <v>16938</v>
      </c>
      <c r="C962" s="10">
        <f t="shared" si="15"/>
        <v>12938</v>
      </c>
      <c r="D962" s="10" t="s">
        <v>22</v>
      </c>
      <c r="E962" s="7"/>
      <c r="F962" s="7"/>
      <c r="G962" s="7"/>
    </row>
    <row r="963" spans="1:7" ht="20.25" customHeight="1">
      <c r="A963" s="10">
        <v>12939</v>
      </c>
      <c r="B963" s="10">
        <v>16939</v>
      </c>
      <c r="C963" s="10">
        <f t="shared" ref="C963:C1026" si="16">IF(ISERROR(FIND("B_Epic",E963)),A963,A963+10000)</f>
        <v>12939</v>
      </c>
      <c r="D963" s="10" t="s">
        <v>22</v>
      </c>
      <c r="E963" s="7"/>
      <c r="F963" s="7"/>
      <c r="G963" s="7"/>
    </row>
    <row r="964" spans="1:7" ht="20.25" customHeight="1">
      <c r="A964" s="10">
        <v>12940</v>
      </c>
      <c r="B964" s="10">
        <v>16940</v>
      </c>
      <c r="C964" s="10">
        <f t="shared" si="16"/>
        <v>12940</v>
      </c>
      <c r="D964" s="10" t="s">
        <v>22</v>
      </c>
      <c r="E964" s="7"/>
      <c r="F964" s="7"/>
      <c r="G964" s="7"/>
    </row>
    <row r="965" spans="1:7" ht="20.25" customHeight="1">
      <c r="A965" s="10">
        <v>12941</v>
      </c>
      <c r="B965" s="10">
        <v>16941</v>
      </c>
      <c r="C965" s="10">
        <f t="shared" si="16"/>
        <v>12941</v>
      </c>
      <c r="D965" s="10" t="s">
        <v>22</v>
      </c>
      <c r="E965" s="7"/>
      <c r="F965" s="7"/>
      <c r="G965" s="7"/>
    </row>
    <row r="966" spans="1:7" ht="20.25" customHeight="1">
      <c r="A966" s="10">
        <v>12942</v>
      </c>
      <c r="B966" s="10">
        <v>16942</v>
      </c>
      <c r="C966" s="10">
        <f t="shared" si="16"/>
        <v>12942</v>
      </c>
      <c r="D966" s="10" t="s">
        <v>22</v>
      </c>
      <c r="E966" s="7"/>
      <c r="F966" s="7"/>
      <c r="G966" s="7"/>
    </row>
    <row r="967" spans="1:7" ht="20.25" customHeight="1">
      <c r="A967" s="10">
        <v>12943</v>
      </c>
      <c r="B967" s="10">
        <v>16943</v>
      </c>
      <c r="C967" s="10">
        <f t="shared" si="16"/>
        <v>12943</v>
      </c>
      <c r="D967" s="10" t="s">
        <v>22</v>
      </c>
      <c r="E967" s="7"/>
      <c r="F967" s="7"/>
      <c r="G967" s="7"/>
    </row>
    <row r="968" spans="1:7" ht="20.25" customHeight="1">
      <c r="A968" s="10">
        <v>12944</v>
      </c>
      <c r="B968" s="10">
        <v>16944</v>
      </c>
      <c r="C968" s="10">
        <f t="shared" si="16"/>
        <v>12944</v>
      </c>
      <c r="D968" s="10" t="s">
        <v>22</v>
      </c>
      <c r="E968" s="7"/>
      <c r="F968" s="7"/>
      <c r="G968" s="7"/>
    </row>
    <row r="969" spans="1:7" ht="20.25" customHeight="1">
      <c r="A969" s="10">
        <v>12945</v>
      </c>
      <c r="B969" s="10">
        <v>16945</v>
      </c>
      <c r="C969" s="10">
        <f t="shared" si="16"/>
        <v>12945</v>
      </c>
      <c r="D969" s="10" t="s">
        <v>22</v>
      </c>
      <c r="E969" s="7"/>
      <c r="F969" s="7"/>
      <c r="G969" s="7"/>
    </row>
    <row r="970" spans="1:7" ht="20.25" customHeight="1">
      <c r="A970" s="10">
        <v>12946</v>
      </c>
      <c r="B970" s="10">
        <v>16946</v>
      </c>
      <c r="C970" s="10">
        <f t="shared" si="16"/>
        <v>12946</v>
      </c>
      <c r="D970" s="10" t="s">
        <v>22</v>
      </c>
      <c r="E970" s="7"/>
      <c r="F970" s="7"/>
      <c r="G970" s="7"/>
    </row>
    <row r="971" spans="1:7" ht="20.25" customHeight="1">
      <c r="A971" s="10">
        <v>12947</v>
      </c>
      <c r="B971" s="10">
        <v>16947</v>
      </c>
      <c r="C971" s="10">
        <f t="shared" si="16"/>
        <v>12947</v>
      </c>
      <c r="D971" s="10" t="s">
        <v>22</v>
      </c>
      <c r="E971" s="7"/>
      <c r="F971" s="7"/>
      <c r="G971" s="7"/>
    </row>
    <row r="972" spans="1:7" ht="20.25" customHeight="1">
      <c r="A972" s="10">
        <v>12948</v>
      </c>
      <c r="B972" s="10">
        <v>16948</v>
      </c>
      <c r="C972" s="10">
        <f t="shared" si="16"/>
        <v>12948</v>
      </c>
      <c r="D972" s="10" t="s">
        <v>22</v>
      </c>
      <c r="E972" s="7"/>
      <c r="F972" s="7"/>
      <c r="G972" s="7"/>
    </row>
    <row r="973" spans="1:7" ht="20.25" customHeight="1">
      <c r="A973" s="10">
        <v>12949</v>
      </c>
      <c r="B973" s="10">
        <v>16949</v>
      </c>
      <c r="C973" s="10">
        <f t="shared" si="16"/>
        <v>12949</v>
      </c>
      <c r="D973" s="10" t="s">
        <v>22</v>
      </c>
      <c r="E973" s="7"/>
      <c r="F973" s="7"/>
      <c r="G973" s="7"/>
    </row>
    <row r="974" spans="1:7" ht="20.25" customHeight="1">
      <c r="A974" s="10">
        <v>12950</v>
      </c>
      <c r="B974" s="10">
        <v>16950</v>
      </c>
      <c r="C974" s="10">
        <f t="shared" si="16"/>
        <v>12950</v>
      </c>
      <c r="D974" s="10" t="s">
        <v>22</v>
      </c>
      <c r="E974" s="7"/>
      <c r="F974" s="7"/>
      <c r="G974" s="7"/>
    </row>
    <row r="975" spans="1:7" ht="20.25" customHeight="1">
      <c r="A975" s="10">
        <v>12951</v>
      </c>
      <c r="B975" s="10">
        <v>16951</v>
      </c>
      <c r="C975" s="10">
        <f t="shared" si="16"/>
        <v>12951</v>
      </c>
      <c r="D975" s="10" t="s">
        <v>22</v>
      </c>
      <c r="E975" s="7"/>
      <c r="F975" s="7"/>
      <c r="G975" s="7"/>
    </row>
    <row r="976" spans="1:7" ht="20.25" customHeight="1">
      <c r="A976" s="10">
        <v>12952</v>
      </c>
      <c r="B976" s="10">
        <v>16952</v>
      </c>
      <c r="C976" s="10">
        <f t="shared" si="16"/>
        <v>12952</v>
      </c>
      <c r="D976" s="10" t="s">
        <v>22</v>
      </c>
      <c r="E976" s="7"/>
      <c r="F976" s="7"/>
      <c r="G976" s="7"/>
    </row>
    <row r="977" spans="1:7" ht="20.25" customHeight="1">
      <c r="A977" s="10">
        <v>12953</v>
      </c>
      <c r="B977" s="10">
        <v>16953</v>
      </c>
      <c r="C977" s="10">
        <f t="shared" si="16"/>
        <v>12953</v>
      </c>
      <c r="D977" s="10" t="s">
        <v>22</v>
      </c>
      <c r="E977" s="7" t="s">
        <v>535</v>
      </c>
      <c r="F977" s="7"/>
      <c r="G977" s="7"/>
    </row>
    <row r="978" spans="1:7" ht="20.25" customHeight="1">
      <c r="A978" s="10">
        <v>12954</v>
      </c>
      <c r="B978" s="10">
        <v>16954</v>
      </c>
      <c r="C978" s="10">
        <f t="shared" si="16"/>
        <v>12954</v>
      </c>
      <c r="D978" s="10" t="s">
        <v>22</v>
      </c>
      <c r="E978" s="7"/>
      <c r="F978" s="7"/>
      <c r="G978" s="7"/>
    </row>
    <row r="979" spans="1:7" ht="20.25" customHeight="1">
      <c r="A979" s="10">
        <v>12955</v>
      </c>
      <c r="B979" s="10">
        <v>16955</v>
      </c>
      <c r="C979" s="10">
        <f t="shared" si="16"/>
        <v>12955</v>
      </c>
      <c r="D979" s="10" t="s">
        <v>22</v>
      </c>
      <c r="E979" s="5"/>
      <c r="F979" s="7"/>
      <c r="G979" s="7"/>
    </row>
    <row r="980" spans="1:7" ht="20.25" customHeight="1">
      <c r="A980" s="10">
        <v>12956</v>
      </c>
      <c r="B980" s="10">
        <v>16956</v>
      </c>
      <c r="C980" s="10">
        <f t="shared" si="16"/>
        <v>12956</v>
      </c>
      <c r="D980" s="10" t="s">
        <v>22</v>
      </c>
      <c r="E980" s="7"/>
      <c r="F980" s="7"/>
      <c r="G980" s="7"/>
    </row>
    <row r="981" spans="1:7" ht="20.25" customHeight="1">
      <c r="A981" s="10">
        <v>12957</v>
      </c>
      <c r="B981" s="10">
        <v>16957</v>
      </c>
      <c r="C981" s="10">
        <f t="shared" si="16"/>
        <v>12957</v>
      </c>
      <c r="D981" s="10" t="s">
        <v>22</v>
      </c>
      <c r="E981" s="7"/>
      <c r="F981" s="7"/>
      <c r="G981" s="7"/>
    </row>
    <row r="982" spans="1:7" ht="20.25" customHeight="1">
      <c r="A982" s="10">
        <v>12958</v>
      </c>
      <c r="B982" s="10">
        <v>16958</v>
      </c>
      <c r="C982" s="10">
        <f t="shared" si="16"/>
        <v>12958</v>
      </c>
      <c r="D982" s="10" t="s">
        <v>22</v>
      </c>
      <c r="F982" s="7"/>
      <c r="G982" s="7"/>
    </row>
    <row r="983" spans="1:7" ht="20.25" customHeight="1">
      <c r="A983" s="10">
        <v>12959</v>
      </c>
      <c r="B983" s="10">
        <v>16959</v>
      </c>
      <c r="C983" s="10">
        <f t="shared" si="16"/>
        <v>12959</v>
      </c>
      <c r="D983" s="10" t="s">
        <v>22</v>
      </c>
      <c r="E983" s="7"/>
      <c r="F983" s="7"/>
      <c r="G983" s="7"/>
    </row>
    <row r="984" spans="1:7" ht="20.25" customHeight="1">
      <c r="A984" s="10">
        <v>12960</v>
      </c>
      <c r="B984" s="10">
        <v>16960</v>
      </c>
      <c r="C984" s="10">
        <f t="shared" si="16"/>
        <v>12960</v>
      </c>
      <c r="D984" s="10" t="s">
        <v>22</v>
      </c>
      <c r="E984" s="7"/>
      <c r="F984" s="7"/>
      <c r="G984" s="7"/>
    </row>
    <row r="985" spans="1:7" ht="20.25" customHeight="1">
      <c r="A985" s="10">
        <v>12961</v>
      </c>
      <c r="B985" s="10">
        <v>16961</v>
      </c>
      <c r="C985" s="10">
        <f t="shared" si="16"/>
        <v>12961</v>
      </c>
      <c r="D985" s="10" t="s">
        <v>22</v>
      </c>
      <c r="E985" s="234"/>
      <c r="F985" s="7"/>
      <c r="G985" s="7"/>
    </row>
    <row r="986" spans="1:7" ht="20.25" customHeight="1">
      <c r="A986" s="10">
        <v>12962</v>
      </c>
      <c r="B986" s="10">
        <v>16962</v>
      </c>
      <c r="C986" s="10">
        <f t="shared" si="16"/>
        <v>12962</v>
      </c>
      <c r="D986" s="10" t="s">
        <v>22</v>
      </c>
      <c r="E986" s="234"/>
      <c r="F986" s="7"/>
      <c r="G986" s="7"/>
    </row>
    <row r="987" spans="1:7" ht="20.25" customHeight="1">
      <c r="A987" s="10">
        <v>12963</v>
      </c>
      <c r="B987" s="10">
        <v>16963</v>
      </c>
      <c r="C987" s="10">
        <f t="shared" si="16"/>
        <v>12963</v>
      </c>
      <c r="D987" s="10" t="s">
        <v>22</v>
      </c>
      <c r="E987" s="234"/>
      <c r="F987" s="7"/>
      <c r="G987" s="7"/>
    </row>
    <row r="988" spans="1:7" ht="20.25" customHeight="1" thickBot="1">
      <c r="A988" s="10">
        <v>12964</v>
      </c>
      <c r="B988" s="10">
        <v>16964</v>
      </c>
      <c r="C988" s="10">
        <f t="shared" si="16"/>
        <v>12964</v>
      </c>
      <c r="D988" s="10" t="s">
        <v>22</v>
      </c>
      <c r="E988" s="127"/>
      <c r="F988" s="7"/>
      <c r="G988" s="7"/>
    </row>
    <row r="989" spans="1:7" ht="20.25" customHeight="1" thickBot="1">
      <c r="A989" s="10">
        <v>12965</v>
      </c>
      <c r="B989" s="10">
        <v>16965</v>
      </c>
      <c r="C989" s="10">
        <f t="shared" si="16"/>
        <v>12965</v>
      </c>
      <c r="D989" s="10" t="s">
        <v>22</v>
      </c>
      <c r="E989" s="182"/>
      <c r="F989" s="7"/>
      <c r="G989" s="7"/>
    </row>
    <row r="990" spans="1:7" ht="20.25" customHeight="1" thickBot="1">
      <c r="A990" s="10">
        <v>12966</v>
      </c>
      <c r="B990" s="10">
        <v>16966</v>
      </c>
      <c r="C990" s="10">
        <f t="shared" si="16"/>
        <v>12966</v>
      </c>
      <c r="D990" s="10" t="s">
        <v>22</v>
      </c>
      <c r="E990" s="235"/>
      <c r="F990" s="7"/>
      <c r="G990" s="7"/>
    </row>
    <row r="991" spans="1:7" ht="20.25" customHeight="1">
      <c r="A991" s="10">
        <v>12967</v>
      </c>
      <c r="B991" s="10">
        <v>16967</v>
      </c>
      <c r="C991" s="10">
        <f t="shared" si="16"/>
        <v>12967</v>
      </c>
      <c r="D991" s="10" t="s">
        <v>22</v>
      </c>
      <c r="E991" s="7"/>
      <c r="F991" s="7"/>
      <c r="G991" s="7"/>
    </row>
    <row r="992" spans="1:7" ht="20.25" customHeight="1">
      <c r="A992" s="10">
        <v>12968</v>
      </c>
      <c r="B992" s="10">
        <v>16968</v>
      </c>
      <c r="C992" s="10">
        <f t="shared" si="16"/>
        <v>12968</v>
      </c>
      <c r="D992" s="10" t="s">
        <v>22</v>
      </c>
      <c r="F992" s="7"/>
      <c r="G992" s="7"/>
    </row>
    <row r="993" spans="1:7" ht="20.25" customHeight="1">
      <c r="A993" s="10">
        <v>12969</v>
      </c>
      <c r="B993" s="10">
        <v>16969</v>
      </c>
      <c r="C993" s="10">
        <f t="shared" si="16"/>
        <v>12969</v>
      </c>
      <c r="D993" s="10" t="s">
        <v>22</v>
      </c>
      <c r="E993" s="234"/>
      <c r="F993" s="7"/>
      <c r="G993" s="7"/>
    </row>
    <row r="994" spans="1:7" ht="20.25" customHeight="1">
      <c r="A994" s="10">
        <v>12970</v>
      </c>
      <c r="B994" s="10">
        <v>16970</v>
      </c>
      <c r="C994" s="10">
        <f t="shared" si="16"/>
        <v>12970</v>
      </c>
      <c r="D994" s="10" t="s">
        <v>22</v>
      </c>
      <c r="E994" s="236"/>
      <c r="F994" s="7"/>
      <c r="G994" s="7"/>
    </row>
    <row r="995" spans="1:7" ht="20.25" customHeight="1">
      <c r="A995" s="10">
        <v>12971</v>
      </c>
      <c r="B995" s="10">
        <v>16971</v>
      </c>
      <c r="C995" s="10">
        <f t="shared" si="16"/>
        <v>12971</v>
      </c>
      <c r="D995" s="10" t="s">
        <v>22</v>
      </c>
      <c r="E995" s="234"/>
      <c r="F995" s="7"/>
      <c r="G995" s="7"/>
    </row>
    <row r="996" spans="1:7" ht="20.25" customHeight="1" thickBot="1">
      <c r="A996" s="10">
        <v>12972</v>
      </c>
      <c r="B996" s="10">
        <v>16972</v>
      </c>
      <c r="C996" s="10">
        <f t="shared" si="16"/>
        <v>12972</v>
      </c>
      <c r="D996" s="10" t="s">
        <v>22</v>
      </c>
      <c r="E996" s="235"/>
      <c r="F996" s="7"/>
      <c r="G996" s="7"/>
    </row>
    <row r="997" spans="1:7" ht="20.25" customHeight="1" thickBot="1">
      <c r="A997" s="10">
        <v>12973</v>
      </c>
      <c r="B997" s="10">
        <v>16973</v>
      </c>
      <c r="C997" s="10">
        <f t="shared" si="16"/>
        <v>12973</v>
      </c>
      <c r="D997" s="10" t="s">
        <v>22</v>
      </c>
      <c r="E997" s="235"/>
      <c r="F997" s="7"/>
      <c r="G997" s="7"/>
    </row>
    <row r="998" spans="1:7" ht="20.25" customHeight="1" thickBot="1">
      <c r="A998" s="10">
        <v>12974</v>
      </c>
      <c r="B998" s="10">
        <v>16974</v>
      </c>
      <c r="C998" s="10">
        <f t="shared" si="16"/>
        <v>12974</v>
      </c>
      <c r="D998" s="10" t="s">
        <v>22</v>
      </c>
      <c r="E998" s="235"/>
      <c r="F998" s="7"/>
      <c r="G998" s="7"/>
    </row>
    <row r="999" spans="1:7" ht="20.25" customHeight="1" thickBot="1">
      <c r="A999" s="10">
        <v>12975</v>
      </c>
      <c r="B999" s="10">
        <v>16975</v>
      </c>
      <c r="C999" s="10">
        <f t="shared" si="16"/>
        <v>12975</v>
      </c>
      <c r="D999" s="10" t="s">
        <v>22</v>
      </c>
      <c r="E999" s="235"/>
      <c r="F999" s="7"/>
      <c r="G999" s="7"/>
    </row>
    <row r="1000" spans="1:7" ht="20.25" customHeight="1" thickBot="1">
      <c r="A1000" s="10">
        <v>12976</v>
      </c>
      <c r="B1000" s="10">
        <v>16976</v>
      </c>
      <c r="C1000" s="10">
        <f t="shared" si="16"/>
        <v>12976</v>
      </c>
      <c r="D1000" s="10" t="s">
        <v>22</v>
      </c>
      <c r="E1000" s="235"/>
      <c r="F1000" s="7"/>
      <c r="G1000" s="7"/>
    </row>
    <row r="1001" spans="1:7" ht="20.25" customHeight="1" thickBot="1">
      <c r="A1001" s="10">
        <v>12977</v>
      </c>
      <c r="B1001" s="10">
        <v>16977</v>
      </c>
      <c r="C1001" s="10">
        <f t="shared" si="16"/>
        <v>12977</v>
      </c>
      <c r="D1001" s="10" t="s">
        <v>22</v>
      </c>
      <c r="E1001" s="127"/>
      <c r="F1001" s="7"/>
      <c r="G1001" s="7"/>
    </row>
    <row r="1002" spans="1:7" ht="20.25" customHeight="1" thickBot="1">
      <c r="A1002" s="10">
        <v>12978</v>
      </c>
      <c r="B1002" s="10">
        <v>16978</v>
      </c>
      <c r="C1002" s="10">
        <f t="shared" si="16"/>
        <v>12978</v>
      </c>
      <c r="D1002" s="10" t="s">
        <v>22</v>
      </c>
      <c r="E1002" s="127"/>
      <c r="F1002" s="7"/>
      <c r="G1002" s="7"/>
    </row>
    <row r="1003" spans="1:7" ht="20.25" customHeight="1" thickBot="1">
      <c r="A1003" s="10">
        <v>12979</v>
      </c>
      <c r="B1003" s="10">
        <v>16979</v>
      </c>
      <c r="C1003" s="10">
        <f t="shared" si="16"/>
        <v>12979</v>
      </c>
      <c r="D1003" s="10" t="s">
        <v>22</v>
      </c>
      <c r="E1003" s="127"/>
      <c r="F1003" s="7"/>
      <c r="G1003" s="7"/>
    </row>
    <row r="1004" spans="1:7" ht="20.25" customHeight="1">
      <c r="A1004" s="10">
        <v>12980</v>
      </c>
      <c r="B1004" s="10">
        <v>16980</v>
      </c>
      <c r="C1004" s="10">
        <f t="shared" si="16"/>
        <v>12980</v>
      </c>
      <c r="D1004" s="10" t="s">
        <v>22</v>
      </c>
      <c r="E1004" s="7"/>
      <c r="F1004" s="7"/>
      <c r="G1004" s="7"/>
    </row>
    <row r="1005" spans="1:7" ht="20.25" customHeight="1">
      <c r="A1005" s="10">
        <v>12981</v>
      </c>
      <c r="B1005" s="10">
        <v>16981</v>
      </c>
      <c r="C1005" s="10">
        <f t="shared" si="16"/>
        <v>12981</v>
      </c>
      <c r="D1005" s="10" t="s">
        <v>22</v>
      </c>
      <c r="E1005" s="7"/>
      <c r="F1005" s="7"/>
      <c r="G1005" s="7"/>
    </row>
    <row r="1006" spans="1:7" ht="20.25" customHeight="1">
      <c r="A1006" s="10">
        <v>12982</v>
      </c>
      <c r="B1006" s="10">
        <v>16982</v>
      </c>
      <c r="C1006" s="10">
        <f t="shared" si="16"/>
        <v>12982</v>
      </c>
      <c r="D1006" s="10" t="s">
        <v>22</v>
      </c>
      <c r="E1006" s="7"/>
      <c r="F1006" s="7"/>
      <c r="G1006" s="7"/>
    </row>
    <row r="1007" spans="1:7" ht="20.25" customHeight="1">
      <c r="A1007" s="10">
        <v>12983</v>
      </c>
      <c r="B1007" s="10">
        <v>16983</v>
      </c>
      <c r="C1007" s="10">
        <f t="shared" si="16"/>
        <v>12983</v>
      </c>
      <c r="D1007" s="10" t="s">
        <v>22</v>
      </c>
      <c r="E1007" s="109"/>
      <c r="F1007" s="7"/>
      <c r="G1007" s="7"/>
    </row>
    <row r="1008" spans="1:7" ht="20.25" customHeight="1">
      <c r="A1008" s="10">
        <v>12984</v>
      </c>
      <c r="B1008" s="10">
        <v>16984</v>
      </c>
      <c r="C1008" s="10">
        <f t="shared" si="16"/>
        <v>12984</v>
      </c>
      <c r="D1008" s="10" t="s">
        <v>22</v>
      </c>
      <c r="E1008" s="109"/>
      <c r="F1008" s="7"/>
      <c r="G1008" s="7"/>
    </row>
    <row r="1009" spans="1:7" ht="20.25" customHeight="1">
      <c r="A1009" s="10">
        <v>12985</v>
      </c>
      <c r="B1009" s="10">
        <v>16985</v>
      </c>
      <c r="C1009" s="10">
        <f t="shared" si="16"/>
        <v>12985</v>
      </c>
      <c r="D1009" s="10" t="s">
        <v>22</v>
      </c>
      <c r="E1009" s="109"/>
      <c r="F1009" s="7"/>
      <c r="G1009" s="7"/>
    </row>
    <row r="1010" spans="1:7" ht="20.25" customHeight="1">
      <c r="A1010" s="10">
        <v>12986</v>
      </c>
      <c r="B1010" s="10">
        <v>16986</v>
      </c>
      <c r="C1010" s="10">
        <f t="shared" si="16"/>
        <v>12986</v>
      </c>
      <c r="D1010" s="10" t="s">
        <v>22</v>
      </c>
      <c r="E1010" s="109"/>
      <c r="F1010" s="7"/>
      <c r="G1010" s="7"/>
    </row>
    <row r="1011" spans="1:7" ht="20.25" customHeight="1">
      <c r="A1011" s="10">
        <v>12987</v>
      </c>
      <c r="B1011" s="10">
        <v>16987</v>
      </c>
      <c r="C1011" s="10">
        <f t="shared" si="16"/>
        <v>12987</v>
      </c>
      <c r="D1011" s="10" t="s">
        <v>22</v>
      </c>
      <c r="E1011" s="109"/>
      <c r="F1011" s="7"/>
      <c r="G1011" s="7"/>
    </row>
    <row r="1012" spans="1:7" ht="20.25" customHeight="1">
      <c r="A1012" s="10">
        <v>12988</v>
      </c>
      <c r="B1012" s="10">
        <v>16988</v>
      </c>
      <c r="C1012" s="10">
        <f t="shared" si="16"/>
        <v>12988</v>
      </c>
      <c r="D1012" s="10" t="s">
        <v>22</v>
      </c>
      <c r="E1012" s="109"/>
      <c r="F1012" s="7"/>
      <c r="G1012" s="7"/>
    </row>
    <row r="1013" spans="1:7" ht="20.25" customHeight="1">
      <c r="A1013" s="10">
        <v>12989</v>
      </c>
      <c r="B1013" s="10">
        <v>16989</v>
      </c>
      <c r="C1013" s="10">
        <f t="shared" si="16"/>
        <v>12989</v>
      </c>
      <c r="D1013" s="10" t="s">
        <v>22</v>
      </c>
      <c r="E1013" s="7"/>
      <c r="F1013" s="7"/>
      <c r="G1013" s="7"/>
    </row>
    <row r="1014" spans="1:7" ht="20.25" customHeight="1">
      <c r="A1014" s="10">
        <v>12990</v>
      </c>
      <c r="B1014" s="10">
        <v>16990</v>
      </c>
      <c r="C1014" s="10">
        <f t="shared" si="16"/>
        <v>12990</v>
      </c>
      <c r="D1014" s="10" t="s">
        <v>22</v>
      </c>
      <c r="E1014" s="7"/>
      <c r="F1014" s="7"/>
      <c r="G1014" s="7"/>
    </row>
    <row r="1015" spans="1:7" ht="20.25" customHeight="1">
      <c r="A1015" s="10">
        <v>12991</v>
      </c>
      <c r="B1015" s="10">
        <v>16991</v>
      </c>
      <c r="C1015" s="10">
        <f t="shared" si="16"/>
        <v>12991</v>
      </c>
      <c r="D1015" s="10" t="s">
        <v>22</v>
      </c>
      <c r="E1015" s="7"/>
      <c r="F1015" s="7"/>
      <c r="G1015" s="7"/>
    </row>
    <row r="1016" spans="1:7" ht="20.25" customHeight="1">
      <c r="A1016" s="10">
        <v>12992</v>
      </c>
      <c r="B1016" s="10">
        <v>16992</v>
      </c>
      <c r="C1016" s="10">
        <f t="shared" si="16"/>
        <v>12992</v>
      </c>
      <c r="D1016" s="10" t="s">
        <v>22</v>
      </c>
      <c r="E1016" s="7"/>
      <c r="F1016" s="7"/>
      <c r="G1016" s="7"/>
    </row>
    <row r="1017" spans="1:7" ht="20.25" customHeight="1">
      <c r="A1017" s="10">
        <v>12993</v>
      </c>
      <c r="B1017" s="10">
        <v>16993</v>
      </c>
      <c r="C1017" s="10">
        <f t="shared" si="16"/>
        <v>12993</v>
      </c>
      <c r="D1017" s="10" t="s">
        <v>22</v>
      </c>
      <c r="E1017" s="7"/>
      <c r="F1017" s="7"/>
      <c r="G1017" s="7"/>
    </row>
    <row r="1018" spans="1:7" ht="20.25" customHeight="1">
      <c r="A1018" s="10">
        <v>12994</v>
      </c>
      <c r="B1018" s="10">
        <v>16994</v>
      </c>
      <c r="C1018" s="10">
        <f t="shared" si="16"/>
        <v>12994</v>
      </c>
      <c r="D1018" s="10" t="s">
        <v>22</v>
      </c>
      <c r="E1018" s="7"/>
      <c r="F1018" s="7"/>
      <c r="G1018" s="7"/>
    </row>
    <row r="1019" spans="1:7" ht="20.25" customHeight="1">
      <c r="A1019" s="10">
        <v>12995</v>
      </c>
      <c r="B1019" s="10">
        <v>16995</v>
      </c>
      <c r="C1019" s="10">
        <f t="shared" si="16"/>
        <v>12995</v>
      </c>
      <c r="D1019" s="10" t="s">
        <v>22</v>
      </c>
      <c r="E1019" s="7"/>
      <c r="F1019" s="7"/>
      <c r="G1019" s="7"/>
    </row>
    <row r="1020" spans="1:7" ht="20.25" customHeight="1">
      <c r="A1020" s="10">
        <v>12996</v>
      </c>
      <c r="B1020" s="10">
        <v>16996</v>
      </c>
      <c r="C1020" s="10">
        <f t="shared" si="16"/>
        <v>12996</v>
      </c>
      <c r="D1020" s="10" t="s">
        <v>22</v>
      </c>
      <c r="E1020" s="7"/>
      <c r="F1020" s="7"/>
      <c r="G1020" s="7"/>
    </row>
    <row r="1021" spans="1:7" ht="20.25" customHeight="1">
      <c r="A1021" s="10">
        <v>12997</v>
      </c>
      <c r="B1021" s="10">
        <v>16997</v>
      </c>
      <c r="C1021" s="10">
        <f t="shared" si="16"/>
        <v>12997</v>
      </c>
      <c r="D1021" s="10" t="s">
        <v>22</v>
      </c>
      <c r="E1021" s="12"/>
      <c r="F1021" s="7"/>
      <c r="G1021" s="7"/>
    </row>
    <row r="1022" spans="1:7" ht="20.25" customHeight="1">
      <c r="A1022" s="10">
        <v>12998</v>
      </c>
      <c r="B1022" s="10">
        <v>16998</v>
      </c>
      <c r="C1022" s="10">
        <f t="shared" si="16"/>
        <v>12998</v>
      </c>
      <c r="D1022" s="10" t="s">
        <v>22</v>
      </c>
      <c r="E1022" s="7"/>
      <c r="F1022" s="7"/>
      <c r="G1022" s="7"/>
    </row>
    <row r="1023" spans="1:7" ht="20.25" customHeight="1">
      <c r="A1023" s="10">
        <v>12999</v>
      </c>
      <c r="B1023" s="10">
        <v>16999</v>
      </c>
      <c r="C1023" s="10">
        <f t="shared" si="16"/>
        <v>12999</v>
      </c>
      <c r="D1023" s="10" t="s">
        <v>22</v>
      </c>
      <c r="E1023" s="7"/>
      <c r="F1023" s="7"/>
      <c r="G1023" s="7"/>
    </row>
    <row r="1024" spans="1:7" ht="20.25" customHeight="1">
      <c r="A1024" s="10">
        <v>14030</v>
      </c>
      <c r="B1024" s="10">
        <v>14030</v>
      </c>
      <c r="C1024" s="10">
        <f t="shared" si="16"/>
        <v>14030</v>
      </c>
      <c r="D1024" s="10" t="s">
        <v>17</v>
      </c>
      <c r="E1024" s="7" t="s">
        <v>536</v>
      </c>
      <c r="F1024" s="7" t="s">
        <v>537</v>
      </c>
      <c r="G1024" s="7" t="s">
        <v>538</v>
      </c>
    </row>
    <row r="1025" spans="1:7" ht="20.25" customHeight="1">
      <c r="A1025" s="10">
        <v>15758</v>
      </c>
      <c r="B1025" s="10">
        <v>15757</v>
      </c>
      <c r="C1025" s="10">
        <f t="shared" si="16"/>
        <v>15758</v>
      </c>
      <c r="D1025" s="10" t="s">
        <v>67</v>
      </c>
      <c r="E1025" s="7" t="s">
        <v>539</v>
      </c>
      <c r="F1025" s="9" t="s">
        <v>540</v>
      </c>
      <c r="G1025" s="7"/>
    </row>
    <row r="1026" spans="1:7" ht="20.25" customHeight="1">
      <c r="A1026" s="10">
        <v>15845</v>
      </c>
      <c r="B1026" s="10">
        <v>15844</v>
      </c>
      <c r="C1026" s="10">
        <f t="shared" si="16"/>
        <v>15845</v>
      </c>
      <c r="D1026" s="10" t="s">
        <v>67</v>
      </c>
      <c r="E1026" s="7" t="s">
        <v>541</v>
      </c>
      <c r="F1026" s="9" t="s">
        <v>540</v>
      </c>
      <c r="G1026" s="7"/>
    </row>
    <row r="1027" spans="1:7" ht="20.25" customHeight="1">
      <c r="A1027" s="10">
        <v>16010</v>
      </c>
      <c r="B1027" s="10">
        <v>16010</v>
      </c>
      <c r="C1027" s="10">
        <f t="shared" ref="C1027:C1037" si="17">IF(ISERROR(FIND("B_Epic",E1027)),A1027,A1027+10000)</f>
        <v>16010</v>
      </c>
      <c r="D1027" s="10" t="s">
        <v>17</v>
      </c>
      <c r="E1027" s="7" t="s">
        <v>542</v>
      </c>
      <c r="F1027" s="7"/>
      <c r="G1027" s="7"/>
    </row>
    <row r="1028" spans="1:7" ht="20.25" customHeight="1">
      <c r="A1028" s="10"/>
      <c r="C1028" s="10"/>
      <c r="D1028" s="10"/>
      <c r="E1028" s="7"/>
      <c r="F1028" s="7"/>
      <c r="G1028" s="7"/>
    </row>
    <row r="1029" spans="1:7" ht="20.25" customHeight="1">
      <c r="A1029" s="10">
        <v>17511</v>
      </c>
      <c r="B1029" s="10">
        <v>24501</v>
      </c>
      <c r="C1029" s="10">
        <f t="shared" si="17"/>
        <v>17511</v>
      </c>
      <c r="D1029" s="10" t="s">
        <v>17</v>
      </c>
      <c r="E1029" s="7" t="s">
        <v>543</v>
      </c>
      <c r="F1029" s="7"/>
      <c r="G1029" s="7"/>
    </row>
    <row r="1030" spans="1:7" ht="20.25" customHeight="1">
      <c r="A1030" s="10">
        <v>18119</v>
      </c>
      <c r="B1030" s="10">
        <v>18134</v>
      </c>
      <c r="C1030" s="10">
        <f t="shared" si="17"/>
        <v>18119</v>
      </c>
      <c r="D1030" s="10" t="s">
        <v>17</v>
      </c>
      <c r="E1030" s="7" t="s">
        <v>544</v>
      </c>
      <c r="F1030" s="7"/>
      <c r="G1030" s="7"/>
    </row>
    <row r="1031" spans="1:7" ht="20.25" customHeight="1">
      <c r="A1031" s="10">
        <v>18133</v>
      </c>
      <c r="B1031" s="10">
        <v>18120</v>
      </c>
      <c r="C1031" s="10">
        <f t="shared" si="17"/>
        <v>18133</v>
      </c>
      <c r="D1031" s="10" t="s">
        <v>17</v>
      </c>
      <c r="E1031" s="7" t="s">
        <v>545</v>
      </c>
      <c r="F1031" s="7" t="s">
        <v>537</v>
      </c>
      <c r="G1031" s="7"/>
    </row>
    <row r="1032" spans="1:7" ht="20.25" customHeight="1">
      <c r="A1032" s="10">
        <v>20095</v>
      </c>
      <c r="B1032" s="10">
        <v>30095</v>
      </c>
      <c r="C1032" s="10">
        <f t="shared" si="17"/>
        <v>20095</v>
      </c>
      <c r="D1032" s="10" t="s">
        <v>17</v>
      </c>
      <c r="E1032" s="7" t="s">
        <v>546</v>
      </c>
      <c r="F1032" s="7" t="s">
        <v>537</v>
      </c>
      <c r="G1032" s="7"/>
    </row>
    <row r="1033" spans="1:7" ht="20.25" customHeight="1">
      <c r="A1033" s="10">
        <v>25562</v>
      </c>
      <c r="B1033" s="10">
        <v>25560</v>
      </c>
      <c r="C1033" s="10">
        <f t="shared" si="17"/>
        <v>25562</v>
      </c>
      <c r="D1033" s="10" t="s">
        <v>17</v>
      </c>
      <c r="E1033" s="7" t="s">
        <v>547</v>
      </c>
      <c r="F1033" s="7" t="s">
        <v>30</v>
      </c>
      <c r="G1033" s="7">
        <v>19875000</v>
      </c>
    </row>
    <row r="1034" spans="1:7" ht="20.25" customHeight="1">
      <c r="A1034" s="10">
        <v>50289</v>
      </c>
      <c r="B1034" s="10">
        <v>50289</v>
      </c>
      <c r="C1034" s="10">
        <f t="shared" si="17"/>
        <v>50289</v>
      </c>
      <c r="D1034" s="10" t="s">
        <v>17</v>
      </c>
      <c r="E1034" s="7" t="s">
        <v>469</v>
      </c>
      <c r="F1034" s="5" t="s">
        <v>548</v>
      </c>
      <c r="G1034" s="7"/>
    </row>
    <row r="1035" spans="1:7" ht="20.25" customHeight="1">
      <c r="A1035" s="10">
        <v>50314</v>
      </c>
      <c r="B1035" s="10">
        <v>50314</v>
      </c>
      <c r="C1035" s="10">
        <f t="shared" si="17"/>
        <v>50314</v>
      </c>
      <c r="D1035" s="10" t="s">
        <v>17</v>
      </c>
      <c r="E1035" s="7" t="s">
        <v>471</v>
      </c>
      <c r="F1035" s="7"/>
      <c r="G1035" s="7"/>
    </row>
    <row r="1036" spans="1:7" ht="20.25" customHeight="1">
      <c r="A1036" s="10">
        <v>50315</v>
      </c>
      <c r="B1036" s="10">
        <v>50315</v>
      </c>
      <c r="C1036" s="10">
        <f t="shared" si="17"/>
        <v>50315</v>
      </c>
      <c r="D1036" s="10" t="s">
        <v>17</v>
      </c>
      <c r="E1036" s="7" t="s">
        <v>472</v>
      </c>
      <c r="F1036" s="7"/>
      <c r="G1036" s="7"/>
    </row>
    <row r="1037" spans="1:7" ht="20.25" customHeight="1">
      <c r="A1037" s="10">
        <v>50316</v>
      </c>
      <c r="B1037" s="10">
        <v>50316</v>
      </c>
      <c r="C1037" s="10">
        <f t="shared" si="17"/>
        <v>50316</v>
      </c>
      <c r="D1037" s="10" t="s">
        <v>17</v>
      </c>
      <c r="E1037" s="7" t="s">
        <v>473</v>
      </c>
      <c r="F1037" s="7"/>
      <c r="G1037" s="7"/>
    </row>
    <row r="1038" spans="1:7" ht="20.25" customHeight="1">
      <c r="E1038" s="7"/>
    </row>
    <row r="1039" spans="1:7" ht="20.25" customHeight="1">
      <c r="E1039" s="7"/>
    </row>
    <row r="1040" spans="1:7" ht="20.25" customHeight="1">
      <c r="E1040" s="7"/>
    </row>
    <row r="1041" spans="5:5" ht="20.25" customHeight="1">
      <c r="E1041" s="7"/>
    </row>
    <row r="1042" spans="5:5" ht="20.25" customHeight="1">
      <c r="E1042" s="7"/>
    </row>
    <row r="1043" spans="5:5" ht="20.25" customHeight="1">
      <c r="E1043" s="7"/>
    </row>
    <row r="1044" spans="5:5" ht="20.25" customHeight="1">
      <c r="E1044" s="7"/>
    </row>
    <row r="1045" spans="5:5" ht="20.25" customHeight="1">
      <c r="E1045" s="7"/>
    </row>
    <row r="1046" spans="5:5" ht="20.25" customHeight="1">
      <c r="E1046" s="7"/>
    </row>
    <row r="1048" spans="5:5" ht="20.25" customHeight="1">
      <c r="E1048" s="7"/>
    </row>
    <row r="1049" spans="5:5" ht="20.25" customHeight="1">
      <c r="E1049" s="7"/>
    </row>
    <row r="1050" spans="5:5" ht="20.25" customHeight="1">
      <c r="E1050" s="7"/>
    </row>
    <row r="1051" spans="5:5" ht="20.25" customHeight="1">
      <c r="E1051" s="7"/>
    </row>
    <row r="1052" spans="5:5" ht="20.25" customHeight="1">
      <c r="E1052" s="7"/>
    </row>
    <row r="1053" spans="5:5" ht="20.25" customHeight="1">
      <c r="E1053" s="7"/>
    </row>
    <row r="1054" spans="5:5" ht="20.25" customHeight="1">
      <c r="E1054" s="7"/>
    </row>
    <row r="1055" spans="5:5" ht="20.25" customHeight="1">
      <c r="E1055" s="7"/>
    </row>
    <row r="1056" spans="5:5" ht="20.25" customHeight="1">
      <c r="E1056" s="7"/>
    </row>
    <row r="1057" spans="5:5" ht="20.25" customHeight="1">
      <c r="E1057" s="7"/>
    </row>
    <row r="1058" spans="5:5" ht="20.25" customHeight="1">
      <c r="E1058" s="7"/>
    </row>
    <row r="1059" spans="5:5" ht="20.25" customHeight="1">
      <c r="E1059" s="7"/>
    </row>
    <row r="1060" spans="5:5" ht="20.25" customHeight="1">
      <c r="E1060" s="7"/>
    </row>
    <row r="1061" spans="5:5" ht="20.25" customHeight="1">
      <c r="E1061" s="7"/>
    </row>
    <row r="1062" spans="5:5" ht="20.25" customHeight="1">
      <c r="E1062" s="7"/>
    </row>
    <row r="1063" spans="5:5" ht="20.25" customHeight="1">
      <c r="E1063" s="7"/>
    </row>
    <row r="1064" spans="5:5" ht="20.25" customHeight="1">
      <c r="E1064" s="7"/>
    </row>
    <row r="1065" spans="5:5" ht="20.25" customHeight="1">
      <c r="E1065" s="7"/>
    </row>
    <row r="1066" spans="5:5" ht="20.25" customHeight="1">
      <c r="E1066" s="7"/>
    </row>
    <row r="1067" spans="5:5" ht="20.25" customHeight="1">
      <c r="E1067" s="7"/>
    </row>
    <row r="1068" spans="5:5" ht="20.25" customHeight="1">
      <c r="E1068" s="7"/>
    </row>
    <row r="1069" spans="5:5" ht="20.25" customHeight="1">
      <c r="E1069" s="7"/>
    </row>
    <row r="1070" spans="5:5" ht="20.25" customHeight="1">
      <c r="E1070" s="7"/>
    </row>
    <row r="1071" spans="5:5" ht="20.25" customHeight="1">
      <c r="E1071" s="7"/>
    </row>
    <row r="1072" spans="5:5" ht="20.25" customHeight="1">
      <c r="E1072" s="7"/>
    </row>
    <row r="1073" spans="5:5" ht="20.25" customHeight="1">
      <c r="E1073" s="7"/>
    </row>
    <row r="1074" spans="5:5" ht="20.25" customHeight="1">
      <c r="E1074" s="7"/>
    </row>
    <row r="1075" spans="5:5" ht="20.25" customHeight="1">
      <c r="E1075" s="7"/>
    </row>
    <row r="1076" spans="5:5" ht="20.25" customHeight="1">
      <c r="E1076" s="7"/>
    </row>
    <row r="1077" spans="5:5" ht="20.25" customHeight="1">
      <c r="E1077" s="7"/>
    </row>
    <row r="1078" spans="5:5" ht="20.25" customHeight="1">
      <c r="E1078" s="7"/>
    </row>
    <row r="1079" spans="5:5" ht="20.25" customHeight="1">
      <c r="E1079" s="7"/>
    </row>
    <row r="1080" spans="5:5" ht="20.25" customHeight="1">
      <c r="E1080" s="7"/>
    </row>
    <row r="1081" spans="5:5" ht="20.25" customHeight="1">
      <c r="E1081" s="7"/>
    </row>
    <row r="1082" spans="5:5" ht="20.25" customHeight="1">
      <c r="E1082" s="5"/>
    </row>
    <row r="1083" spans="5:5" ht="20.25" customHeight="1">
      <c r="E1083" s="7"/>
    </row>
    <row r="1084" spans="5:5" ht="20.25" customHeight="1">
      <c r="E1084" s="7"/>
    </row>
    <row r="1085" spans="5:5" ht="20.25" customHeight="1">
      <c r="E1085" s="7"/>
    </row>
    <row r="1086" spans="5:5" ht="20.25" customHeight="1">
      <c r="E1086" s="7"/>
    </row>
    <row r="1087" spans="5:5" ht="20.25" customHeight="1">
      <c r="E1087" s="7"/>
    </row>
    <row r="1088" spans="5:5" ht="20.25" customHeight="1">
      <c r="E1088" s="7"/>
    </row>
    <row r="1089" spans="5:5" ht="20.25" customHeight="1">
      <c r="E1089" s="7"/>
    </row>
    <row r="1090" spans="5:5" ht="20.25" customHeight="1">
      <c r="E1090" s="7"/>
    </row>
    <row r="1091" spans="5:5" ht="20.25" customHeight="1">
      <c r="E1091" s="7"/>
    </row>
    <row r="1092" spans="5:5" ht="20.25" customHeight="1">
      <c r="E1092" s="111"/>
    </row>
    <row r="1093" spans="5:5" ht="20.25" customHeight="1">
      <c r="E1093" s="98"/>
    </row>
    <row r="1094" spans="5:5" ht="20.25" customHeight="1">
      <c r="E1094" s="7"/>
    </row>
    <row r="1095" spans="5:5" ht="20.25" customHeight="1">
      <c r="E1095" s="7"/>
    </row>
    <row r="1096" spans="5:5" ht="20.25" customHeight="1">
      <c r="E1096" s="7"/>
    </row>
    <row r="1097" spans="5:5" ht="20.25" customHeight="1">
      <c r="E1097" s="7"/>
    </row>
    <row r="1098" spans="5:5" ht="20.25" customHeight="1">
      <c r="E1098" s="7"/>
    </row>
    <row r="1099" spans="5:5" ht="20.25" customHeight="1">
      <c r="E1099" s="7"/>
    </row>
    <row r="1100" spans="5:5" ht="20.25" customHeight="1">
      <c r="E1100" s="7"/>
    </row>
    <row r="1101" spans="5:5" ht="20.25" customHeight="1">
      <c r="E1101" s="125"/>
    </row>
    <row r="1102" spans="5:5" ht="20.25" customHeight="1">
      <c r="E1102" s="7"/>
    </row>
    <row r="1103" spans="5:5" ht="20.25" customHeight="1">
      <c r="E1103" s="7"/>
    </row>
    <row r="1104" spans="5:5" ht="20.25" customHeight="1">
      <c r="E1104" s="7"/>
    </row>
    <row r="1105" spans="5:5" ht="20.25" customHeight="1">
      <c r="E1105" s="7"/>
    </row>
    <row r="1106" spans="5:5" ht="20.25" customHeight="1">
      <c r="E1106" s="7"/>
    </row>
    <row r="1107" spans="5:5" ht="20.25" customHeight="1">
      <c r="E1107" s="7"/>
    </row>
    <row r="1108" spans="5:5" ht="20.25" customHeight="1">
      <c r="E1108" s="7"/>
    </row>
    <row r="1109" spans="5:5" ht="20.25" customHeight="1">
      <c r="E1109" s="7"/>
    </row>
    <row r="1110" spans="5:5" ht="20.25" customHeight="1">
      <c r="E1110" s="7"/>
    </row>
  </sheetData>
  <sheetProtection algorithmName="SHA-512" hashValue="EY4lWB+zw6mvbLuba2Lkrhs/KKueDTkxeoCbI2ewmTGZydnPdssXSQvhkfHRWuXYO4Fd4ozGlRJ/HJVbq+JoYw==" saltValue="Z2SxFD22UF6rmCVMb0zjEA==" spinCount="100000" sheet="1" objects="1" scenarios="1"/>
  <autoFilter ref="A1:G1037" xr:uid="{172A3B6E-C01F-490E-A04B-F3FC087D4923}"/>
  <sortState xmlns:xlrd2="http://schemas.microsoft.com/office/spreadsheetml/2017/richdata2" ref="A3:E260">
    <sortCondition ref="A3"/>
  </sortState>
  <phoneticPr fontId="40" type="noConversion"/>
  <conditionalFormatting sqref="A1:A1048576">
    <cfRule type="duplicateValues" dxfId="146" priority="5" stopIfTrue="1"/>
  </conditionalFormatting>
  <conditionalFormatting sqref="B1:B3 B5:B13 B15:B1048576">
    <cfRule type="duplicateValues" dxfId="145" priority="6"/>
  </conditionalFormatting>
  <conditionalFormatting sqref="B2:B3 B6:B12 B16:B127 B131:B254 B257:B1025 B1031:B1032 B1035 B1038:B4999">
    <cfRule type="expression" dxfId="144" priority="14">
      <formula>OR(B2&lt;B1,B2&gt;B3)</formula>
    </cfRule>
  </conditionalFormatting>
  <conditionalFormatting sqref="B4">
    <cfRule type="duplicateValues" dxfId="143" priority="1" stopIfTrue="1"/>
  </conditionalFormatting>
  <conditionalFormatting sqref="B5">
    <cfRule type="expression" dxfId="142" priority="119">
      <formula>OR(B5&lt;#REF!,B5&gt;B6)</formula>
    </cfRule>
  </conditionalFormatting>
  <conditionalFormatting sqref="B13 B128:B129">
    <cfRule type="expression" dxfId="141" priority="112">
      <formula>OR(B13&lt;B12,B13&gt;B15)</formula>
    </cfRule>
  </conditionalFormatting>
  <conditionalFormatting sqref="B14">
    <cfRule type="duplicateValues" dxfId="140" priority="4" stopIfTrue="1"/>
  </conditionalFormatting>
  <conditionalFormatting sqref="B15 B130">
    <cfRule type="expression" dxfId="139" priority="111">
      <formula>OR(B15&lt;B13,B15&gt;B16)</formula>
    </cfRule>
  </conditionalFormatting>
  <conditionalFormatting sqref="B255">
    <cfRule type="expression" dxfId="138" priority="397">
      <formula>OR(B255&lt;B254,B255&gt;#REF!)</formula>
    </cfRule>
  </conditionalFormatting>
  <conditionalFormatting sqref="B256">
    <cfRule type="expression" dxfId="137" priority="396">
      <formula>OR(B256&lt;#REF!,B256&gt;B257)</formula>
    </cfRule>
  </conditionalFormatting>
  <conditionalFormatting sqref="B1026 B1036">
    <cfRule type="expression" dxfId="136" priority="150">
      <formula>OR(B1026&lt;B1025,B1026&gt;#REF!)</formula>
    </cfRule>
  </conditionalFormatting>
  <conditionalFormatting sqref="B1027:B1028">
    <cfRule type="expression" dxfId="135" priority="218">
      <formula>OR(B1027&lt;#REF!,B1027&gt;B1030)</formula>
    </cfRule>
  </conditionalFormatting>
  <conditionalFormatting sqref="B1029">
    <cfRule type="expression" dxfId="134" priority="165">
      <formula>OR(B1029&lt;#REF!,B1029&gt;B1031)</formula>
    </cfRule>
  </conditionalFormatting>
  <conditionalFormatting sqref="B1030">
    <cfRule type="expression" dxfId="133" priority="213">
      <formula>OR(B1030&lt;B1027,B1030&gt;B1031)</formula>
    </cfRule>
  </conditionalFormatting>
  <conditionalFormatting sqref="B1033">
    <cfRule type="expression" dxfId="132" priority="105">
      <formula>OR(B1033&lt;B1032,B1033&gt;#REF!)</formula>
    </cfRule>
  </conditionalFormatting>
  <conditionalFormatting sqref="B1034">
    <cfRule type="expression" dxfId="131" priority="104">
      <formula>OR(B1034&lt;#REF!,B1034&gt;B1035)</formula>
    </cfRule>
  </conditionalFormatting>
  <conditionalFormatting sqref="B1037">
    <cfRule type="expression" dxfId="130" priority="149">
      <formula>OR(B1037&lt;#REF!,B1037&gt;B1038)</formula>
    </cfRule>
  </conditionalFormatting>
  <conditionalFormatting sqref="C1:C1048576">
    <cfRule type="duplicateValues" dxfId="129" priority="7"/>
  </conditionalFormatting>
  <conditionalFormatting sqref="E1:E125 E127:E483 E485:E500 E503:E1048576">
    <cfRule type="containsBlanks" dxfId="128" priority="15">
      <formula>LEN(TRIM(E1))=0</formula>
    </cfRule>
  </conditionalFormatting>
  <conditionalFormatting sqref="E485:E500 E1:E125 E503:E1048576 E127:E483">
    <cfRule type="duplicateValues" dxfId="127" priority="13" stopIfTrue="1"/>
  </conditionalFormatting>
  <conditionalFormatting sqref="E1034">
    <cfRule type="containsText" priority="17" stopIfTrue="1" operator="containsText" text="Reserved">
      <formula>NOT(ISERROR(SEARCH("Reserved",E1034)))</formula>
    </cfRule>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tabColor theme="6" tint="0.59999389629810485"/>
  </sheetPr>
  <dimension ref="A1:G2113"/>
  <sheetViews>
    <sheetView tabSelected="1" zoomScale="115" zoomScaleNormal="115" workbookViewId="0">
      <pane ySplit="1" topLeftCell="A1620" activePane="bottomLeft" state="frozen"/>
      <selection pane="bottomLeft" activeCell="F1638" sqref="F1638"/>
      <selection activeCell="F334" sqref="F334"/>
    </sheetView>
  </sheetViews>
  <sheetFormatPr defaultColWidth="9.28515625" defaultRowHeight="20.25" customHeight="1"/>
  <cols>
    <col min="1" max="4" width="11.7109375" style="2" customWidth="1"/>
    <col min="5" max="5" width="53.28515625" style="8" customWidth="1"/>
    <col min="6" max="6" width="62.28515625" style="6" customWidth="1"/>
    <col min="7" max="7" width="35.42578125" style="18" bestFit="1" customWidth="1"/>
    <col min="8" max="16384" width="9.28515625" style="1"/>
  </cols>
  <sheetData>
    <row r="1" spans="1:7" ht="20.25" customHeight="1">
      <c r="A1" s="175" t="s">
        <v>10</v>
      </c>
      <c r="B1" s="175" t="s">
        <v>11</v>
      </c>
      <c r="C1" s="175" t="s">
        <v>12</v>
      </c>
      <c r="D1" s="175" t="s">
        <v>13</v>
      </c>
      <c r="E1" s="216" t="s">
        <v>14</v>
      </c>
      <c r="F1" s="175" t="s">
        <v>15</v>
      </c>
      <c r="G1" s="176" t="s">
        <v>16</v>
      </c>
    </row>
    <row r="2" spans="1:7" ht="20.25" customHeight="1">
      <c r="A2" s="10">
        <v>1111</v>
      </c>
      <c r="B2" s="10">
        <v>1111</v>
      </c>
      <c r="C2" s="10">
        <f>IF(ISERROR(FIND("B_Epic",E2)),A2,A2+10000)</f>
        <v>1111</v>
      </c>
      <c r="D2" s="10" t="s">
        <v>549</v>
      </c>
      <c r="E2" s="7" t="s">
        <v>550</v>
      </c>
      <c r="F2" s="5"/>
      <c r="G2" s="22"/>
    </row>
    <row r="3" spans="1:7" ht="20.25" customHeight="1">
      <c r="A3" s="10">
        <v>1111</v>
      </c>
      <c r="B3" s="10">
        <v>1111</v>
      </c>
      <c r="C3" s="10">
        <f t="shared" ref="C3:C68" si="0">IF(ISERROR(FIND("B_Epic",E3)),A3,A3+10000)</f>
        <v>1111</v>
      </c>
      <c r="D3" s="10" t="s">
        <v>549</v>
      </c>
      <c r="E3" s="7" t="s">
        <v>551</v>
      </c>
      <c r="F3" s="5"/>
      <c r="G3" s="22"/>
    </row>
    <row r="4" spans="1:7" ht="20.25" customHeight="1">
      <c r="A4" s="10">
        <v>1145</v>
      </c>
      <c r="B4" s="10">
        <v>1150</v>
      </c>
      <c r="C4" s="10">
        <f t="shared" si="0"/>
        <v>1145</v>
      </c>
      <c r="D4" s="10" t="s">
        <v>549</v>
      </c>
      <c r="E4" s="5" t="s">
        <v>552</v>
      </c>
      <c r="F4" s="5"/>
      <c r="G4" s="22"/>
    </row>
    <row r="5" spans="1:7" ht="20.25" customHeight="1">
      <c r="A5" s="10">
        <v>2102</v>
      </c>
      <c r="B5" s="10">
        <v>2102</v>
      </c>
      <c r="C5" s="10">
        <f t="shared" si="0"/>
        <v>2102</v>
      </c>
      <c r="D5" s="10" t="s">
        <v>549</v>
      </c>
      <c r="E5" s="5" t="s">
        <v>553</v>
      </c>
      <c r="F5" s="5"/>
      <c r="G5" s="22"/>
    </row>
    <row r="6" spans="1:7" ht="20.25" customHeight="1">
      <c r="A6" s="10">
        <v>2577</v>
      </c>
      <c r="B6" s="10">
        <v>2575</v>
      </c>
      <c r="C6" s="10">
        <f t="shared" si="0"/>
        <v>2577</v>
      </c>
      <c r="D6" s="10" t="s">
        <v>549</v>
      </c>
      <c r="E6" s="5" t="s">
        <v>554</v>
      </c>
      <c r="F6" s="5" t="s">
        <v>19</v>
      </c>
      <c r="G6" s="22"/>
    </row>
    <row r="7" spans="1:7" ht="20.25" customHeight="1">
      <c r="A7" s="10">
        <v>4545</v>
      </c>
      <c r="B7" s="10">
        <v>4500</v>
      </c>
      <c r="C7" s="10">
        <f t="shared" si="0"/>
        <v>4545</v>
      </c>
      <c r="D7" s="10" t="s">
        <v>549</v>
      </c>
      <c r="E7" s="5" t="s">
        <v>555</v>
      </c>
      <c r="F7" s="5"/>
      <c r="G7" s="22"/>
    </row>
    <row r="8" spans="1:7" ht="20.25" customHeight="1">
      <c r="A8" s="10">
        <v>4545</v>
      </c>
      <c r="B8" s="10">
        <v>4510</v>
      </c>
      <c r="C8" s="10">
        <f t="shared" si="0"/>
        <v>4545</v>
      </c>
      <c r="D8" s="10" t="s">
        <v>549</v>
      </c>
      <c r="E8" s="7" t="s">
        <v>556</v>
      </c>
      <c r="F8" s="5"/>
      <c r="G8" s="22"/>
    </row>
    <row r="9" spans="1:7" ht="20.25" customHeight="1">
      <c r="A9" s="10">
        <v>6021</v>
      </c>
      <c r="B9" s="10">
        <v>6021</v>
      </c>
      <c r="C9" s="10">
        <f t="shared" si="0"/>
        <v>6021</v>
      </c>
      <c r="D9" s="10" t="s">
        <v>549</v>
      </c>
      <c r="E9" s="7" t="s">
        <v>557</v>
      </c>
      <c r="F9" s="5" t="s">
        <v>558</v>
      </c>
      <c r="G9" s="22" t="s">
        <v>559</v>
      </c>
    </row>
    <row r="10" spans="1:7" ht="20.25" customHeight="1">
      <c r="A10" s="10">
        <v>1122</v>
      </c>
      <c r="B10" s="10">
        <v>7071</v>
      </c>
      <c r="C10" s="10">
        <f t="shared" si="0"/>
        <v>1122</v>
      </c>
      <c r="D10" s="10" t="s">
        <v>549</v>
      </c>
      <c r="E10" s="7" t="s">
        <v>560</v>
      </c>
      <c r="F10" s="5"/>
      <c r="G10" s="22"/>
    </row>
    <row r="11" spans="1:7" ht="20.25" customHeight="1">
      <c r="A11" s="10">
        <v>7106</v>
      </c>
      <c r="B11" s="10">
        <v>7106</v>
      </c>
      <c r="C11" s="10">
        <v>7106</v>
      </c>
      <c r="D11" s="99" t="s">
        <v>549</v>
      </c>
      <c r="E11" s="8" t="s">
        <v>561</v>
      </c>
      <c r="F11" s="166"/>
      <c r="G11" s="22"/>
    </row>
    <row r="12" spans="1:7" ht="20.25" customHeight="1">
      <c r="A12" s="10">
        <v>7107</v>
      </c>
      <c r="B12" s="10">
        <v>7107</v>
      </c>
      <c r="C12" s="10">
        <v>7107</v>
      </c>
      <c r="D12" s="99" t="s">
        <v>549</v>
      </c>
      <c r="E12" s="8" t="s">
        <v>562</v>
      </c>
      <c r="F12" s="166"/>
      <c r="G12" s="22"/>
    </row>
    <row r="13" spans="1:7" ht="20.25" customHeight="1">
      <c r="A13" s="10">
        <v>7421</v>
      </c>
      <c r="B13" s="10">
        <v>7421</v>
      </c>
      <c r="C13" s="10">
        <f t="shared" si="0"/>
        <v>7421</v>
      </c>
      <c r="D13" s="10" t="s">
        <v>549</v>
      </c>
      <c r="E13" s="7" t="s">
        <v>563</v>
      </c>
      <c r="F13" s="5" t="s">
        <v>564</v>
      </c>
      <c r="G13" s="22"/>
    </row>
    <row r="14" spans="1:7" ht="20.25" customHeight="1">
      <c r="A14" s="10">
        <v>7505</v>
      </c>
      <c r="B14" s="10">
        <v>7505</v>
      </c>
      <c r="C14" s="10">
        <f t="shared" si="0"/>
        <v>7505</v>
      </c>
      <c r="D14" s="10" t="s">
        <v>549</v>
      </c>
      <c r="E14" s="7" t="s">
        <v>565</v>
      </c>
      <c r="F14" s="5"/>
      <c r="G14" s="22"/>
    </row>
    <row r="15" spans="1:7" ht="20.25" customHeight="1">
      <c r="A15" s="10">
        <v>7506</v>
      </c>
      <c r="B15" s="10">
        <v>7506</v>
      </c>
      <c r="C15" s="10">
        <f t="shared" si="0"/>
        <v>7506</v>
      </c>
      <c r="D15" s="10" t="s">
        <v>549</v>
      </c>
      <c r="E15" s="7" t="s">
        <v>566</v>
      </c>
      <c r="F15" s="5"/>
      <c r="G15" s="22"/>
    </row>
    <row r="16" spans="1:7" ht="20.25" customHeight="1">
      <c r="A16" s="10">
        <v>7549</v>
      </c>
      <c r="B16" s="10">
        <v>7550</v>
      </c>
      <c r="C16" s="10">
        <f>IF(ISERROR(FIND("B_Epic",E16)),A16,A16+10000)</f>
        <v>7549</v>
      </c>
      <c r="D16" s="10" t="s">
        <v>567</v>
      </c>
      <c r="E16" s="7" t="s">
        <v>568</v>
      </c>
      <c r="F16" s="5"/>
      <c r="G16" s="22"/>
    </row>
    <row r="17" spans="1:7" ht="20.25" customHeight="1">
      <c r="A17" s="10">
        <v>7690</v>
      </c>
      <c r="B17" s="10">
        <v>7690</v>
      </c>
      <c r="C17" s="10">
        <f t="shared" si="0"/>
        <v>7690</v>
      </c>
      <c r="D17" s="10" t="s">
        <v>549</v>
      </c>
      <c r="E17" s="7" t="s">
        <v>569</v>
      </c>
      <c r="F17" s="5" t="s">
        <v>570</v>
      </c>
      <c r="G17" s="22"/>
    </row>
    <row r="18" spans="1:7" ht="20.25" customHeight="1">
      <c r="A18" s="10">
        <v>8136</v>
      </c>
      <c r="B18" s="10">
        <v>8135</v>
      </c>
      <c r="C18" s="10">
        <f t="shared" si="0"/>
        <v>8136</v>
      </c>
      <c r="D18" s="10" t="s">
        <v>549</v>
      </c>
      <c r="E18" s="7" t="s">
        <v>571</v>
      </c>
      <c r="F18" s="5" t="s">
        <v>572</v>
      </c>
      <c r="G18" s="22"/>
    </row>
    <row r="19" spans="1:7" ht="20.25" customHeight="1">
      <c r="A19" s="10">
        <v>8795</v>
      </c>
      <c r="B19" s="10">
        <v>8795</v>
      </c>
      <c r="C19" s="10">
        <f t="shared" si="0"/>
        <v>8795</v>
      </c>
      <c r="D19" s="10" t="s">
        <v>567</v>
      </c>
      <c r="E19" s="7" t="s">
        <v>573</v>
      </c>
      <c r="F19" s="5"/>
      <c r="G19" s="22"/>
    </row>
    <row r="20" spans="1:7" ht="20.25" customHeight="1">
      <c r="A20" s="10">
        <v>8000</v>
      </c>
      <c r="B20" s="10">
        <v>9000</v>
      </c>
      <c r="C20" s="10">
        <f t="shared" si="0"/>
        <v>8000</v>
      </c>
      <c r="D20" s="10" t="s">
        <v>549</v>
      </c>
      <c r="E20" s="7" t="s">
        <v>574</v>
      </c>
      <c r="F20" s="5"/>
      <c r="G20" s="22"/>
    </row>
    <row r="21" spans="1:7" ht="20.25" customHeight="1">
      <c r="A21" s="10">
        <v>9000</v>
      </c>
      <c r="B21" s="10">
        <v>9000</v>
      </c>
      <c r="C21" s="10">
        <f t="shared" si="0"/>
        <v>9000</v>
      </c>
      <c r="D21" s="10" t="s">
        <v>549</v>
      </c>
      <c r="E21" s="133" t="s">
        <v>575</v>
      </c>
      <c r="F21" s="5"/>
      <c r="G21" s="9">
        <v>43986100</v>
      </c>
    </row>
    <row r="22" spans="1:7" ht="20.25" customHeight="1">
      <c r="A22" s="10">
        <v>9065</v>
      </c>
      <c r="B22" s="10">
        <v>9066</v>
      </c>
      <c r="C22" s="10">
        <f t="shared" si="0"/>
        <v>9065</v>
      </c>
      <c r="D22" s="10" t="s">
        <v>549</v>
      </c>
      <c r="E22" s="7" t="s">
        <v>576</v>
      </c>
      <c r="F22" s="5"/>
      <c r="G22" s="22"/>
    </row>
    <row r="23" spans="1:7" ht="20.25" customHeight="1">
      <c r="A23" s="10">
        <v>9069</v>
      </c>
      <c r="B23" s="10">
        <v>9070</v>
      </c>
      <c r="C23" s="10">
        <f t="shared" si="0"/>
        <v>9069</v>
      </c>
      <c r="D23" s="10" t="s">
        <v>549</v>
      </c>
      <c r="E23" s="7" t="s">
        <v>577</v>
      </c>
      <c r="F23" s="5"/>
      <c r="G23" s="22"/>
    </row>
    <row r="24" spans="1:7" ht="20.25" customHeight="1">
      <c r="A24" s="10">
        <v>9090</v>
      </c>
      <c r="B24" s="10">
        <v>9091</v>
      </c>
      <c r="C24" s="10">
        <f t="shared" si="0"/>
        <v>9090</v>
      </c>
      <c r="D24" s="10" t="s">
        <v>549</v>
      </c>
      <c r="E24" s="7" t="s">
        <v>578</v>
      </c>
      <c r="F24" s="5"/>
      <c r="G24" s="22" t="s">
        <v>579</v>
      </c>
    </row>
    <row r="25" spans="1:7" ht="20.25" customHeight="1">
      <c r="A25" s="10">
        <v>8111</v>
      </c>
      <c r="B25" s="10">
        <v>9111</v>
      </c>
      <c r="C25" s="10">
        <f t="shared" si="0"/>
        <v>8111</v>
      </c>
      <c r="D25" s="10" t="s">
        <v>549</v>
      </c>
      <c r="E25" s="7" t="s">
        <v>580</v>
      </c>
      <c r="F25" s="5"/>
      <c r="G25" s="22"/>
    </row>
    <row r="26" spans="1:7" ht="20.25" customHeight="1">
      <c r="A26" s="10">
        <v>8112</v>
      </c>
      <c r="B26" s="10">
        <v>9112</v>
      </c>
      <c r="C26" s="10">
        <f t="shared" si="0"/>
        <v>8112</v>
      </c>
      <c r="D26" s="10" t="s">
        <v>549</v>
      </c>
      <c r="E26" s="7" t="s">
        <v>581</v>
      </c>
      <c r="F26" s="5"/>
      <c r="G26" s="22"/>
    </row>
    <row r="27" spans="1:7" ht="20.25" customHeight="1">
      <c r="A27" s="10">
        <v>9512</v>
      </c>
      <c r="B27" s="10">
        <v>9512</v>
      </c>
      <c r="C27" s="10">
        <f t="shared" si="0"/>
        <v>9512</v>
      </c>
      <c r="D27" s="10" t="s">
        <v>549</v>
      </c>
      <c r="E27" s="7" t="s">
        <v>582</v>
      </c>
      <c r="F27" s="166"/>
      <c r="G27" s="22"/>
    </row>
    <row r="28" spans="1:7" ht="20.25" customHeight="1">
      <c r="A28" s="10">
        <v>9606</v>
      </c>
      <c r="B28" s="10">
        <v>9606</v>
      </c>
      <c r="C28" s="10">
        <f t="shared" si="0"/>
        <v>9606</v>
      </c>
      <c r="D28" s="10" t="s">
        <v>549</v>
      </c>
      <c r="E28" s="7" t="s">
        <v>583</v>
      </c>
      <c r="F28" s="5"/>
      <c r="G28" s="22" t="s">
        <v>584</v>
      </c>
    </row>
    <row r="29" spans="1:7" ht="20.25" customHeight="1">
      <c r="A29" s="10">
        <v>9656</v>
      </c>
      <c r="B29" s="10">
        <v>9656</v>
      </c>
      <c r="C29" s="10">
        <f t="shared" si="0"/>
        <v>9656</v>
      </c>
      <c r="D29" s="10" t="s">
        <v>549</v>
      </c>
      <c r="E29" s="7" t="s">
        <v>585</v>
      </c>
      <c r="F29" s="7" t="s">
        <v>586</v>
      </c>
      <c r="G29" s="22"/>
    </row>
    <row r="30" spans="1:7" ht="20.25" customHeight="1">
      <c r="A30" s="10">
        <v>9773</v>
      </c>
      <c r="B30" s="10">
        <v>9773</v>
      </c>
      <c r="C30" s="10">
        <f t="shared" si="0"/>
        <v>9773</v>
      </c>
      <c r="D30" s="10" t="s">
        <v>549</v>
      </c>
      <c r="E30" s="7" t="s">
        <v>587</v>
      </c>
      <c r="F30" s="7"/>
      <c r="G30" s="22"/>
    </row>
    <row r="31" spans="1:7" ht="20.25" customHeight="1">
      <c r="A31" s="10">
        <v>9911</v>
      </c>
      <c r="B31" s="10">
        <v>9911</v>
      </c>
      <c r="C31" s="10">
        <f t="shared" si="0"/>
        <v>9911</v>
      </c>
      <c r="D31" s="10" t="s">
        <v>549</v>
      </c>
      <c r="E31" s="7" t="s">
        <v>588</v>
      </c>
      <c r="F31" s="5"/>
      <c r="G31" s="22"/>
    </row>
    <row r="32" spans="1:7" ht="20.25" customHeight="1">
      <c r="A32" s="10">
        <v>10114</v>
      </c>
      <c r="B32" s="10">
        <v>10114</v>
      </c>
      <c r="C32" s="10">
        <f t="shared" si="0"/>
        <v>10114</v>
      </c>
      <c r="D32" s="10" t="s">
        <v>549</v>
      </c>
      <c r="E32" s="7" t="s">
        <v>589</v>
      </c>
      <c r="F32" s="5" t="s">
        <v>590</v>
      </c>
      <c r="G32" s="22"/>
    </row>
    <row r="33" spans="1:7" ht="20.25" customHeight="1">
      <c r="A33" s="10">
        <v>10232</v>
      </c>
      <c r="B33" s="10">
        <v>10233</v>
      </c>
      <c r="C33" s="10">
        <f t="shared" si="0"/>
        <v>10232</v>
      </c>
      <c r="D33" s="10" t="s">
        <v>549</v>
      </c>
      <c r="E33" s="7" t="s">
        <v>591</v>
      </c>
      <c r="F33" s="5"/>
      <c r="G33" s="22" t="s">
        <v>592</v>
      </c>
    </row>
    <row r="34" spans="1:7" ht="20.25" customHeight="1">
      <c r="A34" s="10">
        <v>10300</v>
      </c>
      <c r="B34" s="10">
        <v>10301</v>
      </c>
      <c r="C34" s="10">
        <f t="shared" si="0"/>
        <v>10300</v>
      </c>
      <c r="D34" s="10" t="s">
        <v>549</v>
      </c>
      <c r="E34" s="7" t="s">
        <v>593</v>
      </c>
      <c r="F34" s="5"/>
      <c r="G34" s="27">
        <v>226212131062</v>
      </c>
    </row>
    <row r="35" spans="1:7" ht="20.25" customHeight="1">
      <c r="A35" s="10">
        <v>10436</v>
      </c>
      <c r="B35" s="10">
        <v>10436</v>
      </c>
      <c r="C35" s="10">
        <f t="shared" si="0"/>
        <v>10436</v>
      </c>
      <c r="D35" s="10" t="s">
        <v>549</v>
      </c>
      <c r="E35" s="7" t="s">
        <v>594</v>
      </c>
      <c r="F35" s="5"/>
      <c r="G35" s="22"/>
    </row>
    <row r="36" spans="1:7" ht="20.25" customHeight="1">
      <c r="A36" s="10">
        <v>10440</v>
      </c>
      <c r="B36" s="10">
        <v>10529</v>
      </c>
      <c r="C36" s="10">
        <f t="shared" si="0"/>
        <v>10440</v>
      </c>
      <c r="D36" s="10" t="s">
        <v>549</v>
      </c>
      <c r="E36" s="7" t="s">
        <v>595</v>
      </c>
      <c r="F36" s="5"/>
      <c r="G36" s="167" t="s">
        <v>596</v>
      </c>
    </row>
    <row r="37" spans="1:7" ht="20.25" customHeight="1">
      <c r="A37" s="10">
        <v>10449</v>
      </c>
      <c r="B37" s="10">
        <v>10538</v>
      </c>
      <c r="C37" s="10">
        <f t="shared" si="0"/>
        <v>10449</v>
      </c>
      <c r="D37" s="10" t="s">
        <v>549</v>
      </c>
      <c r="E37" s="7" t="s">
        <v>597</v>
      </c>
      <c r="F37" s="5"/>
      <c r="G37" s="167" t="s">
        <v>596</v>
      </c>
    </row>
    <row r="38" spans="1:7" ht="20.25" customHeight="1">
      <c r="A38" s="10">
        <v>10452</v>
      </c>
      <c r="B38" s="10">
        <v>10541</v>
      </c>
      <c r="C38" s="10">
        <f t="shared" si="0"/>
        <v>10452</v>
      </c>
      <c r="D38" s="10" t="s">
        <v>549</v>
      </c>
      <c r="E38" s="7" t="s">
        <v>598</v>
      </c>
      <c r="F38" s="5"/>
      <c r="G38" s="167" t="s">
        <v>596</v>
      </c>
    </row>
    <row r="39" spans="1:7" ht="20.25" customHeight="1">
      <c r="A39" s="10">
        <v>10625</v>
      </c>
      <c r="B39" s="21">
        <v>10625</v>
      </c>
      <c r="C39" s="10">
        <f t="shared" si="0"/>
        <v>10625</v>
      </c>
      <c r="D39" s="10" t="s">
        <v>67</v>
      </c>
      <c r="E39" s="7" t="s">
        <v>599</v>
      </c>
      <c r="F39" s="7" t="s">
        <v>600</v>
      </c>
      <c r="G39" s="22"/>
    </row>
    <row r="40" spans="1:7" ht="20.25" customHeight="1">
      <c r="A40" s="10">
        <v>10626</v>
      </c>
      <c r="B40" s="10">
        <v>10626</v>
      </c>
      <c r="C40" s="10">
        <f t="shared" si="0"/>
        <v>10626</v>
      </c>
      <c r="D40" s="10" t="s">
        <v>67</v>
      </c>
      <c r="E40" s="7" t="s">
        <v>600</v>
      </c>
      <c r="F40" s="5"/>
      <c r="G40" s="22"/>
    </row>
    <row r="41" spans="1:7" ht="20.25" customHeight="1">
      <c r="A41" s="13">
        <v>8774</v>
      </c>
      <c r="B41" s="10">
        <v>10774</v>
      </c>
      <c r="C41" s="10">
        <f t="shared" si="0"/>
        <v>8774</v>
      </c>
      <c r="D41" s="10" t="s">
        <v>549</v>
      </c>
      <c r="E41" s="7" t="s">
        <v>587</v>
      </c>
      <c r="F41" s="5"/>
      <c r="G41" s="22"/>
    </row>
    <row r="42" spans="1:7" ht="20.25" customHeight="1">
      <c r="A42" s="10">
        <v>10778</v>
      </c>
      <c r="B42" s="10">
        <v>10780</v>
      </c>
      <c r="C42" s="10">
        <f t="shared" si="0"/>
        <v>10778</v>
      </c>
      <c r="D42" s="10" t="s">
        <v>67</v>
      </c>
      <c r="E42" s="7" t="s">
        <v>601</v>
      </c>
      <c r="F42" s="5"/>
      <c r="G42" s="22" t="s">
        <v>602</v>
      </c>
    </row>
    <row r="43" spans="1:7" ht="20.25" customHeight="1">
      <c r="A43" s="10">
        <v>11046</v>
      </c>
      <c r="B43" s="10">
        <v>11046</v>
      </c>
      <c r="C43" s="10">
        <f t="shared" si="0"/>
        <v>11046</v>
      </c>
      <c r="D43" s="10" t="s">
        <v>549</v>
      </c>
      <c r="E43" s="7" t="s">
        <v>603</v>
      </c>
      <c r="F43" s="5" t="s">
        <v>604</v>
      </c>
      <c r="G43" s="22" t="s">
        <v>538</v>
      </c>
    </row>
    <row r="44" spans="1:7" ht="20.25" customHeight="1">
      <c r="A44" s="10">
        <v>11136</v>
      </c>
      <c r="B44" s="10">
        <v>11136</v>
      </c>
      <c r="C44" s="10">
        <f t="shared" si="0"/>
        <v>11136</v>
      </c>
      <c r="D44" s="10" t="s">
        <v>549</v>
      </c>
      <c r="E44" s="7" t="s">
        <v>605</v>
      </c>
      <c r="F44" s="5"/>
      <c r="G44" s="22"/>
    </row>
    <row r="45" spans="1:7" ht="20.25" customHeight="1">
      <c r="A45" s="10">
        <v>7163</v>
      </c>
      <c r="B45" s="10">
        <v>11410</v>
      </c>
      <c r="C45" s="10">
        <f t="shared" si="0"/>
        <v>7163</v>
      </c>
      <c r="D45" s="10" t="s">
        <v>67</v>
      </c>
      <c r="E45" s="7" t="s">
        <v>606</v>
      </c>
      <c r="F45" s="5"/>
      <c r="G45" s="22"/>
    </row>
    <row r="46" spans="1:7" ht="20.25" customHeight="1">
      <c r="A46" s="10">
        <v>11529</v>
      </c>
      <c r="B46" s="10">
        <v>11530</v>
      </c>
      <c r="C46" s="10">
        <f t="shared" si="0"/>
        <v>11529</v>
      </c>
      <c r="D46" s="10" t="s">
        <v>549</v>
      </c>
      <c r="E46" s="7" t="s">
        <v>607</v>
      </c>
      <c r="F46" s="5" t="s">
        <v>608</v>
      </c>
      <c r="G46" s="22"/>
    </row>
    <row r="47" spans="1:7" ht="20.25" customHeight="1">
      <c r="A47" s="10">
        <v>11827</v>
      </c>
      <c r="B47" s="10">
        <v>11830</v>
      </c>
      <c r="C47" s="10">
        <f t="shared" si="0"/>
        <v>11827</v>
      </c>
      <c r="D47" s="10" t="s">
        <v>549</v>
      </c>
      <c r="E47" s="7" t="s">
        <v>593</v>
      </c>
      <c r="F47" s="5" t="s">
        <v>609</v>
      </c>
      <c r="G47" s="22"/>
    </row>
    <row r="48" spans="1:7" ht="20.25" customHeight="1">
      <c r="A48" s="10">
        <v>12400</v>
      </c>
      <c r="B48" s="10">
        <v>12400</v>
      </c>
      <c r="C48" s="10">
        <f t="shared" si="0"/>
        <v>12400</v>
      </c>
      <c r="D48" s="10" t="s">
        <v>549</v>
      </c>
      <c r="E48" s="7" t="s">
        <v>610</v>
      </c>
      <c r="F48" s="5"/>
      <c r="G48" s="22" t="s">
        <v>611</v>
      </c>
    </row>
    <row r="49" spans="1:7" ht="20.25" customHeight="1">
      <c r="A49" s="10">
        <v>12402</v>
      </c>
      <c r="B49" s="10">
        <v>12402</v>
      </c>
      <c r="C49" s="10">
        <f t="shared" si="0"/>
        <v>12402</v>
      </c>
      <c r="D49" s="10" t="s">
        <v>549</v>
      </c>
      <c r="E49" s="7" t="s">
        <v>610</v>
      </c>
      <c r="F49" s="5"/>
      <c r="G49" s="22" t="s">
        <v>611</v>
      </c>
    </row>
    <row r="50" spans="1:7" ht="20.25" customHeight="1">
      <c r="A50" s="10">
        <v>12450</v>
      </c>
      <c r="B50" s="10">
        <v>12455</v>
      </c>
      <c r="C50" s="10">
        <f t="shared" si="0"/>
        <v>12450</v>
      </c>
      <c r="D50" s="10" t="s">
        <v>549</v>
      </c>
      <c r="E50" s="7" t="s">
        <v>612</v>
      </c>
      <c r="F50" s="5" t="s">
        <v>613</v>
      </c>
      <c r="G50" s="22"/>
    </row>
    <row r="51" spans="1:7" ht="20.25" customHeight="1">
      <c r="A51" s="10">
        <v>16260</v>
      </c>
      <c r="B51" s="10">
        <v>13528</v>
      </c>
      <c r="C51" s="10">
        <f t="shared" si="0"/>
        <v>16260</v>
      </c>
      <c r="D51" s="10" t="s">
        <v>549</v>
      </c>
      <c r="E51" s="7" t="s">
        <v>614</v>
      </c>
      <c r="F51" s="5"/>
      <c r="G51" s="22"/>
    </row>
    <row r="52" spans="1:7" ht="20.25" customHeight="1">
      <c r="A52" s="10">
        <v>11000</v>
      </c>
      <c r="B52" s="10">
        <v>15000</v>
      </c>
      <c r="C52" s="10">
        <f t="shared" si="0"/>
        <v>11000</v>
      </c>
      <c r="D52" s="10" t="s">
        <v>549</v>
      </c>
      <c r="E52" s="7" t="s">
        <v>615</v>
      </c>
      <c r="F52" s="5"/>
      <c r="G52" s="22"/>
    </row>
    <row r="53" spans="1:7" ht="20.25" customHeight="1">
      <c r="A53" s="10">
        <v>15000</v>
      </c>
      <c r="B53" s="10">
        <v>15000</v>
      </c>
      <c r="C53" s="10">
        <f t="shared" si="0"/>
        <v>15000</v>
      </c>
      <c r="D53" s="10" t="s">
        <v>549</v>
      </c>
      <c r="E53" s="7" t="s">
        <v>616</v>
      </c>
      <c r="F53" s="5" t="s">
        <v>617</v>
      </c>
      <c r="G53" s="22"/>
    </row>
    <row r="54" spans="1:7" ht="20.25" customHeight="1">
      <c r="A54" s="10">
        <v>11000</v>
      </c>
      <c r="B54" s="10">
        <v>15000</v>
      </c>
      <c r="C54" s="10">
        <f t="shared" si="0"/>
        <v>21000</v>
      </c>
      <c r="D54" s="10" t="s">
        <v>567</v>
      </c>
      <c r="E54" s="7" t="s">
        <v>618</v>
      </c>
      <c r="F54" s="5" t="s">
        <v>619</v>
      </c>
      <c r="G54" s="22"/>
    </row>
    <row r="55" spans="1:7" ht="20.25" customHeight="1">
      <c r="A55" s="10">
        <v>11001</v>
      </c>
      <c r="B55" s="10">
        <v>15001</v>
      </c>
      <c r="C55" s="10">
        <f t="shared" si="0"/>
        <v>11001</v>
      </c>
      <c r="D55" s="10" t="s">
        <v>549</v>
      </c>
      <c r="E55" s="7" t="s">
        <v>620</v>
      </c>
      <c r="F55" s="5"/>
      <c r="G55" s="22"/>
    </row>
    <row r="56" spans="1:7" ht="20.25" customHeight="1">
      <c r="A56" s="10">
        <v>11002</v>
      </c>
      <c r="B56" s="10">
        <v>15002</v>
      </c>
      <c r="C56" s="10">
        <f t="shared" si="0"/>
        <v>11002</v>
      </c>
      <c r="D56" s="10" t="s">
        <v>549</v>
      </c>
      <c r="E56" s="7" t="s">
        <v>621</v>
      </c>
      <c r="F56" s="5" t="s">
        <v>622</v>
      </c>
      <c r="G56" s="22"/>
    </row>
    <row r="57" spans="1:7" ht="20.25" customHeight="1">
      <c r="A57" s="10">
        <v>11003</v>
      </c>
      <c r="B57" s="10">
        <v>15003</v>
      </c>
      <c r="C57" s="10">
        <f t="shared" si="0"/>
        <v>21003</v>
      </c>
      <c r="D57" s="10" t="s">
        <v>567</v>
      </c>
      <c r="E57" s="7" t="s">
        <v>623</v>
      </c>
      <c r="F57" s="5" t="s">
        <v>619</v>
      </c>
      <c r="G57" s="22"/>
    </row>
    <row r="58" spans="1:7" ht="20.25" customHeight="1">
      <c r="A58" s="10">
        <v>11004</v>
      </c>
      <c r="B58" s="10">
        <v>15004</v>
      </c>
      <c r="C58" s="10">
        <f t="shared" si="0"/>
        <v>21004</v>
      </c>
      <c r="D58" s="10" t="s">
        <v>549</v>
      </c>
      <c r="E58" s="7" t="s">
        <v>624</v>
      </c>
      <c r="F58" s="109" t="s">
        <v>625</v>
      </c>
      <c r="G58" s="22"/>
    </row>
    <row r="59" spans="1:7" ht="20.25" customHeight="1">
      <c r="A59" s="10">
        <v>11005</v>
      </c>
      <c r="B59" s="10">
        <v>15005</v>
      </c>
      <c r="C59" s="10">
        <f t="shared" si="0"/>
        <v>21005</v>
      </c>
      <c r="D59" s="10" t="s">
        <v>567</v>
      </c>
      <c r="E59" s="7" t="s">
        <v>626</v>
      </c>
      <c r="F59" s="5" t="s">
        <v>619</v>
      </c>
      <c r="G59" s="22"/>
    </row>
    <row r="60" spans="1:7" ht="20.25" customHeight="1">
      <c r="A60" s="10">
        <v>11006</v>
      </c>
      <c r="B60" s="10">
        <v>15006</v>
      </c>
      <c r="C60" s="10">
        <f t="shared" si="0"/>
        <v>21006</v>
      </c>
      <c r="D60" s="10" t="s">
        <v>567</v>
      </c>
      <c r="E60" s="7" t="s">
        <v>627</v>
      </c>
      <c r="F60" s="5" t="s">
        <v>619</v>
      </c>
      <c r="G60" s="22"/>
    </row>
    <row r="61" spans="1:7" ht="20.25" customHeight="1">
      <c r="A61" s="10">
        <v>11007</v>
      </c>
      <c r="B61" s="10">
        <v>15007</v>
      </c>
      <c r="C61" s="10">
        <f t="shared" si="0"/>
        <v>11007</v>
      </c>
      <c r="D61" s="10" t="s">
        <v>549</v>
      </c>
      <c r="E61" s="7" t="s">
        <v>628</v>
      </c>
      <c r="F61" s="11"/>
      <c r="G61" s="110" t="s">
        <v>629</v>
      </c>
    </row>
    <row r="62" spans="1:7" ht="20.25" customHeight="1">
      <c r="A62" s="10">
        <v>11008</v>
      </c>
      <c r="B62" s="10">
        <v>15008</v>
      </c>
      <c r="C62" s="10">
        <f t="shared" si="0"/>
        <v>11008</v>
      </c>
      <c r="D62" s="10" t="s">
        <v>567</v>
      </c>
      <c r="E62" s="7" t="s">
        <v>630</v>
      </c>
      <c r="F62" s="5"/>
      <c r="G62" s="110"/>
    </row>
    <row r="63" spans="1:7" ht="20.25" customHeight="1">
      <c r="A63" s="10">
        <v>11009</v>
      </c>
      <c r="B63" s="10">
        <v>15009</v>
      </c>
      <c r="C63" s="10">
        <f t="shared" si="0"/>
        <v>21009</v>
      </c>
      <c r="D63" s="10" t="s">
        <v>567</v>
      </c>
      <c r="E63" s="7" t="s">
        <v>631</v>
      </c>
      <c r="F63" s="5" t="s">
        <v>619</v>
      </c>
      <c r="G63" s="22"/>
    </row>
    <row r="64" spans="1:7" ht="20.25" customHeight="1">
      <c r="A64" s="10">
        <v>11010</v>
      </c>
      <c r="B64" s="10">
        <v>15010</v>
      </c>
      <c r="C64" s="10">
        <f t="shared" si="0"/>
        <v>21010</v>
      </c>
      <c r="D64" s="10" t="s">
        <v>567</v>
      </c>
      <c r="E64" s="7" t="s">
        <v>632</v>
      </c>
      <c r="F64" s="5" t="s">
        <v>619</v>
      </c>
      <c r="G64" s="22"/>
    </row>
    <row r="65" spans="1:7" ht="20.25" customHeight="1">
      <c r="A65" s="10">
        <v>11011</v>
      </c>
      <c r="B65" s="10">
        <v>15011</v>
      </c>
      <c r="C65" s="10">
        <f t="shared" si="0"/>
        <v>21011</v>
      </c>
      <c r="D65" s="10" t="s">
        <v>567</v>
      </c>
      <c r="E65" s="7" t="s">
        <v>633</v>
      </c>
      <c r="F65" s="5" t="s">
        <v>619</v>
      </c>
      <c r="G65" s="22"/>
    </row>
    <row r="66" spans="1:7" ht="20.25" customHeight="1">
      <c r="A66" s="10">
        <v>11012</v>
      </c>
      <c r="B66" s="10">
        <v>15012</v>
      </c>
      <c r="C66" s="10">
        <f t="shared" si="0"/>
        <v>21012</v>
      </c>
      <c r="D66" s="10" t="s">
        <v>549</v>
      </c>
      <c r="E66" s="7" t="s">
        <v>634</v>
      </c>
      <c r="F66" s="7" t="s">
        <v>635</v>
      </c>
      <c r="G66" s="22"/>
    </row>
    <row r="67" spans="1:7" ht="20.25" customHeight="1">
      <c r="A67" s="10">
        <v>11013</v>
      </c>
      <c r="B67" s="10">
        <v>15013</v>
      </c>
      <c r="C67" s="10">
        <f t="shared" si="0"/>
        <v>11013</v>
      </c>
      <c r="D67" s="10" t="s">
        <v>549</v>
      </c>
      <c r="E67" s="103" t="s">
        <v>636</v>
      </c>
      <c r="F67" s="5"/>
      <c r="G67" s="22"/>
    </row>
    <row r="68" spans="1:7" ht="20.25" customHeight="1">
      <c r="A68" s="10">
        <v>11014</v>
      </c>
      <c r="B68" s="10">
        <v>15014</v>
      </c>
      <c r="C68" s="10">
        <f t="shared" si="0"/>
        <v>11014</v>
      </c>
      <c r="D68" s="10" t="s">
        <v>549</v>
      </c>
      <c r="E68" s="103" t="s">
        <v>637</v>
      </c>
      <c r="F68" s="5"/>
      <c r="G68" s="22"/>
    </row>
    <row r="69" spans="1:7" ht="20.25" customHeight="1">
      <c r="A69" s="10">
        <v>11015</v>
      </c>
      <c r="B69" s="10">
        <v>15015</v>
      </c>
      <c r="C69" s="10">
        <f t="shared" ref="C69:C132" si="1">IF(ISERROR(FIND("B_Epic",E69)),A69,A69+10000)</f>
        <v>21015</v>
      </c>
      <c r="D69" s="10" t="s">
        <v>567</v>
      </c>
      <c r="E69" s="103" t="s">
        <v>638</v>
      </c>
      <c r="F69" s="5" t="s">
        <v>619</v>
      </c>
      <c r="G69" s="22"/>
    </row>
    <row r="70" spans="1:7" ht="20.25" customHeight="1">
      <c r="A70" s="10">
        <v>11016</v>
      </c>
      <c r="B70" s="10">
        <v>15016</v>
      </c>
      <c r="C70" s="10">
        <f t="shared" si="1"/>
        <v>11016</v>
      </c>
      <c r="D70" s="10" t="s">
        <v>549</v>
      </c>
      <c r="E70" s="103" t="s">
        <v>639</v>
      </c>
      <c r="F70" s="5"/>
      <c r="G70" s="22" t="s">
        <v>640</v>
      </c>
    </row>
    <row r="71" spans="1:7" ht="20.25" customHeight="1">
      <c r="A71" s="10">
        <v>11017</v>
      </c>
      <c r="B71" s="10">
        <v>15017</v>
      </c>
      <c r="C71" s="10">
        <f t="shared" si="1"/>
        <v>21017</v>
      </c>
      <c r="D71" s="10" t="s">
        <v>567</v>
      </c>
      <c r="E71" s="103" t="s">
        <v>641</v>
      </c>
      <c r="F71" s="5" t="s">
        <v>619</v>
      </c>
      <c r="G71" s="22"/>
    </row>
    <row r="72" spans="1:7" ht="20.25" customHeight="1">
      <c r="A72" s="10">
        <v>11018</v>
      </c>
      <c r="B72" s="10">
        <v>15018</v>
      </c>
      <c r="C72" s="10">
        <f t="shared" si="1"/>
        <v>21018</v>
      </c>
      <c r="D72" s="10" t="s">
        <v>567</v>
      </c>
      <c r="E72" s="7" t="s">
        <v>642</v>
      </c>
      <c r="F72" s="5" t="s">
        <v>619</v>
      </c>
      <c r="G72" s="22"/>
    </row>
    <row r="73" spans="1:7" ht="20.25" customHeight="1">
      <c r="A73" s="10">
        <v>11019</v>
      </c>
      <c r="B73" s="10">
        <v>15019</v>
      </c>
      <c r="C73" s="10">
        <f t="shared" si="1"/>
        <v>11019</v>
      </c>
      <c r="D73" s="10" t="s">
        <v>549</v>
      </c>
      <c r="E73" s="7"/>
      <c r="F73" s="5" t="s">
        <v>643</v>
      </c>
      <c r="G73" s="22"/>
    </row>
    <row r="74" spans="1:7" ht="20.25" customHeight="1">
      <c r="A74" s="10">
        <v>11020</v>
      </c>
      <c r="B74" s="10">
        <v>15020</v>
      </c>
      <c r="C74" s="10">
        <f t="shared" si="1"/>
        <v>11020</v>
      </c>
      <c r="D74" s="10" t="s">
        <v>549</v>
      </c>
      <c r="E74" s="7" t="s">
        <v>644</v>
      </c>
      <c r="F74" s="5" t="s">
        <v>645</v>
      </c>
      <c r="G74" s="22"/>
    </row>
    <row r="75" spans="1:7" ht="20.25" customHeight="1">
      <c r="A75" s="10">
        <v>11021</v>
      </c>
      <c r="B75" s="10">
        <v>15021</v>
      </c>
      <c r="C75" s="10">
        <f t="shared" si="1"/>
        <v>11021</v>
      </c>
      <c r="D75" s="10" t="s">
        <v>549</v>
      </c>
      <c r="E75" s="7" t="s">
        <v>646</v>
      </c>
      <c r="F75" s="5"/>
      <c r="G75" s="22"/>
    </row>
    <row r="76" spans="1:7" ht="20.25" customHeight="1">
      <c r="A76" s="10">
        <v>11022</v>
      </c>
      <c r="B76" s="10">
        <v>15022</v>
      </c>
      <c r="C76" s="10">
        <f t="shared" si="1"/>
        <v>21022</v>
      </c>
      <c r="D76" s="10" t="s">
        <v>567</v>
      </c>
      <c r="E76" s="7" t="s">
        <v>647</v>
      </c>
      <c r="F76" s="5" t="s">
        <v>619</v>
      </c>
      <c r="G76" s="22"/>
    </row>
    <row r="77" spans="1:7" ht="20.25" customHeight="1">
      <c r="A77" s="10">
        <v>11023</v>
      </c>
      <c r="B77" s="10">
        <v>15023</v>
      </c>
      <c r="C77" s="10">
        <f t="shared" si="1"/>
        <v>11023</v>
      </c>
      <c r="D77" s="10" t="s">
        <v>549</v>
      </c>
      <c r="E77" s="7" t="s">
        <v>648</v>
      </c>
      <c r="F77" s="5"/>
      <c r="G77" s="22"/>
    </row>
    <row r="78" spans="1:7" ht="20.25" customHeight="1">
      <c r="A78" s="10">
        <v>11024</v>
      </c>
      <c r="B78" s="10">
        <v>15024</v>
      </c>
      <c r="C78" s="10">
        <f t="shared" si="1"/>
        <v>21024</v>
      </c>
      <c r="D78" s="10" t="s">
        <v>567</v>
      </c>
      <c r="E78" s="7" t="s">
        <v>649</v>
      </c>
      <c r="F78" s="5" t="s">
        <v>619</v>
      </c>
      <c r="G78" s="22"/>
    </row>
    <row r="79" spans="1:7" ht="20.25" customHeight="1">
      <c r="A79" s="10">
        <v>11025</v>
      </c>
      <c r="B79" s="10">
        <v>15025</v>
      </c>
      <c r="C79" s="10">
        <f t="shared" si="1"/>
        <v>11025</v>
      </c>
      <c r="D79" s="10" t="s">
        <v>67</v>
      </c>
      <c r="E79" s="7" t="s">
        <v>650</v>
      </c>
      <c r="F79" s="5"/>
      <c r="G79" s="22"/>
    </row>
    <row r="80" spans="1:7" ht="20.100000000000001" customHeight="1">
      <c r="A80" s="10">
        <v>11026</v>
      </c>
      <c r="B80" s="10">
        <v>15026</v>
      </c>
      <c r="C80" s="10">
        <f t="shared" si="1"/>
        <v>11026</v>
      </c>
      <c r="D80" s="10" t="s">
        <v>567</v>
      </c>
      <c r="E80" s="7" t="s">
        <v>651</v>
      </c>
      <c r="F80" s="5"/>
      <c r="G80" s="22"/>
    </row>
    <row r="81" spans="1:7" ht="20.25" customHeight="1">
      <c r="A81" s="10">
        <v>11027</v>
      </c>
      <c r="B81" s="10">
        <v>15027</v>
      </c>
      <c r="C81" s="10">
        <f t="shared" si="1"/>
        <v>11027</v>
      </c>
      <c r="D81" s="10" t="s">
        <v>567</v>
      </c>
      <c r="E81" s="7" t="s">
        <v>652</v>
      </c>
      <c r="F81" s="5"/>
      <c r="G81" s="22"/>
    </row>
    <row r="82" spans="1:7" ht="20.25" customHeight="1">
      <c r="A82" s="10">
        <v>11028</v>
      </c>
      <c r="B82" s="10">
        <v>15028</v>
      </c>
      <c r="C82" s="10">
        <f t="shared" si="1"/>
        <v>21028</v>
      </c>
      <c r="D82" s="10" t="s">
        <v>549</v>
      </c>
      <c r="E82" s="7" t="s">
        <v>653</v>
      </c>
      <c r="F82" s="5" t="s">
        <v>619</v>
      </c>
      <c r="G82" s="22"/>
    </row>
    <row r="83" spans="1:7" ht="20.25" customHeight="1">
      <c r="A83" s="10">
        <v>11029</v>
      </c>
      <c r="B83" s="10">
        <v>15029</v>
      </c>
      <c r="C83" s="10">
        <f t="shared" si="1"/>
        <v>21029</v>
      </c>
      <c r="D83" s="10" t="s">
        <v>567</v>
      </c>
      <c r="E83" s="7" t="s">
        <v>654</v>
      </c>
      <c r="F83" s="5" t="s">
        <v>619</v>
      </c>
      <c r="G83" s="22"/>
    </row>
    <row r="84" spans="1:7" ht="20.25" customHeight="1">
      <c r="A84" s="10">
        <v>11030</v>
      </c>
      <c r="B84" s="10">
        <v>15030</v>
      </c>
      <c r="C84" s="10">
        <f t="shared" si="1"/>
        <v>21030</v>
      </c>
      <c r="D84" s="10" t="s">
        <v>549</v>
      </c>
      <c r="E84" s="1" t="s">
        <v>655</v>
      </c>
      <c r="F84" s="5" t="s">
        <v>635</v>
      </c>
      <c r="G84" s="22"/>
    </row>
    <row r="85" spans="1:7" ht="20.25" customHeight="1">
      <c r="A85" s="10">
        <v>11031</v>
      </c>
      <c r="B85" s="10">
        <v>15031</v>
      </c>
      <c r="C85" s="10">
        <f t="shared" si="1"/>
        <v>21031</v>
      </c>
      <c r="D85" s="10" t="s">
        <v>549</v>
      </c>
      <c r="E85" s="7" t="s">
        <v>656</v>
      </c>
      <c r="F85" s="5" t="s">
        <v>635</v>
      </c>
      <c r="G85" s="22"/>
    </row>
    <row r="86" spans="1:7" ht="20.25" customHeight="1">
      <c r="A86" s="10">
        <v>11032</v>
      </c>
      <c r="B86" s="10">
        <v>15032</v>
      </c>
      <c r="C86" s="10">
        <f t="shared" si="1"/>
        <v>11032</v>
      </c>
      <c r="D86" s="10" t="s">
        <v>549</v>
      </c>
      <c r="E86" s="7" t="s">
        <v>657</v>
      </c>
      <c r="F86" s="5"/>
      <c r="G86" s="22"/>
    </row>
    <row r="87" spans="1:7" ht="20.25" customHeight="1">
      <c r="A87" s="10">
        <v>11033</v>
      </c>
      <c r="B87" s="10">
        <v>15033</v>
      </c>
      <c r="C87" s="10">
        <f t="shared" si="1"/>
        <v>11033</v>
      </c>
      <c r="D87" s="10" t="s">
        <v>549</v>
      </c>
      <c r="E87" s="111" t="s">
        <v>658</v>
      </c>
      <c r="F87" s="109"/>
      <c r="G87" s="22" t="s">
        <v>659</v>
      </c>
    </row>
    <row r="88" spans="1:7" ht="20.25" customHeight="1">
      <c r="A88" s="10">
        <v>11034</v>
      </c>
      <c r="B88" s="10">
        <v>15034</v>
      </c>
      <c r="C88" s="10">
        <f t="shared" si="1"/>
        <v>11034</v>
      </c>
      <c r="D88" s="10" t="s">
        <v>549</v>
      </c>
      <c r="E88" s="7" t="s">
        <v>660</v>
      </c>
      <c r="F88" s="5"/>
      <c r="G88" s="22"/>
    </row>
    <row r="89" spans="1:7" ht="20.25" customHeight="1">
      <c r="A89" s="10">
        <v>11035</v>
      </c>
      <c r="B89" s="10">
        <v>15035</v>
      </c>
      <c r="C89" s="10">
        <f t="shared" si="1"/>
        <v>21035</v>
      </c>
      <c r="D89" s="10" t="s">
        <v>567</v>
      </c>
      <c r="E89" s="237" t="s">
        <v>661</v>
      </c>
      <c r="F89" s="5" t="s">
        <v>619</v>
      </c>
      <c r="G89" s="22"/>
    </row>
    <row r="90" spans="1:7" ht="20.25" customHeight="1">
      <c r="A90" s="10">
        <v>11036</v>
      </c>
      <c r="B90" s="10">
        <v>15036</v>
      </c>
      <c r="C90" s="10">
        <f t="shared" si="1"/>
        <v>11036</v>
      </c>
      <c r="D90" s="10" t="s">
        <v>549</v>
      </c>
      <c r="E90" s="7" t="s">
        <v>662</v>
      </c>
      <c r="F90" s="5"/>
      <c r="G90" s="22" t="s">
        <v>663</v>
      </c>
    </row>
    <row r="91" spans="1:7" ht="20.25" customHeight="1">
      <c r="A91" s="10">
        <v>11037</v>
      </c>
      <c r="B91" s="10">
        <v>15037</v>
      </c>
      <c r="C91" s="10">
        <f t="shared" si="1"/>
        <v>11037</v>
      </c>
      <c r="D91" s="10" t="s">
        <v>67</v>
      </c>
      <c r="E91" s="7" t="s">
        <v>664</v>
      </c>
      <c r="F91" s="5" t="s">
        <v>665</v>
      </c>
      <c r="G91" s="22"/>
    </row>
    <row r="92" spans="1:7" ht="20.25" customHeight="1">
      <c r="A92" s="10">
        <v>11038</v>
      </c>
      <c r="B92" s="10">
        <v>15038</v>
      </c>
      <c r="C92" s="10">
        <f t="shared" si="1"/>
        <v>11038</v>
      </c>
      <c r="D92" s="10" t="s">
        <v>67</v>
      </c>
      <c r="E92" s="7" t="s">
        <v>666</v>
      </c>
      <c r="F92" s="5" t="s">
        <v>665</v>
      </c>
      <c r="G92" s="22"/>
    </row>
    <row r="93" spans="1:7" ht="20.25" customHeight="1">
      <c r="A93" s="10">
        <v>11039</v>
      </c>
      <c r="B93" s="10">
        <v>15039</v>
      </c>
      <c r="C93" s="10">
        <f t="shared" si="1"/>
        <v>21039</v>
      </c>
      <c r="D93" s="10" t="s">
        <v>567</v>
      </c>
      <c r="E93" s="7" t="s">
        <v>667</v>
      </c>
      <c r="F93" s="5" t="s">
        <v>619</v>
      </c>
      <c r="G93" s="22"/>
    </row>
    <row r="94" spans="1:7" ht="20.25" customHeight="1">
      <c r="A94" s="10">
        <v>11040</v>
      </c>
      <c r="B94" s="10">
        <v>15040</v>
      </c>
      <c r="C94" s="10">
        <f t="shared" si="1"/>
        <v>11040</v>
      </c>
      <c r="D94" s="99" t="s">
        <v>567</v>
      </c>
      <c r="E94" s="7" t="s">
        <v>668</v>
      </c>
      <c r="F94" s="5"/>
      <c r="G94" s="22"/>
    </row>
    <row r="95" spans="1:7" ht="20.25" customHeight="1">
      <c r="A95" s="10">
        <v>11041</v>
      </c>
      <c r="B95" s="10">
        <v>15041</v>
      </c>
      <c r="C95" s="10">
        <f t="shared" si="1"/>
        <v>11041</v>
      </c>
      <c r="D95" s="10" t="s">
        <v>549</v>
      </c>
      <c r="E95" s="7" t="s">
        <v>669</v>
      </c>
      <c r="F95" s="5"/>
      <c r="G95" s="22"/>
    </row>
    <row r="96" spans="1:7" ht="20.25" customHeight="1">
      <c r="A96" s="10">
        <v>11041</v>
      </c>
      <c r="B96" s="10">
        <v>15041</v>
      </c>
      <c r="C96" s="10">
        <f t="shared" si="1"/>
        <v>11041</v>
      </c>
      <c r="D96" s="10" t="s">
        <v>67</v>
      </c>
      <c r="E96" s="1" t="s">
        <v>670</v>
      </c>
      <c r="F96" s="5"/>
      <c r="G96" s="22"/>
    </row>
    <row r="97" spans="1:7" ht="20.25" customHeight="1">
      <c r="A97" s="10">
        <v>11042</v>
      </c>
      <c r="B97" s="10">
        <v>15042</v>
      </c>
      <c r="C97" s="10">
        <f t="shared" si="1"/>
        <v>11042</v>
      </c>
      <c r="D97" s="10" t="s">
        <v>549</v>
      </c>
      <c r="E97" s="7" t="s">
        <v>671</v>
      </c>
      <c r="F97" s="5"/>
      <c r="G97" s="22" t="s">
        <v>672</v>
      </c>
    </row>
    <row r="98" spans="1:7" ht="20.25" customHeight="1">
      <c r="A98" s="10">
        <v>11043</v>
      </c>
      <c r="B98" s="10">
        <v>15043</v>
      </c>
      <c r="C98" s="10">
        <f t="shared" si="1"/>
        <v>11043</v>
      </c>
      <c r="D98" s="10" t="s">
        <v>549</v>
      </c>
      <c r="E98" s="7" t="s">
        <v>673</v>
      </c>
      <c r="F98" s="5"/>
      <c r="G98" s="22"/>
    </row>
    <row r="99" spans="1:7" ht="20.25" customHeight="1">
      <c r="A99" s="10">
        <v>11044</v>
      </c>
      <c r="B99" s="10">
        <v>15044</v>
      </c>
      <c r="C99" s="10">
        <f t="shared" si="1"/>
        <v>11044</v>
      </c>
      <c r="D99" s="10" t="s">
        <v>549</v>
      </c>
      <c r="E99" s="7" t="s">
        <v>674</v>
      </c>
      <c r="F99" s="5"/>
      <c r="G99" s="22"/>
    </row>
    <row r="100" spans="1:7" ht="20.25" customHeight="1">
      <c r="A100" s="10">
        <v>11045</v>
      </c>
      <c r="B100" s="10">
        <v>15045</v>
      </c>
      <c r="C100" s="10">
        <f t="shared" si="1"/>
        <v>21045</v>
      </c>
      <c r="D100" s="10" t="s">
        <v>567</v>
      </c>
      <c r="E100" s="7" t="s">
        <v>675</v>
      </c>
      <c r="F100" s="5" t="s">
        <v>619</v>
      </c>
      <c r="G100" s="22"/>
    </row>
    <row r="101" spans="1:7" ht="20.25" customHeight="1">
      <c r="A101" s="10">
        <v>11047</v>
      </c>
      <c r="B101" s="10">
        <v>15047</v>
      </c>
      <c r="C101" s="10">
        <f t="shared" si="1"/>
        <v>11047</v>
      </c>
      <c r="D101" s="10" t="s">
        <v>549</v>
      </c>
      <c r="E101" s="7"/>
      <c r="F101" s="5" t="s">
        <v>643</v>
      </c>
      <c r="G101" s="22"/>
    </row>
    <row r="102" spans="1:7" ht="20.25" customHeight="1">
      <c r="A102" s="10">
        <v>11048</v>
      </c>
      <c r="B102" s="10">
        <v>15048</v>
      </c>
      <c r="C102" s="10">
        <f t="shared" si="1"/>
        <v>11048</v>
      </c>
      <c r="D102" s="10" t="s">
        <v>549</v>
      </c>
      <c r="E102" s="7" t="s">
        <v>676</v>
      </c>
      <c r="F102" s="5" t="s">
        <v>677</v>
      </c>
      <c r="G102" s="22"/>
    </row>
    <row r="103" spans="1:7" ht="20.25" customHeight="1">
      <c r="A103" s="10">
        <v>11049</v>
      </c>
      <c r="B103" s="10">
        <v>15049</v>
      </c>
      <c r="C103" s="10">
        <f t="shared" si="1"/>
        <v>11049</v>
      </c>
      <c r="D103" s="10" t="s">
        <v>549</v>
      </c>
      <c r="E103" s="7" t="s">
        <v>678</v>
      </c>
      <c r="F103" s="5" t="s">
        <v>679</v>
      </c>
      <c r="G103" s="110" t="s">
        <v>680</v>
      </c>
    </row>
    <row r="104" spans="1:7" ht="15">
      <c r="A104" s="10">
        <v>11050</v>
      </c>
      <c r="B104" s="10">
        <v>15050</v>
      </c>
      <c r="C104" s="10">
        <f t="shared" si="1"/>
        <v>11050</v>
      </c>
      <c r="D104" s="10" t="s">
        <v>549</v>
      </c>
      <c r="E104" s="7" t="s">
        <v>681</v>
      </c>
      <c r="F104" s="5" t="s">
        <v>679</v>
      </c>
      <c r="G104" s="110" t="s">
        <v>680</v>
      </c>
    </row>
    <row r="105" spans="1:7" ht="15">
      <c r="A105" s="10">
        <v>10051</v>
      </c>
      <c r="B105" s="10">
        <v>15051</v>
      </c>
      <c r="C105" s="10">
        <f t="shared" si="1"/>
        <v>10051</v>
      </c>
      <c r="D105" s="10" t="s">
        <v>549</v>
      </c>
      <c r="E105" s="7" t="s">
        <v>682</v>
      </c>
      <c r="F105" s="5" t="s">
        <v>683</v>
      </c>
      <c r="G105" s="22"/>
    </row>
    <row r="106" spans="1:7" ht="20.25" customHeight="1">
      <c r="A106" s="10">
        <v>11051</v>
      </c>
      <c r="B106" s="10">
        <v>15051</v>
      </c>
      <c r="C106" s="10">
        <f t="shared" si="1"/>
        <v>21051</v>
      </c>
      <c r="D106" s="10" t="s">
        <v>567</v>
      </c>
      <c r="E106" s="7" t="s">
        <v>684</v>
      </c>
      <c r="F106" s="5" t="s">
        <v>619</v>
      </c>
      <c r="G106" s="22"/>
    </row>
    <row r="107" spans="1:7" ht="20.25" customHeight="1">
      <c r="A107" s="10">
        <v>11052</v>
      </c>
      <c r="B107" s="10">
        <v>15052</v>
      </c>
      <c r="C107" s="10">
        <f t="shared" si="1"/>
        <v>21052</v>
      </c>
      <c r="D107" s="10" t="s">
        <v>567</v>
      </c>
      <c r="E107" s="7" t="s">
        <v>685</v>
      </c>
      <c r="F107" s="5" t="s">
        <v>619</v>
      </c>
      <c r="G107" s="22"/>
    </row>
    <row r="108" spans="1:7" ht="20.25" customHeight="1">
      <c r="A108" s="10">
        <v>11053</v>
      </c>
      <c r="B108" s="10">
        <v>15053</v>
      </c>
      <c r="C108" s="10">
        <f t="shared" si="1"/>
        <v>21053</v>
      </c>
      <c r="D108" s="10" t="s">
        <v>567</v>
      </c>
      <c r="E108" s="7" t="s">
        <v>686</v>
      </c>
      <c r="F108" s="5" t="s">
        <v>619</v>
      </c>
      <c r="G108" s="22"/>
    </row>
    <row r="109" spans="1:7" ht="20.25" customHeight="1">
      <c r="A109" s="10">
        <v>11054</v>
      </c>
      <c r="B109" s="10">
        <v>15054</v>
      </c>
      <c r="C109" s="10">
        <f t="shared" si="1"/>
        <v>21054</v>
      </c>
      <c r="D109" s="10" t="s">
        <v>567</v>
      </c>
      <c r="E109" s="7" t="s">
        <v>687</v>
      </c>
      <c r="F109" s="5" t="s">
        <v>619</v>
      </c>
      <c r="G109" s="110"/>
    </row>
    <row r="110" spans="1:7" ht="20.25" customHeight="1">
      <c r="A110" s="10">
        <v>11055</v>
      </c>
      <c r="B110" s="10">
        <v>15055</v>
      </c>
      <c r="C110" s="10">
        <f t="shared" si="1"/>
        <v>11055</v>
      </c>
      <c r="D110" s="10" t="s">
        <v>549</v>
      </c>
      <c r="E110" s="7" t="s">
        <v>688</v>
      </c>
      <c r="F110" s="5"/>
      <c r="G110" s="22"/>
    </row>
    <row r="111" spans="1:7" ht="20.25" customHeight="1">
      <c r="A111" s="10">
        <v>11056</v>
      </c>
      <c r="B111" s="10">
        <v>15056</v>
      </c>
      <c r="C111" s="10">
        <f t="shared" si="1"/>
        <v>11056</v>
      </c>
      <c r="D111" s="10" t="s">
        <v>549</v>
      </c>
      <c r="E111" s="7" t="s">
        <v>689</v>
      </c>
      <c r="F111" s="109" t="s">
        <v>690</v>
      </c>
      <c r="G111" s="110" t="s">
        <v>680</v>
      </c>
    </row>
    <row r="112" spans="1:7" ht="20.25" customHeight="1">
      <c r="A112" s="10">
        <v>11057</v>
      </c>
      <c r="B112" s="10">
        <v>15057</v>
      </c>
      <c r="C112" s="10">
        <f t="shared" si="1"/>
        <v>11057</v>
      </c>
      <c r="D112" s="10" t="s">
        <v>549</v>
      </c>
      <c r="E112" s="7" t="s">
        <v>691</v>
      </c>
      <c r="F112" s="109" t="s">
        <v>690</v>
      </c>
      <c r="G112" s="110" t="s">
        <v>680</v>
      </c>
    </row>
    <row r="113" spans="1:7" ht="20.25" customHeight="1">
      <c r="A113" s="10">
        <v>11058</v>
      </c>
      <c r="B113" s="10">
        <v>15058</v>
      </c>
      <c r="C113" s="10">
        <f t="shared" si="1"/>
        <v>21058</v>
      </c>
      <c r="D113" s="10" t="s">
        <v>567</v>
      </c>
      <c r="E113" s="7" t="s">
        <v>692</v>
      </c>
      <c r="F113" s="5" t="s">
        <v>619</v>
      </c>
      <c r="G113" s="22"/>
    </row>
    <row r="114" spans="1:7" ht="20.25" customHeight="1">
      <c r="A114" s="10">
        <v>11059</v>
      </c>
      <c r="B114" s="10">
        <v>15059</v>
      </c>
      <c r="C114" s="10">
        <f t="shared" si="1"/>
        <v>11059</v>
      </c>
      <c r="D114" s="10" t="s">
        <v>549</v>
      </c>
      <c r="E114" s="7" t="s">
        <v>693</v>
      </c>
      <c r="F114" s="5"/>
      <c r="G114" s="22" t="s">
        <v>694</v>
      </c>
    </row>
    <row r="115" spans="1:7" ht="64.5" customHeight="1">
      <c r="A115" s="10">
        <v>11060</v>
      </c>
      <c r="B115" s="10">
        <v>15060</v>
      </c>
      <c r="C115" s="10">
        <f t="shared" si="1"/>
        <v>11060</v>
      </c>
      <c r="D115" s="99" t="s">
        <v>567</v>
      </c>
      <c r="E115" s="7" t="s">
        <v>695</v>
      </c>
      <c r="F115" s="5"/>
      <c r="G115" s="22"/>
    </row>
    <row r="116" spans="1:7" ht="20.25" customHeight="1">
      <c r="A116" s="10">
        <v>11061</v>
      </c>
      <c r="B116" s="10">
        <f>A116+4000</f>
        <v>15061</v>
      </c>
      <c r="C116" s="10">
        <f t="shared" si="1"/>
        <v>11061</v>
      </c>
      <c r="D116" s="10" t="s">
        <v>549</v>
      </c>
      <c r="E116" s="111" t="s">
        <v>696</v>
      </c>
      <c r="F116" s="5"/>
      <c r="G116" s="22" t="s">
        <v>697</v>
      </c>
    </row>
    <row r="117" spans="1:7" ht="20.25" customHeight="1">
      <c r="A117" s="10">
        <v>11063</v>
      </c>
      <c r="B117" s="10">
        <v>15063</v>
      </c>
      <c r="C117" s="10">
        <f t="shared" si="1"/>
        <v>11063</v>
      </c>
      <c r="D117" s="10" t="s">
        <v>549</v>
      </c>
      <c r="E117" s="7" t="s">
        <v>698</v>
      </c>
      <c r="F117" s="5"/>
      <c r="G117" s="22"/>
    </row>
    <row r="118" spans="1:7" ht="20.25" customHeight="1">
      <c r="A118" s="10">
        <v>11064</v>
      </c>
      <c r="B118" s="10">
        <v>15064</v>
      </c>
      <c r="C118" s="10">
        <f t="shared" si="1"/>
        <v>11064</v>
      </c>
      <c r="D118" s="10" t="s">
        <v>549</v>
      </c>
      <c r="E118" s="7" t="s">
        <v>699</v>
      </c>
      <c r="F118" s="5"/>
      <c r="G118" s="22"/>
    </row>
    <row r="119" spans="1:7" ht="20.25" customHeight="1">
      <c r="A119" s="10">
        <v>11065</v>
      </c>
      <c r="B119" s="10">
        <v>15065</v>
      </c>
      <c r="C119" s="10">
        <f t="shared" si="1"/>
        <v>21065</v>
      </c>
      <c r="D119" s="10" t="s">
        <v>549</v>
      </c>
      <c r="E119" s="7" t="s">
        <v>700</v>
      </c>
      <c r="F119" s="7"/>
      <c r="G119" s="22"/>
    </row>
    <row r="120" spans="1:7" ht="20.25" customHeight="1">
      <c r="A120" s="10">
        <v>11066</v>
      </c>
      <c r="B120" s="10">
        <v>15066</v>
      </c>
      <c r="C120" s="10">
        <f t="shared" si="1"/>
        <v>21066</v>
      </c>
      <c r="D120" s="10" t="s">
        <v>549</v>
      </c>
      <c r="E120" s="7" t="s">
        <v>701</v>
      </c>
      <c r="F120" s="7" t="s">
        <v>635</v>
      </c>
      <c r="G120" s="22"/>
    </row>
    <row r="121" spans="1:7" ht="20.25" customHeight="1">
      <c r="A121" s="10">
        <v>11067</v>
      </c>
      <c r="B121" s="10">
        <v>15067</v>
      </c>
      <c r="C121" s="10">
        <f t="shared" si="1"/>
        <v>11067</v>
      </c>
      <c r="D121" s="10" t="s">
        <v>549</v>
      </c>
      <c r="E121" s="7" t="s">
        <v>702</v>
      </c>
      <c r="F121" s="109" t="s">
        <v>703</v>
      </c>
      <c r="G121" s="22"/>
    </row>
    <row r="122" spans="1:7" ht="20.25" customHeight="1">
      <c r="A122" s="10">
        <v>11068</v>
      </c>
      <c r="B122" s="10">
        <v>15068</v>
      </c>
      <c r="C122" s="10">
        <f t="shared" si="1"/>
        <v>11068</v>
      </c>
      <c r="D122" s="10" t="s">
        <v>549</v>
      </c>
      <c r="E122" s="7" t="s">
        <v>704</v>
      </c>
      <c r="F122" s="5"/>
      <c r="G122" s="22"/>
    </row>
    <row r="123" spans="1:7" ht="20.25" customHeight="1">
      <c r="A123" s="10">
        <v>11069</v>
      </c>
      <c r="B123" s="10">
        <v>15069</v>
      </c>
      <c r="C123" s="10">
        <f t="shared" si="1"/>
        <v>11069</v>
      </c>
      <c r="D123" s="10" t="s">
        <v>549</v>
      </c>
      <c r="E123" s="7" t="s">
        <v>705</v>
      </c>
      <c r="F123" s="5"/>
      <c r="G123" s="22"/>
    </row>
    <row r="124" spans="1:7" ht="20.25" customHeight="1">
      <c r="A124" s="10">
        <v>11070</v>
      </c>
      <c r="B124" s="10">
        <v>15070</v>
      </c>
      <c r="C124" s="10">
        <f t="shared" si="1"/>
        <v>21070</v>
      </c>
      <c r="D124" s="10" t="s">
        <v>567</v>
      </c>
      <c r="E124" s="7" t="s">
        <v>706</v>
      </c>
      <c r="F124" s="5" t="s">
        <v>619</v>
      </c>
      <c r="G124" s="22"/>
    </row>
    <row r="125" spans="1:7" ht="20.25" customHeight="1">
      <c r="A125" s="10">
        <v>11071</v>
      </c>
      <c r="B125" s="10">
        <v>15071</v>
      </c>
      <c r="C125" s="10">
        <f t="shared" si="1"/>
        <v>11071</v>
      </c>
      <c r="D125" s="10" t="s">
        <v>549</v>
      </c>
      <c r="E125" s="7" t="s">
        <v>707</v>
      </c>
      <c r="F125" s="5"/>
      <c r="G125" s="22"/>
    </row>
    <row r="126" spans="1:7" ht="20.25" customHeight="1">
      <c r="A126" s="10">
        <v>11072</v>
      </c>
      <c r="B126" s="10">
        <v>15072</v>
      </c>
      <c r="C126" s="10">
        <f t="shared" si="1"/>
        <v>11072</v>
      </c>
      <c r="D126" s="10" t="s">
        <v>549</v>
      </c>
      <c r="E126" s="7" t="s">
        <v>708</v>
      </c>
      <c r="F126" s="5"/>
      <c r="G126" s="22"/>
    </row>
    <row r="127" spans="1:7" ht="20.25" customHeight="1">
      <c r="A127" s="10">
        <v>11073</v>
      </c>
      <c r="B127" s="10">
        <v>15073</v>
      </c>
      <c r="C127" s="10">
        <f t="shared" si="1"/>
        <v>11073</v>
      </c>
      <c r="D127" s="10" t="s">
        <v>549</v>
      </c>
      <c r="E127" s="7" t="s">
        <v>709</v>
      </c>
      <c r="F127" s="5"/>
      <c r="G127" s="22"/>
    </row>
    <row r="128" spans="1:7" ht="20.25" customHeight="1">
      <c r="A128" s="10">
        <v>11074</v>
      </c>
      <c r="B128" s="10">
        <v>15074</v>
      </c>
      <c r="C128" s="10">
        <f t="shared" si="1"/>
        <v>11074</v>
      </c>
      <c r="D128" s="10" t="s">
        <v>549</v>
      </c>
      <c r="E128" s="7" t="s">
        <v>710</v>
      </c>
      <c r="F128" s="5"/>
      <c r="G128" s="22"/>
    </row>
    <row r="129" spans="1:7" ht="20.25" customHeight="1">
      <c r="A129" s="10">
        <v>11075</v>
      </c>
      <c r="B129" s="10">
        <v>15075</v>
      </c>
      <c r="C129" s="10">
        <f t="shared" si="1"/>
        <v>11075</v>
      </c>
      <c r="D129" s="10" t="s">
        <v>567</v>
      </c>
      <c r="E129" s="7" t="s">
        <v>711</v>
      </c>
      <c r="F129" s="5"/>
      <c r="G129" s="22"/>
    </row>
    <row r="130" spans="1:7" ht="20.25" customHeight="1">
      <c r="A130" s="10">
        <v>11076</v>
      </c>
      <c r="B130" s="10">
        <v>15076</v>
      </c>
      <c r="C130" s="10">
        <f t="shared" si="1"/>
        <v>11076</v>
      </c>
      <c r="D130" s="10" t="s">
        <v>549</v>
      </c>
      <c r="E130" s="7" t="s">
        <v>712</v>
      </c>
      <c r="F130" s="5" t="s">
        <v>713</v>
      </c>
      <c r="G130" s="22"/>
    </row>
    <row r="131" spans="1:7" ht="20.25" customHeight="1">
      <c r="A131" s="10">
        <v>11077</v>
      </c>
      <c r="B131" s="10">
        <v>15077</v>
      </c>
      <c r="C131" s="10">
        <f t="shared" si="1"/>
        <v>21077</v>
      </c>
      <c r="D131" s="10" t="s">
        <v>549</v>
      </c>
      <c r="E131" s="7" t="s">
        <v>714</v>
      </c>
      <c r="F131" s="109" t="s">
        <v>715</v>
      </c>
      <c r="G131" s="22"/>
    </row>
    <row r="132" spans="1:7" ht="20.25" customHeight="1">
      <c r="A132" s="10">
        <v>11078</v>
      </c>
      <c r="B132" s="10">
        <v>15078</v>
      </c>
      <c r="C132" s="10">
        <f t="shared" si="1"/>
        <v>11078</v>
      </c>
      <c r="D132" s="10" t="s">
        <v>549</v>
      </c>
      <c r="E132" s="7" t="s">
        <v>716</v>
      </c>
      <c r="F132" s="5" t="s">
        <v>717</v>
      </c>
      <c r="G132" s="22" t="s">
        <v>718</v>
      </c>
    </row>
    <row r="133" spans="1:7" ht="20.25" customHeight="1">
      <c r="A133" s="10">
        <v>11079</v>
      </c>
      <c r="B133" s="10">
        <v>15079</v>
      </c>
      <c r="C133" s="10">
        <f t="shared" ref="C133:C196" si="2">IF(ISERROR(FIND("B_Epic",E133)),A133,A133+10000)</f>
        <v>11079</v>
      </c>
      <c r="D133" s="10" t="s">
        <v>549</v>
      </c>
      <c r="E133" s="7" t="s">
        <v>719</v>
      </c>
      <c r="F133" s="5" t="s">
        <v>717</v>
      </c>
      <c r="G133" s="22" t="s">
        <v>718</v>
      </c>
    </row>
    <row r="134" spans="1:7" ht="20.25" customHeight="1">
      <c r="A134" s="10">
        <v>11080</v>
      </c>
      <c r="B134" s="10">
        <v>15080</v>
      </c>
      <c r="C134" s="10">
        <f t="shared" si="2"/>
        <v>11080</v>
      </c>
      <c r="D134" s="10" t="s">
        <v>549</v>
      </c>
      <c r="E134" s="7" t="s">
        <v>720</v>
      </c>
      <c r="F134" s="5"/>
      <c r="G134" s="22"/>
    </row>
    <row r="135" spans="1:7" ht="20.25" customHeight="1">
      <c r="A135" s="10">
        <v>11081</v>
      </c>
      <c r="B135" s="10">
        <v>15081</v>
      </c>
      <c r="C135" s="10">
        <f t="shared" si="2"/>
        <v>11081</v>
      </c>
      <c r="D135" s="10" t="s">
        <v>549</v>
      </c>
      <c r="E135" s="7" t="s">
        <v>721</v>
      </c>
      <c r="F135" s="5"/>
      <c r="G135" s="22"/>
    </row>
    <row r="136" spans="1:7" ht="20.25" customHeight="1">
      <c r="A136" s="10">
        <v>11082</v>
      </c>
      <c r="B136" s="10">
        <v>15082</v>
      </c>
      <c r="C136" s="10">
        <f t="shared" si="2"/>
        <v>11082</v>
      </c>
      <c r="D136" s="10" t="s">
        <v>549</v>
      </c>
      <c r="E136" s="7" t="s">
        <v>722</v>
      </c>
      <c r="F136" s="5"/>
      <c r="G136" s="22"/>
    </row>
    <row r="137" spans="1:7" ht="20.25" customHeight="1">
      <c r="A137" s="10">
        <v>11083</v>
      </c>
      <c r="B137" s="10">
        <v>15083</v>
      </c>
      <c r="C137" s="10">
        <f t="shared" si="2"/>
        <v>11083</v>
      </c>
      <c r="D137" s="10" t="s">
        <v>549</v>
      </c>
      <c r="E137" s="7" t="s">
        <v>723</v>
      </c>
      <c r="F137" s="5"/>
      <c r="G137" s="22"/>
    </row>
    <row r="138" spans="1:7" ht="20.25" customHeight="1">
      <c r="A138" s="10">
        <v>11084</v>
      </c>
      <c r="B138" s="10">
        <v>15084</v>
      </c>
      <c r="C138" s="10">
        <f t="shared" si="2"/>
        <v>21084</v>
      </c>
      <c r="D138" s="10" t="s">
        <v>567</v>
      </c>
      <c r="E138" s="7" t="s">
        <v>724</v>
      </c>
      <c r="F138" s="5" t="s">
        <v>619</v>
      </c>
      <c r="G138" s="22"/>
    </row>
    <row r="139" spans="1:7" ht="20.25" customHeight="1">
      <c r="A139" s="10">
        <v>11085</v>
      </c>
      <c r="B139" s="10">
        <v>15085</v>
      </c>
      <c r="C139" s="10">
        <f t="shared" si="2"/>
        <v>11085</v>
      </c>
      <c r="D139" s="10" t="s">
        <v>549</v>
      </c>
      <c r="E139" s="7" t="s">
        <v>725</v>
      </c>
      <c r="F139" s="5" t="s">
        <v>726</v>
      </c>
      <c r="G139" s="22"/>
    </row>
    <row r="140" spans="1:7" ht="20.25" customHeight="1">
      <c r="A140" s="10">
        <v>11086</v>
      </c>
      <c r="B140" s="10">
        <v>15086</v>
      </c>
      <c r="C140" s="10">
        <f t="shared" si="2"/>
        <v>11086</v>
      </c>
      <c r="D140" s="10" t="s">
        <v>67</v>
      </c>
      <c r="E140" s="7" t="s">
        <v>727</v>
      </c>
      <c r="F140" s="5"/>
      <c r="G140" s="22" t="s">
        <v>728</v>
      </c>
    </row>
    <row r="141" spans="1:7" ht="20.25" customHeight="1">
      <c r="A141" s="10">
        <v>11086</v>
      </c>
      <c r="B141" s="10">
        <v>15086</v>
      </c>
      <c r="C141" s="10">
        <f t="shared" si="2"/>
        <v>11086</v>
      </c>
      <c r="D141" s="10" t="s">
        <v>549</v>
      </c>
      <c r="E141" s="7" t="s">
        <v>729</v>
      </c>
      <c r="F141" s="5"/>
      <c r="G141" s="22" t="s">
        <v>728</v>
      </c>
    </row>
    <row r="142" spans="1:7" ht="20.25" customHeight="1">
      <c r="A142" s="10">
        <v>11087</v>
      </c>
      <c r="B142" s="10">
        <v>15087</v>
      </c>
      <c r="C142" s="10">
        <f t="shared" si="2"/>
        <v>11087</v>
      </c>
      <c r="D142" s="10" t="s">
        <v>549</v>
      </c>
      <c r="E142" s="7" t="s">
        <v>730</v>
      </c>
      <c r="F142" s="5"/>
      <c r="G142" s="22" t="s">
        <v>731</v>
      </c>
    </row>
    <row r="143" spans="1:7" ht="20.25" customHeight="1">
      <c r="A143" s="10">
        <v>11088</v>
      </c>
      <c r="B143" s="10">
        <v>15088</v>
      </c>
      <c r="C143" s="10">
        <f t="shared" si="2"/>
        <v>21088</v>
      </c>
      <c r="D143" s="10" t="s">
        <v>567</v>
      </c>
      <c r="E143" s="7" t="s">
        <v>732</v>
      </c>
      <c r="F143" s="5" t="s">
        <v>619</v>
      </c>
      <c r="G143" s="22"/>
    </row>
    <row r="144" spans="1:7" ht="20.25" customHeight="1">
      <c r="A144" s="10">
        <v>11089</v>
      </c>
      <c r="B144" s="10">
        <v>15089</v>
      </c>
      <c r="C144" s="10">
        <f t="shared" si="2"/>
        <v>21089</v>
      </c>
      <c r="D144" s="10" t="s">
        <v>567</v>
      </c>
      <c r="E144" s="211" t="s">
        <v>733</v>
      </c>
      <c r="F144" s="5" t="s">
        <v>619</v>
      </c>
      <c r="G144" s="22"/>
    </row>
    <row r="145" spans="1:7" ht="20.25" customHeight="1">
      <c r="A145" s="10">
        <v>11090</v>
      </c>
      <c r="B145" s="10">
        <v>15090</v>
      </c>
      <c r="C145" s="10">
        <f t="shared" si="2"/>
        <v>11090</v>
      </c>
      <c r="D145" s="10" t="s">
        <v>549</v>
      </c>
      <c r="E145" s="126" t="s">
        <v>734</v>
      </c>
      <c r="F145" s="5"/>
      <c r="G145" s="22"/>
    </row>
    <row r="146" spans="1:7" ht="20.25" customHeight="1">
      <c r="A146" s="10">
        <v>11091</v>
      </c>
      <c r="B146" s="10">
        <v>15091</v>
      </c>
      <c r="C146" s="10">
        <f t="shared" si="2"/>
        <v>21091</v>
      </c>
      <c r="D146" s="10" t="s">
        <v>567</v>
      </c>
      <c r="E146" s="126" t="s">
        <v>735</v>
      </c>
      <c r="F146" s="5" t="s">
        <v>619</v>
      </c>
      <c r="G146" s="22"/>
    </row>
    <row r="147" spans="1:7" ht="20.25" customHeight="1">
      <c r="A147" s="10">
        <v>11092</v>
      </c>
      <c r="B147" s="10">
        <v>15092</v>
      </c>
      <c r="C147" s="10">
        <f t="shared" si="2"/>
        <v>11092</v>
      </c>
      <c r="D147" s="10" t="s">
        <v>549</v>
      </c>
      <c r="E147" s="126" t="s">
        <v>736</v>
      </c>
      <c r="F147" s="5"/>
      <c r="G147" s="22" t="s">
        <v>737</v>
      </c>
    </row>
    <row r="148" spans="1:7" ht="20.25" customHeight="1">
      <c r="A148" s="10">
        <v>11093</v>
      </c>
      <c r="B148" s="10">
        <v>15093</v>
      </c>
      <c r="C148" s="10">
        <f t="shared" si="2"/>
        <v>21093</v>
      </c>
      <c r="D148" s="10" t="s">
        <v>549</v>
      </c>
      <c r="E148" s="126" t="s">
        <v>738</v>
      </c>
      <c r="F148" s="7" t="s">
        <v>635</v>
      </c>
      <c r="G148" s="22" t="s">
        <v>136</v>
      </c>
    </row>
    <row r="149" spans="1:7" ht="20.25" customHeight="1">
      <c r="A149" s="10">
        <v>11094</v>
      </c>
      <c r="B149" s="10">
        <v>15094</v>
      </c>
      <c r="C149" s="10">
        <f t="shared" si="2"/>
        <v>11094</v>
      </c>
      <c r="D149" s="10" t="s">
        <v>549</v>
      </c>
      <c r="E149" s="126" t="s">
        <v>739</v>
      </c>
      <c r="F149" s="5"/>
      <c r="G149" s="22"/>
    </row>
    <row r="150" spans="1:7" ht="20.25" customHeight="1">
      <c r="A150" s="10">
        <v>11095</v>
      </c>
      <c r="B150" s="10">
        <v>15095</v>
      </c>
      <c r="C150" s="10">
        <f t="shared" si="2"/>
        <v>11095</v>
      </c>
      <c r="D150" s="10" t="s">
        <v>549</v>
      </c>
      <c r="E150" s="98" t="s">
        <v>740</v>
      </c>
      <c r="F150" s="5"/>
      <c r="G150" s="22"/>
    </row>
    <row r="151" spans="1:7" ht="20.25" customHeight="1">
      <c r="A151" s="10">
        <v>11096</v>
      </c>
      <c r="B151" s="10">
        <v>15096</v>
      </c>
      <c r="C151" s="10">
        <f t="shared" si="2"/>
        <v>11096</v>
      </c>
      <c r="D151" s="10" t="s">
        <v>567</v>
      </c>
      <c r="E151" s="111" t="s">
        <v>741</v>
      </c>
      <c r="F151" s="5"/>
      <c r="G151" s="22"/>
    </row>
    <row r="152" spans="1:7" ht="20.25" customHeight="1">
      <c r="A152" s="10">
        <v>11097</v>
      </c>
      <c r="B152" s="10">
        <v>15097</v>
      </c>
      <c r="C152" s="10">
        <f t="shared" si="2"/>
        <v>11097</v>
      </c>
      <c r="D152" s="10" t="s">
        <v>549</v>
      </c>
      <c r="E152" s="111" t="s">
        <v>742</v>
      </c>
      <c r="F152" s="5"/>
      <c r="G152" s="22"/>
    </row>
    <row r="153" spans="1:7" ht="20.25" customHeight="1">
      <c r="A153" s="10">
        <v>11098</v>
      </c>
      <c r="B153" s="10">
        <v>15098</v>
      </c>
      <c r="C153" s="10">
        <f t="shared" si="2"/>
        <v>11098</v>
      </c>
      <c r="D153" s="10" t="s">
        <v>549</v>
      </c>
      <c r="E153" s="111" t="s">
        <v>743</v>
      </c>
      <c r="F153" s="5"/>
      <c r="G153" s="22" t="s">
        <v>744</v>
      </c>
    </row>
    <row r="154" spans="1:7" ht="20.25" customHeight="1">
      <c r="A154" s="10">
        <v>11099</v>
      </c>
      <c r="B154" s="10">
        <v>15099</v>
      </c>
      <c r="C154" s="10">
        <f t="shared" si="2"/>
        <v>11099</v>
      </c>
      <c r="D154" s="10" t="s">
        <v>549</v>
      </c>
      <c r="E154" s="111" t="s">
        <v>745</v>
      </c>
      <c r="F154" s="5"/>
      <c r="G154" s="22"/>
    </row>
    <row r="155" spans="1:7" ht="20.25" customHeight="1">
      <c r="A155" s="10">
        <v>11100</v>
      </c>
      <c r="B155" s="10">
        <v>15100</v>
      </c>
      <c r="C155" s="10">
        <f t="shared" si="2"/>
        <v>11100</v>
      </c>
      <c r="D155" s="10" t="s">
        <v>549</v>
      </c>
      <c r="E155" s="111" t="s">
        <v>746</v>
      </c>
      <c r="F155" s="5"/>
      <c r="G155" s="22"/>
    </row>
    <row r="156" spans="1:7" ht="20.25" customHeight="1">
      <c r="A156" s="10">
        <v>11101</v>
      </c>
      <c r="B156" s="10">
        <v>15101</v>
      </c>
      <c r="C156" s="10">
        <f t="shared" si="2"/>
        <v>11101</v>
      </c>
      <c r="D156" s="10" t="s">
        <v>549</v>
      </c>
      <c r="E156" s="111" t="s">
        <v>747</v>
      </c>
      <c r="F156" s="5"/>
      <c r="G156" s="22"/>
    </row>
    <row r="157" spans="1:7" ht="20.25" customHeight="1">
      <c r="A157" s="10">
        <v>11102</v>
      </c>
      <c r="B157" s="10">
        <v>15102</v>
      </c>
      <c r="C157" s="10">
        <f t="shared" si="2"/>
        <v>11102</v>
      </c>
      <c r="D157" s="10" t="s">
        <v>549</v>
      </c>
      <c r="E157" s="7" t="s">
        <v>748</v>
      </c>
      <c r="F157" s="5"/>
      <c r="G157" s="22"/>
    </row>
    <row r="158" spans="1:7" ht="20.25" customHeight="1">
      <c r="A158" s="10">
        <v>11103</v>
      </c>
      <c r="B158" s="10">
        <v>15103</v>
      </c>
      <c r="C158" s="10">
        <f t="shared" si="2"/>
        <v>11103</v>
      </c>
      <c r="D158" s="10" t="s">
        <v>549</v>
      </c>
      <c r="E158" s="7" t="s">
        <v>749</v>
      </c>
      <c r="F158" s="5"/>
      <c r="G158" s="22"/>
    </row>
    <row r="159" spans="1:7" ht="20.25" customHeight="1">
      <c r="A159" s="10">
        <v>11104</v>
      </c>
      <c r="B159" s="10">
        <v>15104</v>
      </c>
      <c r="C159" s="10">
        <f t="shared" si="2"/>
        <v>11104</v>
      </c>
      <c r="D159" s="10" t="s">
        <v>549</v>
      </c>
      <c r="E159" s="7" t="s">
        <v>750</v>
      </c>
      <c r="F159" s="5"/>
      <c r="G159" s="22"/>
    </row>
    <row r="160" spans="1:7" ht="20.25" customHeight="1">
      <c r="A160" s="10">
        <v>11105</v>
      </c>
      <c r="B160" s="10">
        <v>15105</v>
      </c>
      <c r="C160" s="10">
        <f t="shared" si="2"/>
        <v>11105</v>
      </c>
      <c r="D160" s="10" t="s">
        <v>549</v>
      </c>
      <c r="E160" s="7" t="s">
        <v>751</v>
      </c>
      <c r="F160" s="5"/>
      <c r="G160" s="22"/>
    </row>
    <row r="161" spans="1:7" ht="20.25" customHeight="1">
      <c r="A161" s="10">
        <v>11106</v>
      </c>
      <c r="B161" s="10">
        <v>15106</v>
      </c>
      <c r="C161" s="10">
        <f t="shared" si="2"/>
        <v>11106</v>
      </c>
      <c r="D161" s="10" t="s">
        <v>549</v>
      </c>
      <c r="E161" s="7" t="s">
        <v>752</v>
      </c>
      <c r="F161" s="5"/>
      <c r="G161" s="22"/>
    </row>
    <row r="162" spans="1:7" ht="20.25" customHeight="1">
      <c r="A162" s="10">
        <v>11107</v>
      </c>
      <c r="B162" s="10">
        <v>15107</v>
      </c>
      <c r="C162" s="10">
        <f t="shared" si="2"/>
        <v>11107</v>
      </c>
      <c r="D162" s="10" t="s">
        <v>549</v>
      </c>
      <c r="E162" s="7" t="s">
        <v>753</v>
      </c>
      <c r="F162" s="5"/>
      <c r="G162" s="22"/>
    </row>
    <row r="163" spans="1:7" ht="20.25" customHeight="1">
      <c r="A163" s="10">
        <v>11108</v>
      </c>
      <c r="B163" s="10">
        <v>15108</v>
      </c>
      <c r="C163" s="10">
        <f t="shared" si="2"/>
        <v>21108</v>
      </c>
      <c r="D163" s="10" t="s">
        <v>567</v>
      </c>
      <c r="E163" s="7" t="s">
        <v>754</v>
      </c>
      <c r="F163" s="5" t="s">
        <v>619</v>
      </c>
      <c r="G163" s="22"/>
    </row>
    <row r="164" spans="1:7" ht="20.25" customHeight="1">
      <c r="A164" s="10">
        <v>11109</v>
      </c>
      <c r="B164" s="10">
        <v>15109</v>
      </c>
      <c r="C164" s="10">
        <f t="shared" si="2"/>
        <v>21109</v>
      </c>
      <c r="D164" s="10" t="s">
        <v>567</v>
      </c>
      <c r="E164" s="7" t="s">
        <v>755</v>
      </c>
      <c r="F164" s="5" t="s">
        <v>619</v>
      </c>
      <c r="G164" s="22"/>
    </row>
    <row r="165" spans="1:7" ht="20.25" customHeight="1">
      <c r="A165" s="10">
        <v>11110</v>
      </c>
      <c r="B165" s="10">
        <v>15110</v>
      </c>
      <c r="C165" s="10">
        <f t="shared" si="2"/>
        <v>11110</v>
      </c>
      <c r="D165" s="10" t="s">
        <v>549</v>
      </c>
      <c r="E165" s="7" t="s">
        <v>756</v>
      </c>
      <c r="F165" s="5"/>
      <c r="G165" s="22"/>
    </row>
    <row r="166" spans="1:7" ht="20.25" customHeight="1">
      <c r="A166" s="10">
        <v>11111</v>
      </c>
      <c r="B166" s="10">
        <v>15111</v>
      </c>
      <c r="C166" s="10">
        <f t="shared" si="2"/>
        <v>21111</v>
      </c>
      <c r="D166" s="10" t="s">
        <v>567</v>
      </c>
      <c r="E166" s="7" t="s">
        <v>757</v>
      </c>
      <c r="F166" s="5" t="s">
        <v>619</v>
      </c>
      <c r="G166" s="22"/>
    </row>
    <row r="167" spans="1:7" ht="20.25" customHeight="1">
      <c r="A167" s="10">
        <v>11112</v>
      </c>
      <c r="B167" s="10">
        <v>15112</v>
      </c>
      <c r="C167" s="10">
        <f t="shared" si="2"/>
        <v>11112</v>
      </c>
      <c r="D167" s="10" t="s">
        <v>549</v>
      </c>
      <c r="E167" s="9" t="s">
        <v>758</v>
      </c>
      <c r="F167" s="5"/>
      <c r="G167" s="22"/>
    </row>
    <row r="168" spans="1:7" ht="20.25" customHeight="1">
      <c r="A168" s="10">
        <v>11113</v>
      </c>
      <c r="B168" s="10">
        <v>15113</v>
      </c>
      <c r="C168" s="10">
        <f t="shared" si="2"/>
        <v>11113</v>
      </c>
      <c r="D168" s="10" t="s">
        <v>549</v>
      </c>
      <c r="E168" s="9" t="s">
        <v>759</v>
      </c>
      <c r="F168" s="5"/>
      <c r="G168" s="22"/>
    </row>
    <row r="169" spans="1:7" ht="20.25" customHeight="1">
      <c r="A169" s="10">
        <v>11114</v>
      </c>
      <c r="B169" s="10">
        <v>15114</v>
      </c>
      <c r="C169" s="10">
        <f t="shared" si="2"/>
        <v>11114</v>
      </c>
      <c r="D169" s="10" t="s">
        <v>549</v>
      </c>
      <c r="E169" s="9" t="s">
        <v>760</v>
      </c>
      <c r="F169" s="5"/>
      <c r="G169" s="22"/>
    </row>
    <row r="170" spans="1:7" ht="15">
      <c r="A170" s="10">
        <v>11202</v>
      </c>
      <c r="B170" s="10">
        <v>15114</v>
      </c>
      <c r="C170" s="10">
        <f t="shared" si="2"/>
        <v>21202</v>
      </c>
      <c r="D170" s="10" t="s">
        <v>567</v>
      </c>
      <c r="E170" s="7" t="s">
        <v>761</v>
      </c>
      <c r="F170" s="5" t="s">
        <v>619</v>
      </c>
      <c r="G170" s="22"/>
    </row>
    <row r="171" spans="1:7" ht="20.25" customHeight="1">
      <c r="A171" s="10">
        <v>11115</v>
      </c>
      <c r="B171" s="10">
        <v>15115</v>
      </c>
      <c r="C171" s="10">
        <f t="shared" si="2"/>
        <v>11115</v>
      </c>
      <c r="D171" s="10" t="s">
        <v>549</v>
      </c>
      <c r="E171" s="7" t="s">
        <v>762</v>
      </c>
      <c r="F171" s="5"/>
      <c r="G171" s="22"/>
    </row>
    <row r="172" spans="1:7" ht="20.25" customHeight="1">
      <c r="A172" s="10">
        <v>11116</v>
      </c>
      <c r="B172" s="10">
        <v>15116</v>
      </c>
      <c r="C172" s="10">
        <f t="shared" si="2"/>
        <v>11116</v>
      </c>
      <c r="D172" s="10" t="s">
        <v>549</v>
      </c>
      <c r="E172" s="7" t="s">
        <v>763</v>
      </c>
      <c r="F172" s="5"/>
      <c r="G172" s="22"/>
    </row>
    <row r="173" spans="1:7" ht="20.25" customHeight="1">
      <c r="A173" s="10">
        <v>11117</v>
      </c>
      <c r="B173" s="10">
        <v>15117</v>
      </c>
      <c r="C173" s="10">
        <f t="shared" si="2"/>
        <v>11117</v>
      </c>
      <c r="D173" s="10" t="s">
        <v>549</v>
      </c>
      <c r="E173" s="7" t="s">
        <v>764</v>
      </c>
      <c r="F173" s="5"/>
      <c r="G173" s="22"/>
    </row>
    <row r="174" spans="1:7" ht="20.25" customHeight="1">
      <c r="A174" s="10">
        <v>11118</v>
      </c>
      <c r="B174" s="10">
        <v>15118</v>
      </c>
      <c r="C174" s="10">
        <f t="shared" si="2"/>
        <v>11118</v>
      </c>
      <c r="D174" s="10" t="s">
        <v>549</v>
      </c>
      <c r="E174" s="7" t="s">
        <v>765</v>
      </c>
      <c r="F174" s="5"/>
      <c r="G174" s="22"/>
    </row>
    <row r="175" spans="1:7" ht="20.25" customHeight="1">
      <c r="A175" s="10">
        <v>11119</v>
      </c>
      <c r="B175" s="10">
        <v>15119</v>
      </c>
      <c r="C175" s="10">
        <f t="shared" si="2"/>
        <v>21119</v>
      </c>
      <c r="D175" s="10" t="s">
        <v>567</v>
      </c>
      <c r="E175" s="7" t="s">
        <v>766</v>
      </c>
      <c r="F175" s="5" t="s">
        <v>619</v>
      </c>
      <c r="G175" s="22"/>
    </row>
    <row r="176" spans="1:7" ht="20.25" customHeight="1">
      <c r="A176" s="10">
        <v>11120</v>
      </c>
      <c r="B176" s="10">
        <v>15120</v>
      </c>
      <c r="C176" s="10">
        <f t="shared" si="2"/>
        <v>11120</v>
      </c>
      <c r="D176" s="10" t="s">
        <v>549</v>
      </c>
      <c r="E176" s="7" t="s">
        <v>767</v>
      </c>
      <c r="F176" s="5"/>
      <c r="G176" s="22"/>
    </row>
    <row r="177" spans="1:7" ht="20.25" customHeight="1">
      <c r="A177" s="10">
        <v>11121</v>
      </c>
      <c r="B177" s="10">
        <v>15121</v>
      </c>
      <c r="C177" s="10">
        <f t="shared" si="2"/>
        <v>11121</v>
      </c>
      <c r="D177" s="10" t="s">
        <v>549</v>
      </c>
      <c r="E177" s="7" t="s">
        <v>768</v>
      </c>
      <c r="F177" s="5"/>
      <c r="G177" s="22"/>
    </row>
    <row r="178" spans="1:7" ht="20.25" customHeight="1">
      <c r="A178" s="10">
        <v>11122</v>
      </c>
      <c r="B178" s="10">
        <v>15122</v>
      </c>
      <c r="C178" s="10">
        <f t="shared" si="2"/>
        <v>21122</v>
      </c>
      <c r="D178" s="10" t="s">
        <v>567</v>
      </c>
      <c r="E178" s="7" t="s">
        <v>769</v>
      </c>
      <c r="F178" s="5" t="s">
        <v>619</v>
      </c>
      <c r="G178" s="22"/>
    </row>
    <row r="179" spans="1:7" ht="20.25" customHeight="1">
      <c r="A179" s="10">
        <v>11123</v>
      </c>
      <c r="B179" s="10">
        <v>15123</v>
      </c>
      <c r="C179" s="10">
        <f t="shared" si="2"/>
        <v>21123</v>
      </c>
      <c r="D179" s="10" t="s">
        <v>567</v>
      </c>
      <c r="E179" s="7" t="s">
        <v>770</v>
      </c>
      <c r="F179" s="5" t="s">
        <v>619</v>
      </c>
      <c r="G179" s="22"/>
    </row>
    <row r="180" spans="1:7" ht="20.25" customHeight="1">
      <c r="A180" s="10">
        <v>11124</v>
      </c>
      <c r="B180" s="10">
        <v>15124</v>
      </c>
      <c r="C180" s="10">
        <f t="shared" si="2"/>
        <v>21124</v>
      </c>
      <c r="D180" s="10" t="s">
        <v>567</v>
      </c>
      <c r="E180" s="7" t="s">
        <v>771</v>
      </c>
      <c r="F180" s="5" t="s">
        <v>619</v>
      </c>
      <c r="G180" s="22"/>
    </row>
    <row r="181" spans="1:7" ht="20.25" customHeight="1">
      <c r="A181" s="10">
        <v>11125</v>
      </c>
      <c r="B181" s="10">
        <v>15125</v>
      </c>
      <c r="C181" s="10">
        <f t="shared" si="2"/>
        <v>11125</v>
      </c>
      <c r="D181" s="10" t="s">
        <v>549</v>
      </c>
      <c r="E181" s="7" t="s">
        <v>772</v>
      </c>
      <c r="F181" s="5"/>
      <c r="G181" s="22"/>
    </row>
    <row r="182" spans="1:7" ht="20.25" customHeight="1">
      <c r="A182" s="10">
        <v>11126</v>
      </c>
      <c r="B182" s="10">
        <v>15126</v>
      </c>
      <c r="C182" s="10">
        <f t="shared" si="2"/>
        <v>11126</v>
      </c>
      <c r="D182" s="10" t="s">
        <v>549</v>
      </c>
      <c r="E182" s="7" t="s">
        <v>773</v>
      </c>
      <c r="F182" s="5"/>
      <c r="G182" s="22"/>
    </row>
    <row r="183" spans="1:7" ht="20.25" customHeight="1">
      <c r="A183" s="10">
        <v>11127</v>
      </c>
      <c r="B183" s="10">
        <v>15127</v>
      </c>
      <c r="C183" s="10">
        <f t="shared" si="2"/>
        <v>11127</v>
      </c>
      <c r="D183" s="10" t="s">
        <v>549</v>
      </c>
      <c r="E183" s="7" t="s">
        <v>774</v>
      </c>
      <c r="F183" s="5"/>
      <c r="G183" s="22"/>
    </row>
    <row r="184" spans="1:7" ht="20.25" customHeight="1">
      <c r="A184" s="10">
        <v>11128</v>
      </c>
      <c r="B184" s="10">
        <v>15128</v>
      </c>
      <c r="C184" s="10">
        <f t="shared" si="2"/>
        <v>21128</v>
      </c>
      <c r="D184" s="10" t="s">
        <v>567</v>
      </c>
      <c r="E184" s="7" t="s">
        <v>775</v>
      </c>
      <c r="F184" s="5" t="s">
        <v>619</v>
      </c>
      <c r="G184" s="22"/>
    </row>
    <row r="185" spans="1:7" ht="20.25" customHeight="1">
      <c r="A185" s="10">
        <v>11129</v>
      </c>
      <c r="B185" s="10">
        <v>15129</v>
      </c>
      <c r="C185" s="10">
        <f t="shared" si="2"/>
        <v>11129</v>
      </c>
      <c r="D185" s="10" t="s">
        <v>549</v>
      </c>
      <c r="E185" s="7" t="s">
        <v>776</v>
      </c>
      <c r="F185" s="5"/>
      <c r="G185" s="110" t="s">
        <v>777</v>
      </c>
    </row>
    <row r="186" spans="1:7" ht="20.25" customHeight="1">
      <c r="A186" s="10">
        <v>11130</v>
      </c>
      <c r="B186" s="10">
        <v>15130</v>
      </c>
      <c r="C186" s="10">
        <f t="shared" si="2"/>
        <v>11130</v>
      </c>
      <c r="D186" s="10" t="s">
        <v>549</v>
      </c>
      <c r="E186" s="7" t="s">
        <v>778</v>
      </c>
      <c r="F186" s="5"/>
      <c r="G186" s="110" t="s">
        <v>777</v>
      </c>
    </row>
    <row r="187" spans="1:7" ht="20.25" customHeight="1">
      <c r="A187" s="10">
        <v>11131</v>
      </c>
      <c r="B187" s="10">
        <v>15131</v>
      </c>
      <c r="C187" s="10">
        <f t="shared" si="2"/>
        <v>11131</v>
      </c>
      <c r="D187" s="10" t="s">
        <v>549</v>
      </c>
      <c r="E187" s="7" t="s">
        <v>779</v>
      </c>
      <c r="F187" s="5"/>
      <c r="G187" s="22"/>
    </row>
    <row r="188" spans="1:7" ht="20.25" customHeight="1">
      <c r="A188" s="10">
        <v>11132</v>
      </c>
      <c r="B188" s="10">
        <v>15132</v>
      </c>
      <c r="C188" s="10">
        <f t="shared" si="2"/>
        <v>11132</v>
      </c>
      <c r="D188" s="10" t="s">
        <v>549</v>
      </c>
      <c r="E188" s="7" t="s">
        <v>780</v>
      </c>
      <c r="F188" s="5"/>
      <c r="G188" s="22"/>
    </row>
    <row r="189" spans="1:7" ht="20.25" customHeight="1">
      <c r="A189" s="10">
        <v>11133</v>
      </c>
      <c r="B189" s="10">
        <v>15133</v>
      </c>
      <c r="C189" s="10">
        <f t="shared" si="2"/>
        <v>11133</v>
      </c>
      <c r="D189" s="10" t="s">
        <v>549</v>
      </c>
      <c r="E189" s="7" t="s">
        <v>781</v>
      </c>
      <c r="F189" s="5"/>
      <c r="G189" s="22"/>
    </row>
    <row r="190" spans="1:7" ht="20.25" customHeight="1">
      <c r="A190" s="10">
        <v>11134</v>
      </c>
      <c r="B190" s="10">
        <v>15134</v>
      </c>
      <c r="C190" s="10">
        <f t="shared" si="2"/>
        <v>11134</v>
      </c>
      <c r="D190" s="10" t="s">
        <v>549</v>
      </c>
      <c r="E190" s="7" t="s">
        <v>782</v>
      </c>
      <c r="F190" s="5"/>
      <c r="G190" s="22" t="s">
        <v>783</v>
      </c>
    </row>
    <row r="191" spans="1:7" ht="20.25" customHeight="1">
      <c r="A191" s="10">
        <v>11135</v>
      </c>
      <c r="B191" s="10">
        <v>15135</v>
      </c>
      <c r="C191" s="10">
        <f t="shared" si="2"/>
        <v>11135</v>
      </c>
      <c r="D191" s="10" t="s">
        <v>549</v>
      </c>
      <c r="E191" s="7" t="s">
        <v>784</v>
      </c>
      <c r="F191" s="5"/>
      <c r="G191" s="22" t="s">
        <v>783</v>
      </c>
    </row>
    <row r="192" spans="1:7" ht="20.25" customHeight="1">
      <c r="A192" s="10">
        <v>11137</v>
      </c>
      <c r="B192" s="10">
        <v>15137</v>
      </c>
      <c r="C192" s="10">
        <f t="shared" si="2"/>
        <v>11137</v>
      </c>
      <c r="D192" s="10" t="s">
        <v>567</v>
      </c>
      <c r="E192" s="7" t="s">
        <v>785</v>
      </c>
      <c r="F192" s="5"/>
      <c r="G192" s="22"/>
    </row>
    <row r="193" spans="1:7" ht="20.25" customHeight="1">
      <c r="A193" s="10">
        <v>11138</v>
      </c>
      <c r="B193" s="10">
        <v>15138</v>
      </c>
      <c r="C193" s="10">
        <f t="shared" si="2"/>
        <v>11138</v>
      </c>
      <c r="D193" s="10" t="s">
        <v>549</v>
      </c>
      <c r="E193" s="7" t="s">
        <v>786</v>
      </c>
      <c r="F193" s="5"/>
      <c r="G193" s="22" t="s">
        <v>787</v>
      </c>
    </row>
    <row r="194" spans="1:7" ht="20.25" customHeight="1">
      <c r="A194" s="10">
        <v>11139</v>
      </c>
      <c r="B194" s="10">
        <v>15139</v>
      </c>
      <c r="C194" s="10">
        <f t="shared" si="2"/>
        <v>21139</v>
      </c>
      <c r="D194" s="10" t="s">
        <v>549</v>
      </c>
      <c r="E194" s="7" t="s">
        <v>788</v>
      </c>
      <c r="F194" s="5" t="s">
        <v>635</v>
      </c>
      <c r="G194" s="22"/>
    </row>
    <row r="195" spans="1:7" ht="20.25" customHeight="1">
      <c r="A195" s="10">
        <v>11140</v>
      </c>
      <c r="B195" s="10">
        <v>15140</v>
      </c>
      <c r="C195" s="10">
        <f t="shared" si="2"/>
        <v>11140</v>
      </c>
      <c r="D195" s="10" t="s">
        <v>549</v>
      </c>
      <c r="E195" s="7" t="s">
        <v>789</v>
      </c>
      <c r="F195" s="5"/>
      <c r="G195" s="22"/>
    </row>
    <row r="196" spans="1:7" ht="20.25" customHeight="1">
      <c r="A196" s="10">
        <v>11141</v>
      </c>
      <c r="B196" s="10">
        <v>15141</v>
      </c>
      <c r="C196" s="10">
        <f t="shared" si="2"/>
        <v>11141</v>
      </c>
      <c r="D196" s="10" t="s">
        <v>549</v>
      </c>
      <c r="E196" s="7" t="s">
        <v>790</v>
      </c>
      <c r="F196" s="5"/>
      <c r="G196" s="22"/>
    </row>
    <row r="197" spans="1:7" ht="20.25" customHeight="1">
      <c r="A197" s="10">
        <v>11142</v>
      </c>
      <c r="B197" s="10">
        <v>15142</v>
      </c>
      <c r="C197" s="10">
        <f t="shared" ref="C197:C260" si="3">IF(ISERROR(FIND("B_Epic",E197)),A197,A197+10000)</f>
        <v>11142</v>
      </c>
      <c r="D197" s="10" t="s">
        <v>549</v>
      </c>
      <c r="E197" s="7" t="s">
        <v>791</v>
      </c>
      <c r="F197" s="5"/>
      <c r="G197" s="22" t="s">
        <v>792</v>
      </c>
    </row>
    <row r="198" spans="1:7" ht="20.25" customHeight="1">
      <c r="A198" s="10">
        <v>11143</v>
      </c>
      <c r="B198" s="10">
        <v>15143</v>
      </c>
      <c r="C198" s="10">
        <f t="shared" si="3"/>
        <v>11143</v>
      </c>
      <c r="D198" s="10" t="s">
        <v>549</v>
      </c>
      <c r="E198" s="7" t="s">
        <v>793</v>
      </c>
      <c r="F198" s="5"/>
      <c r="G198" s="22" t="s">
        <v>792</v>
      </c>
    </row>
    <row r="199" spans="1:7" ht="20.25" customHeight="1">
      <c r="A199" s="10">
        <v>11144</v>
      </c>
      <c r="B199" s="10">
        <v>15144</v>
      </c>
      <c r="C199" s="10">
        <f t="shared" si="3"/>
        <v>11144</v>
      </c>
      <c r="D199" s="10" t="s">
        <v>549</v>
      </c>
      <c r="E199" s="7" t="s">
        <v>794</v>
      </c>
      <c r="F199" s="5"/>
      <c r="G199" s="22"/>
    </row>
    <row r="200" spans="1:7" ht="20.25" customHeight="1">
      <c r="A200" s="10">
        <v>11145</v>
      </c>
      <c r="B200" s="10">
        <v>15145</v>
      </c>
      <c r="C200" s="10">
        <f t="shared" si="3"/>
        <v>11145</v>
      </c>
      <c r="D200" s="10" t="s">
        <v>549</v>
      </c>
      <c r="E200" s="7" t="s">
        <v>795</v>
      </c>
      <c r="F200" s="5"/>
      <c r="G200" s="22"/>
    </row>
    <row r="201" spans="1:7" ht="20.25" customHeight="1">
      <c r="A201" s="10">
        <v>11146</v>
      </c>
      <c r="B201" s="10">
        <v>15146</v>
      </c>
      <c r="C201" s="10">
        <f t="shared" si="3"/>
        <v>11146</v>
      </c>
      <c r="D201" s="10" t="s">
        <v>549</v>
      </c>
      <c r="E201" s="7" t="s">
        <v>796</v>
      </c>
      <c r="F201" s="5"/>
      <c r="G201" s="22"/>
    </row>
    <row r="202" spans="1:7" ht="20.25" customHeight="1">
      <c r="A202" s="10">
        <v>11147</v>
      </c>
      <c r="B202" s="10">
        <v>15147</v>
      </c>
      <c r="C202" s="10">
        <f t="shared" si="3"/>
        <v>11147</v>
      </c>
      <c r="D202" s="10" t="s">
        <v>549</v>
      </c>
      <c r="E202" s="7" t="s">
        <v>797</v>
      </c>
      <c r="F202" s="5"/>
      <c r="G202" s="22" t="s">
        <v>798</v>
      </c>
    </row>
    <row r="203" spans="1:7" ht="20.25" customHeight="1">
      <c r="A203" s="10">
        <v>11148</v>
      </c>
      <c r="B203" s="10">
        <v>15148</v>
      </c>
      <c r="C203" s="10">
        <f t="shared" si="3"/>
        <v>11148</v>
      </c>
      <c r="D203" s="10" t="s">
        <v>549</v>
      </c>
      <c r="E203" s="7" t="s">
        <v>799</v>
      </c>
      <c r="F203" s="5"/>
      <c r="G203" s="22"/>
    </row>
    <row r="204" spans="1:7" ht="20.25" customHeight="1">
      <c r="A204" s="10">
        <v>11149</v>
      </c>
      <c r="B204" s="10">
        <v>15149</v>
      </c>
      <c r="C204" s="10">
        <f t="shared" si="3"/>
        <v>11149</v>
      </c>
      <c r="D204" s="10" t="s">
        <v>549</v>
      </c>
      <c r="E204" s="7" t="s">
        <v>800</v>
      </c>
      <c r="F204" s="5"/>
      <c r="G204" s="22"/>
    </row>
    <row r="205" spans="1:7" ht="20.25" customHeight="1">
      <c r="A205" s="10">
        <v>11150</v>
      </c>
      <c r="B205" s="10">
        <v>15150</v>
      </c>
      <c r="C205" s="10">
        <f t="shared" si="3"/>
        <v>11150</v>
      </c>
      <c r="D205" s="10" t="s">
        <v>549</v>
      </c>
      <c r="E205" s="7" t="s">
        <v>801</v>
      </c>
      <c r="F205" s="5"/>
      <c r="G205" s="22"/>
    </row>
    <row r="206" spans="1:7" ht="20.25" customHeight="1">
      <c r="A206" s="10">
        <v>11151</v>
      </c>
      <c r="B206" s="10">
        <v>15151</v>
      </c>
      <c r="C206" s="10">
        <f t="shared" si="3"/>
        <v>11151</v>
      </c>
      <c r="D206" s="10" t="s">
        <v>549</v>
      </c>
      <c r="E206" s="7" t="s">
        <v>802</v>
      </c>
      <c r="F206" s="5"/>
      <c r="G206" s="22"/>
    </row>
    <row r="207" spans="1:7" ht="20.25" customHeight="1">
      <c r="A207" s="10">
        <v>11152</v>
      </c>
      <c r="B207" s="10">
        <v>15152</v>
      </c>
      <c r="C207" s="10">
        <f t="shared" si="3"/>
        <v>11152</v>
      </c>
      <c r="D207" s="10" t="s">
        <v>549</v>
      </c>
      <c r="E207" s="7" t="s">
        <v>803</v>
      </c>
      <c r="F207" s="5"/>
      <c r="G207" s="22"/>
    </row>
    <row r="208" spans="1:7" ht="20.25" customHeight="1">
      <c r="A208" s="10">
        <v>11153</v>
      </c>
      <c r="B208" s="10">
        <v>15153</v>
      </c>
      <c r="C208" s="10">
        <f t="shared" si="3"/>
        <v>11153</v>
      </c>
      <c r="D208" s="10" t="s">
        <v>549</v>
      </c>
      <c r="E208" s="7" t="s">
        <v>804</v>
      </c>
      <c r="F208" s="5"/>
      <c r="G208" s="22"/>
    </row>
    <row r="209" spans="1:7" ht="20.25" customHeight="1">
      <c r="A209" s="10">
        <v>11154</v>
      </c>
      <c r="B209" s="10">
        <v>15154</v>
      </c>
      <c r="C209" s="10">
        <f t="shared" si="3"/>
        <v>11154</v>
      </c>
      <c r="D209" s="10" t="s">
        <v>549</v>
      </c>
      <c r="E209" s="7" t="s">
        <v>805</v>
      </c>
      <c r="F209" s="5"/>
      <c r="G209" s="22"/>
    </row>
    <row r="210" spans="1:7" ht="20.25" customHeight="1">
      <c r="A210" s="10">
        <v>11155</v>
      </c>
      <c r="B210" s="10">
        <v>15155</v>
      </c>
      <c r="C210" s="10">
        <f t="shared" si="3"/>
        <v>11155</v>
      </c>
      <c r="D210" s="10" t="s">
        <v>549</v>
      </c>
      <c r="E210" s="7" t="s">
        <v>806</v>
      </c>
      <c r="F210" s="5"/>
      <c r="G210" s="22"/>
    </row>
    <row r="211" spans="1:7" ht="20.25" customHeight="1">
      <c r="A211" s="10">
        <v>11156</v>
      </c>
      <c r="B211" s="10">
        <v>15156</v>
      </c>
      <c r="C211" s="10">
        <f t="shared" si="3"/>
        <v>11156</v>
      </c>
      <c r="D211" s="10" t="s">
        <v>549</v>
      </c>
      <c r="E211" s="7" t="s">
        <v>807</v>
      </c>
      <c r="F211" s="5"/>
      <c r="G211" s="22"/>
    </row>
    <row r="212" spans="1:7" ht="20.25" customHeight="1">
      <c r="A212" s="10">
        <v>11157</v>
      </c>
      <c r="B212" s="10">
        <v>15157</v>
      </c>
      <c r="C212" s="10">
        <f t="shared" si="3"/>
        <v>21157</v>
      </c>
      <c r="D212" s="10" t="s">
        <v>549</v>
      </c>
      <c r="E212" s="7" t="s">
        <v>808</v>
      </c>
      <c r="F212" s="5" t="s">
        <v>809</v>
      </c>
      <c r="G212" s="22"/>
    </row>
    <row r="213" spans="1:7" ht="20.25" customHeight="1">
      <c r="A213" s="10">
        <v>11158</v>
      </c>
      <c r="B213" s="10">
        <v>15158</v>
      </c>
      <c r="C213" s="10">
        <f t="shared" si="3"/>
        <v>21158</v>
      </c>
      <c r="D213" s="10" t="s">
        <v>549</v>
      </c>
      <c r="E213" s="7" t="s">
        <v>810</v>
      </c>
      <c r="F213" s="5" t="s">
        <v>811</v>
      </c>
      <c r="G213" s="22"/>
    </row>
    <row r="214" spans="1:7" ht="20.25" customHeight="1">
      <c r="A214" s="10">
        <v>11159</v>
      </c>
      <c r="B214" s="10">
        <v>15159</v>
      </c>
      <c r="C214" s="10">
        <f t="shared" si="3"/>
        <v>21159</v>
      </c>
      <c r="D214" s="10" t="s">
        <v>549</v>
      </c>
      <c r="E214" s="7" t="s">
        <v>812</v>
      </c>
      <c r="F214" s="7" t="s">
        <v>635</v>
      </c>
      <c r="G214" s="22"/>
    </row>
    <row r="215" spans="1:7" ht="20.25" customHeight="1">
      <c r="A215" s="10">
        <v>11160</v>
      </c>
      <c r="B215" s="10">
        <v>15160</v>
      </c>
      <c r="C215" s="10">
        <f t="shared" si="3"/>
        <v>11160</v>
      </c>
      <c r="D215" s="10" t="s">
        <v>549</v>
      </c>
      <c r="E215" s="7" t="s">
        <v>813</v>
      </c>
      <c r="F215" s="5"/>
      <c r="G215" s="22" t="s">
        <v>814</v>
      </c>
    </row>
    <row r="216" spans="1:7" ht="20.25" customHeight="1">
      <c r="A216" s="10">
        <v>11161</v>
      </c>
      <c r="B216" s="10">
        <v>15161</v>
      </c>
      <c r="C216" s="10">
        <f t="shared" si="3"/>
        <v>11161</v>
      </c>
      <c r="D216" s="10" t="s">
        <v>549</v>
      </c>
      <c r="E216" s="7" t="s">
        <v>815</v>
      </c>
      <c r="F216" s="5"/>
      <c r="G216" s="22"/>
    </row>
    <row r="217" spans="1:7" ht="20.25" customHeight="1">
      <c r="A217" s="10">
        <v>11162</v>
      </c>
      <c r="B217" s="10">
        <v>15162</v>
      </c>
      <c r="C217" s="10">
        <f t="shared" si="3"/>
        <v>11162</v>
      </c>
      <c r="D217" s="10" t="s">
        <v>567</v>
      </c>
      <c r="E217" s="7" t="s">
        <v>816</v>
      </c>
      <c r="F217" s="5"/>
      <c r="G217" s="22"/>
    </row>
    <row r="218" spans="1:7" ht="20.25" customHeight="1">
      <c r="A218" s="10">
        <v>11163</v>
      </c>
      <c r="B218" s="10">
        <v>15163</v>
      </c>
      <c r="C218" s="10">
        <f t="shared" si="3"/>
        <v>11163</v>
      </c>
      <c r="D218" s="10" t="s">
        <v>567</v>
      </c>
      <c r="E218" s="7" t="s">
        <v>817</v>
      </c>
      <c r="F218" s="5"/>
      <c r="G218" s="22"/>
    </row>
    <row r="219" spans="1:7" ht="20.25" customHeight="1">
      <c r="A219" s="10">
        <v>11164</v>
      </c>
      <c r="B219" s="10">
        <v>15164</v>
      </c>
      <c r="C219" s="10">
        <f t="shared" si="3"/>
        <v>11164</v>
      </c>
      <c r="D219" s="10" t="s">
        <v>567</v>
      </c>
      <c r="E219" s="7" t="s">
        <v>818</v>
      </c>
      <c r="F219" s="5"/>
      <c r="G219" s="22"/>
    </row>
    <row r="220" spans="1:7" ht="20.25" customHeight="1">
      <c r="A220" s="10">
        <v>11165</v>
      </c>
      <c r="B220" s="10">
        <v>15165</v>
      </c>
      <c r="C220" s="10">
        <f t="shared" si="3"/>
        <v>11165</v>
      </c>
      <c r="D220" s="10" t="s">
        <v>549</v>
      </c>
      <c r="E220" s="7" t="s">
        <v>819</v>
      </c>
      <c r="F220" s="5" t="s">
        <v>820</v>
      </c>
      <c r="G220" s="22" t="s">
        <v>821</v>
      </c>
    </row>
    <row r="221" spans="1:7" ht="20.25" customHeight="1">
      <c r="A221" s="10">
        <v>11166</v>
      </c>
      <c r="B221" s="10">
        <v>15166</v>
      </c>
      <c r="C221" s="10">
        <f t="shared" si="3"/>
        <v>11166</v>
      </c>
      <c r="D221" s="10" t="s">
        <v>549</v>
      </c>
      <c r="E221" s="7" t="s">
        <v>822</v>
      </c>
      <c r="F221" s="5"/>
      <c r="G221" s="22" t="s">
        <v>823</v>
      </c>
    </row>
    <row r="222" spans="1:7" ht="20.25" customHeight="1">
      <c r="A222" s="10">
        <v>11167</v>
      </c>
      <c r="B222" s="10">
        <v>15167</v>
      </c>
      <c r="C222" s="10">
        <f t="shared" si="3"/>
        <v>11167</v>
      </c>
      <c r="D222" s="10" t="s">
        <v>549</v>
      </c>
      <c r="E222" s="7" t="s">
        <v>824</v>
      </c>
      <c r="F222" s="5"/>
      <c r="G222" s="22" t="s">
        <v>823</v>
      </c>
    </row>
    <row r="223" spans="1:7" ht="20.25" customHeight="1">
      <c r="A223" s="10">
        <v>11168</v>
      </c>
      <c r="B223" s="10">
        <v>15168</v>
      </c>
      <c r="C223" s="10">
        <f t="shared" si="3"/>
        <v>11168</v>
      </c>
      <c r="D223" s="10" t="s">
        <v>549</v>
      </c>
      <c r="E223" s="7" t="s">
        <v>825</v>
      </c>
      <c r="F223" s="5"/>
      <c r="G223" s="22" t="s">
        <v>823</v>
      </c>
    </row>
    <row r="224" spans="1:7" ht="20.25" customHeight="1">
      <c r="A224" s="10">
        <v>11169</v>
      </c>
      <c r="B224" s="10">
        <v>15169</v>
      </c>
      <c r="C224" s="10">
        <f t="shared" si="3"/>
        <v>11169</v>
      </c>
      <c r="D224" s="10" t="s">
        <v>549</v>
      </c>
      <c r="E224" s="7" t="s">
        <v>826</v>
      </c>
      <c r="F224" s="5"/>
      <c r="G224" s="22" t="s">
        <v>823</v>
      </c>
    </row>
    <row r="225" spans="1:7" ht="20.25" customHeight="1">
      <c r="A225" s="10">
        <v>11170</v>
      </c>
      <c r="B225" s="10">
        <v>15170</v>
      </c>
      <c r="C225" s="10">
        <f t="shared" si="3"/>
        <v>21170</v>
      </c>
      <c r="D225" s="10" t="s">
        <v>567</v>
      </c>
      <c r="E225" s="7" t="s">
        <v>827</v>
      </c>
      <c r="F225" s="5" t="s">
        <v>619</v>
      </c>
      <c r="G225" s="22"/>
    </row>
    <row r="226" spans="1:7" ht="20.25" customHeight="1">
      <c r="A226" s="10">
        <v>11172</v>
      </c>
      <c r="B226" s="10">
        <v>15172</v>
      </c>
      <c r="C226" s="10">
        <f t="shared" si="3"/>
        <v>11172</v>
      </c>
      <c r="D226" s="10" t="s">
        <v>549</v>
      </c>
      <c r="E226" s="7" t="s">
        <v>828</v>
      </c>
      <c r="F226" s="7"/>
      <c r="G226" s="22" t="s">
        <v>829</v>
      </c>
    </row>
    <row r="227" spans="1:7" ht="20.25" customHeight="1">
      <c r="A227" s="10">
        <v>11173</v>
      </c>
      <c r="B227" s="10">
        <v>15173</v>
      </c>
      <c r="C227" s="10">
        <f t="shared" si="3"/>
        <v>21173</v>
      </c>
      <c r="D227" s="10" t="s">
        <v>567</v>
      </c>
      <c r="E227" s="7" t="s">
        <v>830</v>
      </c>
      <c r="F227" s="5" t="s">
        <v>619</v>
      </c>
      <c r="G227" s="22"/>
    </row>
    <row r="228" spans="1:7" ht="20.25" customHeight="1">
      <c r="A228" s="10">
        <v>11174</v>
      </c>
      <c r="B228" s="10">
        <v>15174</v>
      </c>
      <c r="C228" s="10">
        <f t="shared" si="3"/>
        <v>11174</v>
      </c>
      <c r="D228" s="10" t="s">
        <v>549</v>
      </c>
      <c r="E228" s="7" t="s">
        <v>831</v>
      </c>
      <c r="F228" s="7"/>
      <c r="G228" s="22"/>
    </row>
    <row r="229" spans="1:7" ht="20.25" customHeight="1">
      <c r="A229" s="10">
        <v>11175</v>
      </c>
      <c r="B229" s="10">
        <v>15175</v>
      </c>
      <c r="C229" s="10">
        <f t="shared" si="3"/>
        <v>11175</v>
      </c>
      <c r="D229" s="10" t="s">
        <v>549</v>
      </c>
      <c r="E229" s="7" t="s">
        <v>832</v>
      </c>
      <c r="F229" s="5"/>
      <c r="G229" s="22"/>
    </row>
    <row r="230" spans="1:7" ht="20.25" customHeight="1">
      <c r="A230" s="10">
        <v>11176</v>
      </c>
      <c r="B230" s="10">
        <v>15176</v>
      </c>
      <c r="C230" s="10">
        <f t="shared" si="3"/>
        <v>11176</v>
      </c>
      <c r="D230" s="10" t="s">
        <v>549</v>
      </c>
      <c r="E230" s="7" t="s">
        <v>833</v>
      </c>
      <c r="F230" s="5" t="s">
        <v>834</v>
      </c>
      <c r="G230" s="22"/>
    </row>
    <row r="231" spans="1:7" ht="20.25" customHeight="1">
      <c r="A231" s="10">
        <v>11177</v>
      </c>
      <c r="B231" s="10">
        <v>15177</v>
      </c>
      <c r="C231" s="10">
        <f t="shared" si="3"/>
        <v>11177</v>
      </c>
      <c r="D231" s="10" t="s">
        <v>549</v>
      </c>
      <c r="E231" s="7" t="s">
        <v>835</v>
      </c>
      <c r="F231" s="5" t="s">
        <v>834</v>
      </c>
      <c r="G231" s="22"/>
    </row>
    <row r="232" spans="1:7" ht="20.25" customHeight="1">
      <c r="A232" s="10">
        <v>11178</v>
      </c>
      <c r="B232" s="10">
        <v>15178</v>
      </c>
      <c r="C232" s="10">
        <f t="shared" si="3"/>
        <v>11178</v>
      </c>
      <c r="D232" s="10" t="s">
        <v>549</v>
      </c>
      <c r="E232" s="7" t="s">
        <v>836</v>
      </c>
      <c r="F232" s="5"/>
      <c r="G232" s="22" t="s">
        <v>837</v>
      </c>
    </row>
    <row r="233" spans="1:7" ht="20.25" customHeight="1">
      <c r="A233" s="10">
        <v>11179</v>
      </c>
      <c r="B233" s="10">
        <v>15179</v>
      </c>
      <c r="C233" s="10">
        <f t="shared" si="3"/>
        <v>11179</v>
      </c>
      <c r="D233" s="10" t="s">
        <v>549</v>
      </c>
      <c r="E233" s="7" t="s">
        <v>838</v>
      </c>
      <c r="F233" s="5"/>
      <c r="G233" s="22" t="s">
        <v>837</v>
      </c>
    </row>
    <row r="234" spans="1:7" ht="20.25" customHeight="1">
      <c r="A234" s="10">
        <v>11180</v>
      </c>
      <c r="B234" s="10">
        <v>15180</v>
      </c>
      <c r="C234" s="10">
        <f t="shared" si="3"/>
        <v>11180</v>
      </c>
      <c r="D234" s="10" t="s">
        <v>549</v>
      </c>
      <c r="E234" s="7" t="s">
        <v>839</v>
      </c>
      <c r="F234" s="5"/>
      <c r="G234" s="22"/>
    </row>
    <row r="235" spans="1:7" ht="20.25" customHeight="1">
      <c r="A235" s="10">
        <v>11181</v>
      </c>
      <c r="B235" s="10">
        <v>15181</v>
      </c>
      <c r="C235" s="10">
        <f t="shared" si="3"/>
        <v>11181</v>
      </c>
      <c r="D235" s="10" t="s">
        <v>549</v>
      </c>
      <c r="E235" s="7" t="s">
        <v>840</v>
      </c>
      <c r="F235" s="5"/>
      <c r="G235" s="22"/>
    </row>
    <row r="236" spans="1:7" ht="20.25" customHeight="1">
      <c r="A236" s="10">
        <v>11182</v>
      </c>
      <c r="B236" s="10">
        <v>15182</v>
      </c>
      <c r="C236" s="10">
        <f t="shared" si="3"/>
        <v>11182</v>
      </c>
      <c r="D236" s="10" t="s">
        <v>549</v>
      </c>
      <c r="E236" s="7" t="s">
        <v>841</v>
      </c>
      <c r="F236" s="5"/>
      <c r="G236" s="110" t="s">
        <v>842</v>
      </c>
    </row>
    <row r="237" spans="1:7" ht="20.25" customHeight="1">
      <c r="A237" s="10">
        <v>11183</v>
      </c>
      <c r="B237" s="10">
        <v>15183</v>
      </c>
      <c r="C237" s="10">
        <f t="shared" si="3"/>
        <v>11183</v>
      </c>
      <c r="D237" s="10" t="s">
        <v>549</v>
      </c>
      <c r="E237" s="7" t="s">
        <v>843</v>
      </c>
      <c r="F237" s="5"/>
      <c r="G237" s="110" t="s">
        <v>842</v>
      </c>
    </row>
    <row r="238" spans="1:7" ht="20.25" customHeight="1">
      <c r="A238" s="10">
        <v>11184</v>
      </c>
      <c r="B238" s="10">
        <v>15184</v>
      </c>
      <c r="C238" s="10">
        <f t="shared" si="3"/>
        <v>11184</v>
      </c>
      <c r="D238" s="10" t="s">
        <v>549</v>
      </c>
      <c r="E238" s="7" t="s">
        <v>844</v>
      </c>
      <c r="F238" s="5"/>
      <c r="G238" s="22"/>
    </row>
    <row r="239" spans="1:7" ht="20.25" customHeight="1">
      <c r="A239" s="10">
        <v>11185</v>
      </c>
      <c r="B239" s="10">
        <v>15185</v>
      </c>
      <c r="C239" s="10">
        <f t="shared" si="3"/>
        <v>11185</v>
      </c>
      <c r="D239" s="10" t="s">
        <v>567</v>
      </c>
      <c r="E239" s="7" t="s">
        <v>845</v>
      </c>
      <c r="F239" s="5"/>
      <c r="G239" s="22"/>
    </row>
    <row r="240" spans="1:7" ht="20.25" customHeight="1">
      <c r="A240" s="10">
        <v>11186</v>
      </c>
      <c r="B240" s="10">
        <v>15186</v>
      </c>
      <c r="C240" s="10">
        <f t="shared" si="3"/>
        <v>11186</v>
      </c>
      <c r="D240" s="10" t="s">
        <v>567</v>
      </c>
      <c r="E240" s="7" t="s">
        <v>846</v>
      </c>
      <c r="F240" s="19"/>
      <c r="G240" s="22"/>
    </row>
    <row r="241" spans="1:7" ht="20.25" customHeight="1">
      <c r="A241" s="10">
        <v>11187</v>
      </c>
      <c r="B241" s="10">
        <v>15187</v>
      </c>
      <c r="C241" s="10">
        <f t="shared" si="3"/>
        <v>11187</v>
      </c>
      <c r="D241" s="10" t="s">
        <v>549</v>
      </c>
      <c r="E241" s="7" t="s">
        <v>847</v>
      </c>
      <c r="F241" s="19"/>
      <c r="G241" s="22"/>
    </row>
    <row r="242" spans="1:7" ht="20.25" customHeight="1">
      <c r="A242" s="10">
        <v>11188</v>
      </c>
      <c r="B242" s="10">
        <v>15188</v>
      </c>
      <c r="C242" s="10">
        <f t="shared" si="3"/>
        <v>11188</v>
      </c>
      <c r="D242" s="10" t="s">
        <v>549</v>
      </c>
      <c r="E242" s="7"/>
      <c r="F242" s="5"/>
      <c r="G242" s="22" t="s">
        <v>848</v>
      </c>
    </row>
    <row r="243" spans="1:7" ht="20.25" customHeight="1">
      <c r="A243" s="10">
        <v>11189</v>
      </c>
      <c r="B243" s="10">
        <v>15189</v>
      </c>
      <c r="C243" s="10">
        <f t="shared" si="3"/>
        <v>11189</v>
      </c>
      <c r="D243" s="10" t="s">
        <v>549</v>
      </c>
      <c r="E243" s="7" t="s">
        <v>849</v>
      </c>
      <c r="F243" s="5"/>
      <c r="G243" s="9">
        <v>93386300</v>
      </c>
    </row>
    <row r="244" spans="1:7" ht="20.25" customHeight="1">
      <c r="A244" s="10">
        <v>11190</v>
      </c>
      <c r="B244" s="10">
        <v>15190</v>
      </c>
      <c r="C244" s="10">
        <f t="shared" si="3"/>
        <v>11190</v>
      </c>
      <c r="D244" s="10" t="s">
        <v>549</v>
      </c>
      <c r="E244" s="7" t="s">
        <v>850</v>
      </c>
      <c r="F244" s="5"/>
      <c r="G244" s="9">
        <v>93386300</v>
      </c>
    </row>
    <row r="245" spans="1:7" ht="20.25" customHeight="1">
      <c r="A245" s="10">
        <v>11191</v>
      </c>
      <c r="B245" s="10">
        <v>15191</v>
      </c>
      <c r="C245" s="10">
        <f t="shared" si="3"/>
        <v>11191</v>
      </c>
      <c r="D245" s="10" t="s">
        <v>549</v>
      </c>
      <c r="E245" s="7" t="s">
        <v>851</v>
      </c>
      <c r="F245" s="5"/>
      <c r="G245" s="22" t="s">
        <v>852</v>
      </c>
    </row>
    <row r="246" spans="1:7" ht="20.25" customHeight="1">
      <c r="A246" s="10">
        <v>11192</v>
      </c>
      <c r="B246" s="10">
        <v>15192</v>
      </c>
      <c r="C246" s="10">
        <f t="shared" si="3"/>
        <v>11192</v>
      </c>
      <c r="D246" s="10" t="s">
        <v>549</v>
      </c>
      <c r="E246" s="7" t="s">
        <v>853</v>
      </c>
      <c r="F246" s="5"/>
      <c r="G246" s="22" t="s">
        <v>852</v>
      </c>
    </row>
    <row r="247" spans="1:7" ht="20.25" customHeight="1">
      <c r="A247" s="10">
        <v>11193</v>
      </c>
      <c r="B247" s="10">
        <v>15193</v>
      </c>
      <c r="C247" s="10">
        <f t="shared" si="3"/>
        <v>11193</v>
      </c>
      <c r="D247" s="10" t="s">
        <v>549</v>
      </c>
      <c r="E247" s="7" t="s">
        <v>854</v>
      </c>
      <c r="F247" s="5"/>
      <c r="G247" s="22"/>
    </row>
    <row r="248" spans="1:7" ht="20.25" customHeight="1">
      <c r="A248" s="10">
        <v>11194</v>
      </c>
      <c r="B248" s="10">
        <v>15194</v>
      </c>
      <c r="C248" s="10">
        <f t="shared" si="3"/>
        <v>11194</v>
      </c>
      <c r="D248" s="10" t="s">
        <v>549</v>
      </c>
      <c r="E248" s="7" t="s">
        <v>855</v>
      </c>
      <c r="F248" s="5"/>
      <c r="G248" s="22"/>
    </row>
    <row r="249" spans="1:7" ht="20.25" customHeight="1">
      <c r="A249" s="10">
        <v>11195</v>
      </c>
      <c r="B249" s="10">
        <v>15195</v>
      </c>
      <c r="C249" s="10">
        <f t="shared" si="3"/>
        <v>11195</v>
      </c>
      <c r="D249" s="10" t="s">
        <v>67</v>
      </c>
      <c r="E249" s="7" t="s">
        <v>856</v>
      </c>
      <c r="F249" s="5"/>
      <c r="G249" s="22" t="s">
        <v>728</v>
      </c>
    </row>
    <row r="250" spans="1:7" ht="20.25" customHeight="1">
      <c r="A250" s="10">
        <v>11195</v>
      </c>
      <c r="B250" s="10">
        <v>15195</v>
      </c>
      <c r="C250" s="10">
        <f t="shared" si="3"/>
        <v>11195</v>
      </c>
      <c r="D250" s="10" t="s">
        <v>549</v>
      </c>
      <c r="E250" s="7" t="s">
        <v>857</v>
      </c>
      <c r="F250" s="5"/>
      <c r="G250" s="22" t="s">
        <v>728</v>
      </c>
    </row>
    <row r="251" spans="1:7" ht="20.25" customHeight="1">
      <c r="A251" s="10">
        <v>11196</v>
      </c>
      <c r="B251" s="10">
        <v>15196</v>
      </c>
      <c r="C251" s="10">
        <f t="shared" si="3"/>
        <v>11196</v>
      </c>
      <c r="D251" s="10" t="s">
        <v>549</v>
      </c>
      <c r="E251" s="7" t="s">
        <v>858</v>
      </c>
      <c r="F251" s="5"/>
      <c r="G251" s="22" t="s">
        <v>859</v>
      </c>
    </row>
    <row r="252" spans="1:7" ht="20.25" customHeight="1">
      <c r="A252" s="10">
        <v>11197</v>
      </c>
      <c r="B252" s="10">
        <v>15197</v>
      </c>
      <c r="C252" s="10">
        <f t="shared" si="3"/>
        <v>21197</v>
      </c>
      <c r="D252" s="10" t="s">
        <v>567</v>
      </c>
      <c r="E252" s="7" t="s">
        <v>860</v>
      </c>
      <c r="F252" s="5" t="s">
        <v>619</v>
      </c>
      <c r="G252" s="22"/>
    </row>
    <row r="253" spans="1:7" ht="20.25" customHeight="1">
      <c r="A253" s="10">
        <v>11198</v>
      </c>
      <c r="B253" s="10">
        <v>15198</v>
      </c>
      <c r="C253" s="10">
        <f t="shared" si="3"/>
        <v>21198</v>
      </c>
      <c r="D253" s="10" t="s">
        <v>67</v>
      </c>
      <c r="E253" s="7" t="s">
        <v>861</v>
      </c>
      <c r="F253" s="5" t="s">
        <v>862</v>
      </c>
      <c r="G253" s="22"/>
    </row>
    <row r="254" spans="1:7" ht="20.25" customHeight="1">
      <c r="A254" s="10">
        <v>11199</v>
      </c>
      <c r="B254" s="10">
        <v>15199</v>
      </c>
      <c r="C254" s="10">
        <f t="shared" si="3"/>
        <v>21199</v>
      </c>
      <c r="D254" s="10" t="s">
        <v>67</v>
      </c>
      <c r="E254" s="7" t="s">
        <v>863</v>
      </c>
      <c r="F254" s="5" t="s">
        <v>862</v>
      </c>
      <c r="G254" s="22"/>
    </row>
    <row r="255" spans="1:7" ht="20.25" customHeight="1">
      <c r="A255" s="10">
        <v>11200</v>
      </c>
      <c r="B255" s="10">
        <v>15200</v>
      </c>
      <c r="C255" s="10">
        <f t="shared" si="3"/>
        <v>21200</v>
      </c>
      <c r="D255" s="10" t="s">
        <v>67</v>
      </c>
      <c r="E255" s="7" t="s">
        <v>864</v>
      </c>
      <c r="F255" s="5" t="s">
        <v>862</v>
      </c>
      <c r="G255" s="22"/>
    </row>
    <row r="256" spans="1:7" ht="20.25" customHeight="1">
      <c r="A256" s="10">
        <v>11201</v>
      </c>
      <c r="B256" s="10">
        <v>15201</v>
      </c>
      <c r="C256" s="10">
        <f t="shared" si="3"/>
        <v>21201</v>
      </c>
      <c r="D256" s="10" t="s">
        <v>67</v>
      </c>
      <c r="E256" s="7" t="s">
        <v>865</v>
      </c>
      <c r="F256" s="5" t="s">
        <v>862</v>
      </c>
      <c r="G256" s="22"/>
    </row>
    <row r="257" spans="1:7" ht="20.25" customHeight="1">
      <c r="A257" s="10">
        <v>11203</v>
      </c>
      <c r="B257" s="10">
        <v>15203</v>
      </c>
      <c r="C257" s="10">
        <f t="shared" si="3"/>
        <v>11203</v>
      </c>
      <c r="D257" s="10" t="s">
        <v>549</v>
      </c>
      <c r="E257" s="7" t="s">
        <v>866</v>
      </c>
      <c r="F257" s="5"/>
      <c r="G257" s="22"/>
    </row>
    <row r="258" spans="1:7" ht="20.25" customHeight="1">
      <c r="A258" s="10">
        <v>11204</v>
      </c>
      <c r="B258" s="10">
        <v>15204</v>
      </c>
      <c r="C258" s="10">
        <f t="shared" si="3"/>
        <v>11204</v>
      </c>
      <c r="D258" s="10" t="s">
        <v>549</v>
      </c>
      <c r="E258" s="7" t="s">
        <v>867</v>
      </c>
      <c r="F258" s="5"/>
      <c r="G258" s="22"/>
    </row>
    <row r="259" spans="1:7" ht="20.25" customHeight="1">
      <c r="A259" s="10">
        <v>11205</v>
      </c>
      <c r="B259" s="10">
        <v>15205</v>
      </c>
      <c r="C259" s="10">
        <f t="shared" si="3"/>
        <v>21205</v>
      </c>
      <c r="D259" s="10" t="s">
        <v>567</v>
      </c>
      <c r="E259" s="7" t="s">
        <v>868</v>
      </c>
      <c r="F259" s="5" t="s">
        <v>619</v>
      </c>
      <c r="G259" s="22"/>
    </row>
    <row r="260" spans="1:7" ht="20.25" customHeight="1">
      <c r="A260" s="10">
        <v>11206</v>
      </c>
      <c r="B260" s="10">
        <v>15206</v>
      </c>
      <c r="C260" s="10">
        <f t="shared" si="3"/>
        <v>21206</v>
      </c>
      <c r="D260" s="10" t="s">
        <v>567</v>
      </c>
      <c r="E260" s="7" t="s">
        <v>869</v>
      </c>
      <c r="F260" s="5" t="s">
        <v>619</v>
      </c>
      <c r="G260" s="22"/>
    </row>
    <row r="261" spans="1:7" ht="20.25" customHeight="1">
      <c r="A261" s="10">
        <v>11207</v>
      </c>
      <c r="B261" s="10">
        <v>15207</v>
      </c>
      <c r="C261" s="10">
        <f t="shared" ref="C261:C324" si="4">IF(ISERROR(FIND("B_Epic",E261)),A261,A261+10000)</f>
        <v>11207</v>
      </c>
      <c r="D261" s="10" t="s">
        <v>549</v>
      </c>
      <c r="E261" s="7" t="s">
        <v>870</v>
      </c>
      <c r="F261" s="5"/>
      <c r="G261" s="22"/>
    </row>
    <row r="262" spans="1:7" ht="20.25" customHeight="1">
      <c r="A262" s="10">
        <v>11208</v>
      </c>
      <c r="B262" s="10">
        <v>15208</v>
      </c>
      <c r="C262" s="10">
        <f t="shared" si="4"/>
        <v>11208</v>
      </c>
      <c r="D262" s="10" t="s">
        <v>549</v>
      </c>
      <c r="E262" s="7" t="s">
        <v>871</v>
      </c>
      <c r="F262" s="5"/>
      <c r="G262" s="22"/>
    </row>
    <row r="263" spans="1:7" ht="20.25" customHeight="1">
      <c r="A263" s="10">
        <v>11209</v>
      </c>
      <c r="B263" s="10">
        <v>15209</v>
      </c>
      <c r="C263" s="10">
        <f t="shared" si="4"/>
        <v>11209</v>
      </c>
      <c r="D263" s="10" t="s">
        <v>549</v>
      </c>
      <c r="E263" s="7" t="s">
        <v>872</v>
      </c>
      <c r="F263" s="5"/>
      <c r="G263" s="22"/>
    </row>
    <row r="264" spans="1:7" ht="20.25" customHeight="1">
      <c r="A264" s="10">
        <v>11210</v>
      </c>
      <c r="B264" s="10">
        <v>15210</v>
      </c>
      <c r="C264" s="10">
        <f t="shared" si="4"/>
        <v>11210</v>
      </c>
      <c r="D264" s="10" t="s">
        <v>549</v>
      </c>
      <c r="E264" s="7" t="s">
        <v>873</v>
      </c>
      <c r="F264" s="5"/>
      <c r="G264" s="22"/>
    </row>
    <row r="265" spans="1:7" ht="20.25" customHeight="1">
      <c r="A265" s="10">
        <v>11211</v>
      </c>
      <c r="B265" s="10">
        <v>15211</v>
      </c>
      <c r="C265" s="10">
        <f t="shared" si="4"/>
        <v>11211</v>
      </c>
      <c r="D265" s="10" t="s">
        <v>67</v>
      </c>
      <c r="E265" s="7" t="s">
        <v>874</v>
      </c>
      <c r="F265" s="5"/>
      <c r="G265" s="22"/>
    </row>
    <row r="266" spans="1:7" ht="20.25" customHeight="1">
      <c r="A266" s="10">
        <v>11212</v>
      </c>
      <c r="B266" s="10">
        <v>15212</v>
      </c>
      <c r="C266" s="10">
        <f t="shared" si="4"/>
        <v>11212</v>
      </c>
      <c r="D266" s="10" t="s">
        <v>67</v>
      </c>
      <c r="E266" s="7" t="s">
        <v>875</v>
      </c>
      <c r="F266" s="5"/>
      <c r="G266" s="22"/>
    </row>
    <row r="267" spans="1:7" ht="20.25" customHeight="1">
      <c r="A267" s="10">
        <v>11213</v>
      </c>
      <c r="B267" s="10">
        <v>15213</v>
      </c>
      <c r="C267" s="10">
        <f t="shared" si="4"/>
        <v>11213</v>
      </c>
      <c r="D267" s="10" t="s">
        <v>67</v>
      </c>
      <c r="E267" s="7" t="s">
        <v>876</v>
      </c>
      <c r="F267" s="5"/>
      <c r="G267" s="22"/>
    </row>
    <row r="268" spans="1:7" ht="20.25" customHeight="1">
      <c r="A268" s="10">
        <v>11214</v>
      </c>
      <c r="B268" s="10">
        <v>15214</v>
      </c>
      <c r="C268" s="10">
        <f t="shared" si="4"/>
        <v>11214</v>
      </c>
      <c r="D268" s="10" t="s">
        <v>549</v>
      </c>
      <c r="E268" s="7" t="s">
        <v>877</v>
      </c>
      <c r="F268" s="5"/>
      <c r="G268" s="22"/>
    </row>
    <row r="269" spans="1:7" ht="20.25" customHeight="1">
      <c r="A269" s="10">
        <v>11215</v>
      </c>
      <c r="B269" s="10">
        <v>15215</v>
      </c>
      <c r="C269" s="10">
        <f t="shared" si="4"/>
        <v>11215</v>
      </c>
      <c r="D269" s="10" t="s">
        <v>549</v>
      </c>
      <c r="E269" s="7" t="s">
        <v>878</v>
      </c>
      <c r="F269" s="5"/>
      <c r="G269" s="22"/>
    </row>
    <row r="270" spans="1:7" ht="20.25" customHeight="1">
      <c r="A270" s="10">
        <v>11216</v>
      </c>
      <c r="B270" s="10">
        <v>15216</v>
      </c>
      <c r="C270" s="10">
        <f t="shared" si="4"/>
        <v>11216</v>
      </c>
      <c r="D270" s="10" t="s">
        <v>549</v>
      </c>
      <c r="E270" s="7" t="s">
        <v>879</v>
      </c>
      <c r="F270" s="5"/>
      <c r="G270" s="22"/>
    </row>
    <row r="271" spans="1:7" ht="20.25" customHeight="1">
      <c r="A271" s="10">
        <v>11217</v>
      </c>
      <c r="B271" s="10">
        <v>15217</v>
      </c>
      <c r="C271" s="10">
        <f t="shared" si="4"/>
        <v>11217</v>
      </c>
      <c r="D271" s="10" t="s">
        <v>549</v>
      </c>
      <c r="E271" s="7" t="s">
        <v>880</v>
      </c>
      <c r="F271" s="5"/>
    </row>
    <row r="272" spans="1:7" ht="20.25" customHeight="1">
      <c r="A272" s="10">
        <v>11218</v>
      </c>
      <c r="B272" s="10">
        <v>15218</v>
      </c>
      <c r="C272" s="10">
        <f t="shared" si="4"/>
        <v>11218</v>
      </c>
      <c r="D272" s="10" t="s">
        <v>549</v>
      </c>
      <c r="E272" s="7" t="s">
        <v>881</v>
      </c>
      <c r="F272" s="5"/>
      <c r="G272" s="22"/>
    </row>
    <row r="273" spans="1:7" ht="20.25" customHeight="1">
      <c r="A273" s="10">
        <v>11219</v>
      </c>
      <c r="B273" s="10">
        <v>15219</v>
      </c>
      <c r="C273" s="10">
        <f t="shared" si="4"/>
        <v>11219</v>
      </c>
      <c r="D273" s="10" t="s">
        <v>549</v>
      </c>
      <c r="E273" s="7" t="s">
        <v>882</v>
      </c>
      <c r="F273" s="5"/>
      <c r="G273" s="22"/>
    </row>
    <row r="274" spans="1:7" ht="20.25" customHeight="1">
      <c r="A274" s="10">
        <v>11220</v>
      </c>
      <c r="B274" s="10">
        <v>15220</v>
      </c>
      <c r="C274" s="10">
        <f t="shared" si="4"/>
        <v>11220</v>
      </c>
      <c r="D274" s="10" t="s">
        <v>549</v>
      </c>
      <c r="E274" s="7" t="s">
        <v>883</v>
      </c>
      <c r="F274" s="5"/>
      <c r="G274" s="22"/>
    </row>
    <row r="275" spans="1:7" ht="20.25" customHeight="1">
      <c r="A275" s="10">
        <v>11221</v>
      </c>
      <c r="B275" s="10">
        <v>15221</v>
      </c>
      <c r="C275" s="10">
        <f t="shared" si="4"/>
        <v>21221</v>
      </c>
      <c r="D275" s="10" t="s">
        <v>567</v>
      </c>
      <c r="E275" s="7" t="s">
        <v>884</v>
      </c>
      <c r="F275" s="5"/>
      <c r="G275" s="22"/>
    </row>
    <row r="276" spans="1:7" ht="20.25" customHeight="1">
      <c r="A276" s="10">
        <v>11222</v>
      </c>
      <c r="B276" s="10">
        <v>15222</v>
      </c>
      <c r="C276" s="10">
        <f t="shared" si="4"/>
        <v>11222</v>
      </c>
      <c r="D276" s="10" t="s">
        <v>567</v>
      </c>
      <c r="E276" s="7" t="s">
        <v>885</v>
      </c>
      <c r="F276" s="5"/>
      <c r="G276" s="172"/>
    </row>
    <row r="277" spans="1:7" ht="20.25" customHeight="1">
      <c r="A277" s="10">
        <v>11223</v>
      </c>
      <c r="B277" s="10">
        <v>15223</v>
      </c>
      <c r="C277" s="10">
        <f t="shared" si="4"/>
        <v>11223</v>
      </c>
      <c r="D277" s="10" t="s">
        <v>549</v>
      </c>
      <c r="E277" s="7" t="s">
        <v>886</v>
      </c>
      <c r="F277" s="7"/>
      <c r="G277" s="22"/>
    </row>
    <row r="278" spans="1:7" ht="20.25" customHeight="1">
      <c r="A278" s="10">
        <v>11224</v>
      </c>
      <c r="B278" s="10">
        <v>15224</v>
      </c>
      <c r="C278" s="10">
        <f t="shared" si="4"/>
        <v>11224</v>
      </c>
      <c r="D278" s="10" t="s">
        <v>549</v>
      </c>
      <c r="E278" s="7" t="s">
        <v>887</v>
      </c>
      <c r="F278" s="5"/>
      <c r="G278" s="22"/>
    </row>
    <row r="279" spans="1:7" ht="20.25" customHeight="1">
      <c r="A279" s="10">
        <v>11225</v>
      </c>
      <c r="B279" s="10">
        <v>15225</v>
      </c>
      <c r="C279" s="10">
        <f t="shared" si="4"/>
        <v>11225</v>
      </c>
      <c r="D279" s="10" t="s">
        <v>549</v>
      </c>
      <c r="E279" s="7" t="s">
        <v>888</v>
      </c>
      <c r="F279" s="5"/>
      <c r="G279" s="22"/>
    </row>
    <row r="280" spans="1:7" ht="20.25" customHeight="1">
      <c r="A280" s="10">
        <v>11226</v>
      </c>
      <c r="B280" s="10">
        <v>15226</v>
      </c>
      <c r="C280" s="10">
        <f t="shared" si="4"/>
        <v>11226</v>
      </c>
      <c r="D280" s="10" t="s">
        <v>549</v>
      </c>
      <c r="E280" s="7" t="s">
        <v>889</v>
      </c>
      <c r="F280" s="5"/>
      <c r="G280" s="22" t="s">
        <v>890</v>
      </c>
    </row>
    <row r="281" spans="1:7" ht="20.25" customHeight="1">
      <c r="A281" s="10">
        <v>11227</v>
      </c>
      <c r="B281" s="10">
        <v>15227</v>
      </c>
      <c r="C281" s="10">
        <f t="shared" si="4"/>
        <v>11227</v>
      </c>
      <c r="D281" s="10" t="s">
        <v>549</v>
      </c>
      <c r="E281" s="7" t="s">
        <v>891</v>
      </c>
      <c r="F281" s="5"/>
      <c r="G281" s="22"/>
    </row>
    <row r="282" spans="1:7" ht="20.25" customHeight="1">
      <c r="A282" s="10">
        <v>11228</v>
      </c>
      <c r="B282" s="10">
        <v>15228</v>
      </c>
      <c r="C282" s="10">
        <f t="shared" si="4"/>
        <v>11228</v>
      </c>
      <c r="D282" s="10" t="s">
        <v>549</v>
      </c>
      <c r="E282" s="7" t="s">
        <v>892</v>
      </c>
      <c r="F282" s="5"/>
      <c r="G282" s="22"/>
    </row>
    <row r="283" spans="1:7" ht="20.25" customHeight="1">
      <c r="A283" s="10">
        <v>11229</v>
      </c>
      <c r="B283" s="10">
        <v>15229</v>
      </c>
      <c r="C283" s="10">
        <f t="shared" si="4"/>
        <v>11229</v>
      </c>
      <c r="D283" s="10" t="s">
        <v>549</v>
      </c>
      <c r="E283" s="7" t="s">
        <v>893</v>
      </c>
      <c r="F283" s="5"/>
      <c r="G283" s="124" t="s">
        <v>894</v>
      </c>
    </row>
    <row r="284" spans="1:7" ht="20.25" customHeight="1">
      <c r="A284" s="10">
        <v>11230</v>
      </c>
      <c r="B284" s="10">
        <v>15230</v>
      </c>
      <c r="C284" s="10">
        <f t="shared" si="4"/>
        <v>11230</v>
      </c>
      <c r="D284" s="10" t="s">
        <v>549</v>
      </c>
      <c r="E284" s="7" t="s">
        <v>895</v>
      </c>
      <c r="F284" s="5"/>
      <c r="G284" s="124" t="s">
        <v>894</v>
      </c>
    </row>
    <row r="285" spans="1:7" ht="20.25" customHeight="1">
      <c r="A285" s="10">
        <v>11231</v>
      </c>
      <c r="B285" s="10">
        <v>15231</v>
      </c>
      <c r="C285" s="10">
        <f t="shared" si="4"/>
        <v>11231</v>
      </c>
      <c r="D285" s="10" t="s">
        <v>549</v>
      </c>
      <c r="E285" s="7" t="s">
        <v>896</v>
      </c>
      <c r="F285" s="5"/>
      <c r="G285" s="22"/>
    </row>
    <row r="286" spans="1:7" ht="20.25" customHeight="1">
      <c r="A286" s="10">
        <v>11232</v>
      </c>
      <c r="B286" s="10">
        <v>15232</v>
      </c>
      <c r="C286" s="10">
        <f t="shared" si="4"/>
        <v>11232</v>
      </c>
      <c r="D286" s="10" t="s">
        <v>549</v>
      </c>
      <c r="E286" s="7" t="s">
        <v>897</v>
      </c>
      <c r="F286" s="5"/>
      <c r="G286" s="22"/>
    </row>
    <row r="287" spans="1:7" ht="20.25" customHeight="1">
      <c r="A287" s="10">
        <v>11233</v>
      </c>
      <c r="B287" s="10">
        <v>15233</v>
      </c>
      <c r="C287" s="10">
        <f t="shared" si="4"/>
        <v>11233</v>
      </c>
      <c r="D287" s="10" t="s">
        <v>549</v>
      </c>
      <c r="E287" s="7" t="s">
        <v>898</v>
      </c>
      <c r="F287" s="5"/>
      <c r="G287" s="22" t="s">
        <v>852</v>
      </c>
    </row>
    <row r="288" spans="1:7" ht="20.25" customHeight="1">
      <c r="A288" s="10">
        <v>11234</v>
      </c>
      <c r="B288" s="10">
        <v>15234</v>
      </c>
      <c r="C288" s="10">
        <f t="shared" si="4"/>
        <v>11234</v>
      </c>
      <c r="D288" s="10" t="s">
        <v>67</v>
      </c>
      <c r="E288" s="7" t="s">
        <v>899</v>
      </c>
      <c r="F288" s="5"/>
      <c r="G288" s="22"/>
    </row>
    <row r="289" spans="1:7" ht="20.25" customHeight="1">
      <c r="A289" s="10">
        <v>11235</v>
      </c>
      <c r="B289" s="10">
        <v>15235</v>
      </c>
      <c r="C289" s="10">
        <f t="shared" si="4"/>
        <v>21235</v>
      </c>
      <c r="D289" s="10" t="s">
        <v>549</v>
      </c>
      <c r="E289" s="8" t="s">
        <v>900</v>
      </c>
      <c r="F289" s="5" t="s">
        <v>901</v>
      </c>
      <c r="G289" s="22"/>
    </row>
    <row r="290" spans="1:7" ht="20.25" customHeight="1">
      <c r="A290" s="10">
        <v>11236</v>
      </c>
      <c r="B290" s="10">
        <v>15236</v>
      </c>
      <c r="C290" s="10">
        <f t="shared" si="4"/>
        <v>11236</v>
      </c>
      <c r="D290" s="10" t="s">
        <v>567</v>
      </c>
      <c r="E290" s="8" t="s">
        <v>902</v>
      </c>
      <c r="F290" s="5"/>
      <c r="G290" s="22"/>
    </row>
    <row r="291" spans="1:7" ht="20.25" customHeight="1">
      <c r="A291" s="10">
        <v>11237</v>
      </c>
      <c r="B291" s="10">
        <v>15237</v>
      </c>
      <c r="C291" s="10">
        <f t="shared" si="4"/>
        <v>21237</v>
      </c>
      <c r="D291" s="10" t="s">
        <v>567</v>
      </c>
      <c r="E291" s="7" t="s">
        <v>903</v>
      </c>
      <c r="F291" s="5" t="s">
        <v>619</v>
      </c>
      <c r="G291" s="22"/>
    </row>
    <row r="292" spans="1:7" ht="20.25" customHeight="1">
      <c r="A292" s="10">
        <v>11238</v>
      </c>
      <c r="B292" s="10">
        <v>15238</v>
      </c>
      <c r="C292" s="10">
        <f t="shared" si="4"/>
        <v>11238</v>
      </c>
      <c r="D292" s="10" t="s">
        <v>549</v>
      </c>
      <c r="E292" s="7" t="s">
        <v>904</v>
      </c>
      <c r="F292" s="5"/>
      <c r="G292" s="22"/>
    </row>
    <row r="293" spans="1:7" ht="20.25" customHeight="1">
      <c r="A293" s="10">
        <v>11239</v>
      </c>
      <c r="B293" s="10">
        <v>15239</v>
      </c>
      <c r="C293" s="10">
        <f t="shared" si="4"/>
        <v>11239</v>
      </c>
      <c r="D293" s="10" t="s">
        <v>549</v>
      </c>
      <c r="E293" s="7" t="s">
        <v>905</v>
      </c>
      <c r="F293" s="5"/>
      <c r="G293" s="22"/>
    </row>
    <row r="294" spans="1:7" ht="20.25" customHeight="1">
      <c r="A294" s="10">
        <v>11240</v>
      </c>
      <c r="B294" s="10">
        <v>15240</v>
      </c>
      <c r="C294" s="10">
        <f t="shared" si="4"/>
        <v>11240</v>
      </c>
      <c r="D294" s="10" t="s">
        <v>567</v>
      </c>
      <c r="E294" s="7" t="s">
        <v>906</v>
      </c>
      <c r="F294" s="5"/>
      <c r="G294" s="22"/>
    </row>
    <row r="295" spans="1:7" ht="20.25" customHeight="1">
      <c r="A295" s="10">
        <v>11241</v>
      </c>
      <c r="B295" s="10">
        <v>15241</v>
      </c>
      <c r="C295" s="10">
        <f t="shared" si="4"/>
        <v>11241</v>
      </c>
      <c r="D295" s="10" t="s">
        <v>567</v>
      </c>
      <c r="E295" s="7" t="s">
        <v>907</v>
      </c>
      <c r="F295" s="5"/>
      <c r="G295" s="22"/>
    </row>
    <row r="296" spans="1:7" ht="20.25" customHeight="1">
      <c r="A296" s="10">
        <v>11242</v>
      </c>
      <c r="B296" s="10">
        <v>15242</v>
      </c>
      <c r="C296" s="10">
        <f t="shared" si="4"/>
        <v>11242</v>
      </c>
      <c r="D296" s="10" t="s">
        <v>567</v>
      </c>
      <c r="E296" s="7" t="s">
        <v>908</v>
      </c>
      <c r="F296" s="5"/>
      <c r="G296" s="22"/>
    </row>
    <row r="297" spans="1:7" ht="20.25" customHeight="1">
      <c r="A297" s="10">
        <v>11243</v>
      </c>
      <c r="B297" s="10">
        <v>15243</v>
      </c>
      <c r="C297" s="10">
        <f t="shared" si="4"/>
        <v>11243</v>
      </c>
      <c r="D297" s="10" t="s">
        <v>567</v>
      </c>
      <c r="E297" s="7" t="s">
        <v>909</v>
      </c>
      <c r="F297" s="5"/>
      <c r="G297" s="22"/>
    </row>
    <row r="298" spans="1:7" ht="20.25" customHeight="1">
      <c r="A298" s="10">
        <v>11244</v>
      </c>
      <c r="B298" s="10">
        <v>15244</v>
      </c>
      <c r="C298" s="10">
        <f t="shared" si="4"/>
        <v>11244</v>
      </c>
      <c r="D298" s="10" t="s">
        <v>549</v>
      </c>
      <c r="E298" s="7"/>
      <c r="F298" s="5" t="s">
        <v>643</v>
      </c>
    </row>
    <row r="299" spans="1:7" ht="20.25" customHeight="1">
      <c r="A299" s="10">
        <v>11245</v>
      </c>
      <c r="B299" s="10">
        <v>15245</v>
      </c>
      <c r="C299" s="10">
        <f t="shared" si="4"/>
        <v>11245</v>
      </c>
      <c r="D299" s="10" t="s">
        <v>549</v>
      </c>
      <c r="E299" s="7" t="s">
        <v>910</v>
      </c>
      <c r="F299" s="5"/>
      <c r="G299" s="22" t="s">
        <v>911</v>
      </c>
    </row>
    <row r="300" spans="1:7" ht="20.25" customHeight="1">
      <c r="A300" s="10">
        <v>11246</v>
      </c>
      <c r="B300" s="10">
        <v>15246</v>
      </c>
      <c r="C300" s="10">
        <f t="shared" si="4"/>
        <v>11246</v>
      </c>
      <c r="D300" s="10" t="s">
        <v>549</v>
      </c>
      <c r="E300" s="7" t="s">
        <v>912</v>
      </c>
      <c r="F300" s="5"/>
      <c r="G300" s="22" t="s">
        <v>911</v>
      </c>
    </row>
    <row r="301" spans="1:7" ht="20.25" customHeight="1">
      <c r="A301" s="10">
        <v>11247</v>
      </c>
      <c r="B301" s="10">
        <v>15247</v>
      </c>
      <c r="C301" s="10">
        <f t="shared" si="4"/>
        <v>11247</v>
      </c>
      <c r="D301" s="10" t="s">
        <v>549</v>
      </c>
      <c r="E301" s="7" t="s">
        <v>913</v>
      </c>
      <c r="F301" s="5" t="s">
        <v>914</v>
      </c>
      <c r="G301" s="22" t="s">
        <v>915</v>
      </c>
    </row>
    <row r="302" spans="1:7" ht="20.25" customHeight="1">
      <c r="A302" s="10">
        <v>11248</v>
      </c>
      <c r="B302" s="10">
        <v>15248</v>
      </c>
      <c r="C302" s="10">
        <f t="shared" si="4"/>
        <v>11248</v>
      </c>
      <c r="D302" s="10" t="s">
        <v>567</v>
      </c>
      <c r="E302" s="7" t="s">
        <v>916</v>
      </c>
      <c r="F302" s="5"/>
      <c r="G302" s="22"/>
    </row>
    <row r="303" spans="1:7" ht="20.25" customHeight="1">
      <c r="A303" s="10">
        <v>11249</v>
      </c>
      <c r="B303" s="10">
        <v>15249</v>
      </c>
      <c r="C303" s="10">
        <f t="shared" si="4"/>
        <v>11249</v>
      </c>
      <c r="D303" s="10" t="s">
        <v>549</v>
      </c>
      <c r="E303" s="7"/>
      <c r="F303" s="5"/>
      <c r="G303" s="11"/>
    </row>
    <row r="304" spans="1:7" ht="20.25" customHeight="1">
      <c r="A304" s="10">
        <v>11250</v>
      </c>
      <c r="B304" s="10">
        <v>15250</v>
      </c>
      <c r="C304" s="10">
        <f t="shared" si="4"/>
        <v>11250</v>
      </c>
      <c r="D304" s="10" t="s">
        <v>549</v>
      </c>
      <c r="E304" s="7" t="s">
        <v>917</v>
      </c>
      <c r="F304" s="5"/>
      <c r="G304" s="22"/>
    </row>
    <row r="305" spans="1:7" ht="20.25" customHeight="1">
      <c r="A305" s="10">
        <v>11251</v>
      </c>
      <c r="B305" s="10">
        <v>15251</v>
      </c>
      <c r="C305" s="10">
        <f t="shared" si="4"/>
        <v>11251</v>
      </c>
      <c r="D305" s="10" t="s">
        <v>549</v>
      </c>
      <c r="E305" s="7" t="s">
        <v>918</v>
      </c>
      <c r="F305" s="5"/>
      <c r="G305" s="22"/>
    </row>
    <row r="306" spans="1:7" ht="20.25" customHeight="1">
      <c r="A306" s="10">
        <v>11252</v>
      </c>
      <c r="B306" s="10">
        <v>15252</v>
      </c>
      <c r="C306" s="10">
        <f t="shared" si="4"/>
        <v>11252</v>
      </c>
      <c r="D306" s="10" t="s">
        <v>549</v>
      </c>
      <c r="E306" s="7" t="s">
        <v>919</v>
      </c>
      <c r="F306" s="5"/>
      <c r="G306" s="22"/>
    </row>
    <row r="307" spans="1:7" ht="20.25" customHeight="1">
      <c r="A307" s="10">
        <v>11253</v>
      </c>
      <c r="B307" s="10">
        <v>15253</v>
      </c>
      <c r="C307" s="10">
        <f t="shared" si="4"/>
        <v>11253</v>
      </c>
      <c r="D307" s="10" t="s">
        <v>549</v>
      </c>
      <c r="E307" s="7" t="s">
        <v>920</v>
      </c>
      <c r="F307" s="5"/>
      <c r="G307" s="22"/>
    </row>
    <row r="308" spans="1:7" ht="20.25" customHeight="1">
      <c r="A308" s="10">
        <v>11254</v>
      </c>
      <c r="B308" s="10">
        <v>15254</v>
      </c>
      <c r="C308" s="10">
        <f t="shared" si="4"/>
        <v>11254</v>
      </c>
      <c r="D308" s="10" t="s">
        <v>549</v>
      </c>
      <c r="E308" s="7" t="s">
        <v>921</v>
      </c>
      <c r="F308" s="5"/>
      <c r="G308" s="22"/>
    </row>
    <row r="309" spans="1:7" ht="20.25" customHeight="1">
      <c r="A309" s="10">
        <v>11255</v>
      </c>
      <c r="B309" s="10">
        <v>15255</v>
      </c>
      <c r="C309" s="10">
        <f t="shared" si="4"/>
        <v>11255</v>
      </c>
      <c r="D309" s="10" t="s">
        <v>549</v>
      </c>
      <c r="E309" s="7" t="s">
        <v>922</v>
      </c>
      <c r="F309" s="5"/>
      <c r="G309" s="22"/>
    </row>
    <row r="310" spans="1:7" ht="20.25" customHeight="1">
      <c r="A310" s="10">
        <v>11256</v>
      </c>
      <c r="B310" s="10">
        <v>15256</v>
      </c>
      <c r="C310" s="10">
        <f t="shared" si="4"/>
        <v>11256</v>
      </c>
      <c r="D310" s="10" t="s">
        <v>549</v>
      </c>
      <c r="E310" s="7" t="s">
        <v>923</v>
      </c>
      <c r="F310" s="5"/>
      <c r="G310" s="22"/>
    </row>
    <row r="311" spans="1:7" ht="20.25" customHeight="1">
      <c r="A311" s="10">
        <v>11257</v>
      </c>
      <c r="B311" s="10">
        <v>15257</v>
      </c>
      <c r="C311" s="10">
        <f t="shared" si="4"/>
        <v>11257</v>
      </c>
      <c r="D311" s="10" t="s">
        <v>549</v>
      </c>
      <c r="E311" s="7"/>
      <c r="F311" s="14" t="s">
        <v>924</v>
      </c>
      <c r="G311" s="22"/>
    </row>
    <row r="312" spans="1:7" ht="20.25" customHeight="1">
      <c r="A312" s="10">
        <v>11062</v>
      </c>
      <c r="B312" s="10">
        <v>15257</v>
      </c>
      <c r="C312" s="10">
        <f t="shared" si="4"/>
        <v>21062</v>
      </c>
      <c r="D312" s="10" t="s">
        <v>567</v>
      </c>
      <c r="E312" s="7" t="s">
        <v>925</v>
      </c>
      <c r="F312" s="5" t="s">
        <v>619</v>
      </c>
      <c r="G312" s="22"/>
    </row>
    <row r="313" spans="1:7" ht="20.25" customHeight="1">
      <c r="A313" s="10">
        <v>11258</v>
      </c>
      <c r="B313" s="10">
        <v>15258</v>
      </c>
      <c r="C313" s="10">
        <f t="shared" si="4"/>
        <v>11258</v>
      </c>
      <c r="D313" s="10" t="s">
        <v>549</v>
      </c>
      <c r="E313" s="7" t="s">
        <v>926</v>
      </c>
      <c r="F313" s="5"/>
      <c r="G313" s="22" t="s">
        <v>911</v>
      </c>
    </row>
    <row r="314" spans="1:7" ht="20.25" customHeight="1">
      <c r="A314" s="10">
        <v>11259</v>
      </c>
      <c r="B314" s="10">
        <v>15259</v>
      </c>
      <c r="C314" s="10">
        <f t="shared" si="4"/>
        <v>21259</v>
      </c>
      <c r="D314" s="10" t="s">
        <v>549</v>
      </c>
      <c r="E314" s="7" t="s">
        <v>927</v>
      </c>
      <c r="F314" s="7" t="s">
        <v>635</v>
      </c>
      <c r="G314" s="22"/>
    </row>
    <row r="315" spans="1:7" ht="20.25" customHeight="1">
      <c r="A315" s="10">
        <v>11260</v>
      </c>
      <c r="B315" s="10">
        <v>15260</v>
      </c>
      <c r="C315" s="10">
        <f t="shared" si="4"/>
        <v>11260</v>
      </c>
      <c r="D315" s="10" t="s">
        <v>549</v>
      </c>
      <c r="E315" s="7" t="s">
        <v>928</v>
      </c>
      <c r="F315" s="5"/>
      <c r="G315" s="22" t="s">
        <v>929</v>
      </c>
    </row>
    <row r="316" spans="1:7" ht="20.25" customHeight="1">
      <c r="A316" s="10">
        <v>11261</v>
      </c>
      <c r="B316" s="10">
        <v>15261</v>
      </c>
      <c r="C316" s="10">
        <f t="shared" si="4"/>
        <v>21261</v>
      </c>
      <c r="D316" s="10" t="s">
        <v>567</v>
      </c>
      <c r="E316" s="7" t="s">
        <v>930</v>
      </c>
      <c r="F316" s="5" t="s">
        <v>619</v>
      </c>
      <c r="G316" s="22"/>
    </row>
    <row r="317" spans="1:7" ht="20.25" customHeight="1">
      <c r="A317" s="10">
        <v>11262</v>
      </c>
      <c r="B317" s="10">
        <v>15262</v>
      </c>
      <c r="C317" s="10">
        <f t="shared" si="4"/>
        <v>11262</v>
      </c>
      <c r="D317" s="10" t="s">
        <v>549</v>
      </c>
      <c r="E317" s="7" t="s">
        <v>931</v>
      </c>
      <c r="F317" s="5"/>
      <c r="G317" s="22" t="s">
        <v>726</v>
      </c>
    </row>
    <row r="318" spans="1:7" ht="20.25" customHeight="1">
      <c r="A318" s="10">
        <v>11263</v>
      </c>
      <c r="B318" s="10">
        <v>15263</v>
      </c>
      <c r="C318" s="10">
        <f t="shared" si="4"/>
        <v>11263</v>
      </c>
      <c r="D318" s="10" t="s">
        <v>549</v>
      </c>
      <c r="E318" s="7" t="s">
        <v>932</v>
      </c>
      <c r="F318" s="5"/>
      <c r="G318" s="22"/>
    </row>
    <row r="319" spans="1:7" ht="20.25" customHeight="1">
      <c r="A319" s="10">
        <v>11264</v>
      </c>
      <c r="B319" s="10">
        <v>15264</v>
      </c>
      <c r="C319" s="10">
        <f t="shared" si="4"/>
        <v>21264</v>
      </c>
      <c r="D319" s="10" t="s">
        <v>567</v>
      </c>
      <c r="E319" s="7" t="s">
        <v>933</v>
      </c>
      <c r="F319" s="5" t="s">
        <v>619</v>
      </c>
      <c r="G319" s="22"/>
    </row>
    <row r="320" spans="1:7" ht="20.25" customHeight="1">
      <c r="A320" s="10">
        <v>11265</v>
      </c>
      <c r="B320" s="10">
        <v>15265</v>
      </c>
      <c r="C320" s="10">
        <f t="shared" si="4"/>
        <v>21265</v>
      </c>
      <c r="D320" s="10" t="s">
        <v>567</v>
      </c>
      <c r="E320" s="7" t="s">
        <v>934</v>
      </c>
      <c r="F320" s="5" t="s">
        <v>619</v>
      </c>
      <c r="G320" s="22"/>
    </row>
    <row r="321" spans="1:7" ht="20.25" customHeight="1">
      <c r="A321" s="10">
        <v>11266</v>
      </c>
      <c r="B321" s="10">
        <v>15266</v>
      </c>
      <c r="C321" s="10">
        <f t="shared" si="4"/>
        <v>11266</v>
      </c>
      <c r="D321" s="10" t="s">
        <v>67</v>
      </c>
      <c r="E321" s="7" t="s">
        <v>935</v>
      </c>
      <c r="F321" s="5"/>
      <c r="G321" s="22"/>
    </row>
    <row r="322" spans="1:7" ht="20.25" customHeight="1">
      <c r="A322" s="10">
        <v>11266</v>
      </c>
      <c r="B322" s="10">
        <v>15266</v>
      </c>
      <c r="C322" s="10">
        <f t="shared" si="4"/>
        <v>11266</v>
      </c>
      <c r="D322" s="10" t="s">
        <v>549</v>
      </c>
      <c r="E322" s="7" t="s">
        <v>936</v>
      </c>
      <c r="F322" s="5"/>
      <c r="G322" s="22"/>
    </row>
    <row r="323" spans="1:7" ht="20.25" customHeight="1">
      <c r="A323" s="10">
        <v>11267</v>
      </c>
      <c r="B323" s="10">
        <v>15267</v>
      </c>
      <c r="C323" s="10">
        <f t="shared" si="4"/>
        <v>11267</v>
      </c>
      <c r="D323" s="10" t="s">
        <v>549</v>
      </c>
      <c r="E323" s="7" t="s">
        <v>937</v>
      </c>
      <c r="F323" s="5"/>
      <c r="G323" s="22" t="s">
        <v>938</v>
      </c>
    </row>
    <row r="324" spans="1:7" ht="20.25" customHeight="1">
      <c r="A324" s="10">
        <v>11268</v>
      </c>
      <c r="B324" s="10">
        <v>15268</v>
      </c>
      <c r="C324" s="10">
        <f t="shared" si="4"/>
        <v>11268</v>
      </c>
      <c r="D324" s="10" t="s">
        <v>67</v>
      </c>
      <c r="E324" s="7" t="s">
        <v>939</v>
      </c>
      <c r="F324" s="5"/>
      <c r="G324" s="22"/>
    </row>
    <row r="325" spans="1:7" ht="20.25" customHeight="1">
      <c r="A325" s="10">
        <v>11268</v>
      </c>
      <c r="B325" s="10">
        <v>15268</v>
      </c>
      <c r="C325" s="10">
        <f t="shared" ref="C325:C388" si="5">IF(ISERROR(FIND("B_Epic",E325)),A325,A325+10000)</f>
        <v>11268</v>
      </c>
      <c r="D325" s="10" t="s">
        <v>549</v>
      </c>
      <c r="E325" s="7" t="s">
        <v>940</v>
      </c>
      <c r="F325" s="5"/>
      <c r="G325" s="22"/>
    </row>
    <row r="326" spans="1:7" ht="20.25" customHeight="1">
      <c r="A326" s="10">
        <v>11269</v>
      </c>
      <c r="B326" s="10">
        <v>15269</v>
      </c>
      <c r="C326" s="10">
        <f t="shared" si="5"/>
        <v>11269</v>
      </c>
      <c r="D326" s="10" t="s">
        <v>67</v>
      </c>
      <c r="E326" s="7" t="s">
        <v>941</v>
      </c>
      <c r="F326" s="5"/>
      <c r="G326" s="22"/>
    </row>
    <row r="327" spans="1:7" ht="20.25" customHeight="1">
      <c r="A327" s="10">
        <v>11269</v>
      </c>
      <c r="B327" s="10">
        <v>15269</v>
      </c>
      <c r="C327" s="10">
        <f t="shared" si="5"/>
        <v>11269</v>
      </c>
      <c r="D327" s="10" t="s">
        <v>549</v>
      </c>
      <c r="E327" s="7" t="s">
        <v>942</v>
      </c>
      <c r="F327" s="5"/>
      <c r="G327" s="22"/>
    </row>
    <row r="328" spans="1:7" ht="20.25" customHeight="1">
      <c r="A328" s="10">
        <v>11270</v>
      </c>
      <c r="B328" s="10">
        <v>15270</v>
      </c>
      <c r="C328" s="10">
        <f t="shared" si="5"/>
        <v>11270</v>
      </c>
      <c r="D328" s="10" t="s">
        <v>549</v>
      </c>
      <c r="E328" s="7" t="s">
        <v>943</v>
      </c>
      <c r="F328" s="5"/>
      <c r="G328" s="22"/>
    </row>
    <row r="329" spans="1:7" ht="20.25" customHeight="1">
      <c r="A329" s="10">
        <v>11271</v>
      </c>
      <c r="B329" s="10">
        <v>15271</v>
      </c>
      <c r="C329" s="10">
        <f t="shared" si="5"/>
        <v>21271</v>
      </c>
      <c r="D329" s="10" t="s">
        <v>567</v>
      </c>
      <c r="E329" s="7" t="s">
        <v>944</v>
      </c>
      <c r="F329" s="5" t="s">
        <v>619</v>
      </c>
      <c r="G329" s="22"/>
    </row>
    <row r="330" spans="1:7" ht="20.25" customHeight="1">
      <c r="A330" s="10">
        <v>11272</v>
      </c>
      <c r="B330" s="10">
        <v>15272</v>
      </c>
      <c r="C330" s="10">
        <f t="shared" si="5"/>
        <v>11272</v>
      </c>
      <c r="D330" s="10" t="s">
        <v>549</v>
      </c>
      <c r="E330" s="7" t="s">
        <v>945</v>
      </c>
      <c r="F330" s="5"/>
      <c r="G330" s="22"/>
    </row>
    <row r="331" spans="1:7" ht="20.25" customHeight="1">
      <c r="A331" s="10">
        <v>11273</v>
      </c>
      <c r="B331" s="10">
        <v>15273</v>
      </c>
      <c r="C331" s="10">
        <f t="shared" si="5"/>
        <v>11273</v>
      </c>
      <c r="D331" s="10" t="s">
        <v>549</v>
      </c>
      <c r="E331" s="7" t="s">
        <v>946</v>
      </c>
      <c r="F331" s="5"/>
      <c r="G331" s="22"/>
    </row>
    <row r="332" spans="1:7" ht="20.25" customHeight="1">
      <c r="A332" s="10">
        <v>11274</v>
      </c>
      <c r="B332" s="10">
        <v>15274</v>
      </c>
      <c r="C332" s="10">
        <f t="shared" si="5"/>
        <v>11274</v>
      </c>
      <c r="D332" s="10" t="s">
        <v>549</v>
      </c>
      <c r="E332" s="7" t="s">
        <v>947</v>
      </c>
      <c r="F332" s="5"/>
      <c r="G332" s="22" t="s">
        <v>948</v>
      </c>
    </row>
    <row r="333" spans="1:7" ht="20.25" customHeight="1">
      <c r="A333" s="10">
        <v>11276</v>
      </c>
      <c r="B333" s="10">
        <v>15276</v>
      </c>
      <c r="C333" s="10">
        <f t="shared" si="5"/>
        <v>11276</v>
      </c>
      <c r="D333" s="10" t="s">
        <v>549</v>
      </c>
      <c r="E333" s="7" t="s">
        <v>949</v>
      </c>
      <c r="F333" s="5"/>
      <c r="G333" s="22" t="s">
        <v>911</v>
      </c>
    </row>
    <row r="334" spans="1:7" ht="20.25" customHeight="1">
      <c r="A334" s="10">
        <v>11277</v>
      </c>
      <c r="B334" s="10">
        <v>15277</v>
      </c>
      <c r="C334" s="10">
        <f t="shared" si="5"/>
        <v>21277</v>
      </c>
      <c r="D334" s="10" t="s">
        <v>567</v>
      </c>
      <c r="E334" s="7" t="s">
        <v>950</v>
      </c>
      <c r="F334" s="5" t="s">
        <v>619</v>
      </c>
      <c r="G334" s="22"/>
    </row>
    <row r="335" spans="1:7" ht="20.25" customHeight="1">
      <c r="A335" s="10">
        <v>11278</v>
      </c>
      <c r="B335" s="10">
        <v>15278</v>
      </c>
      <c r="C335" s="10">
        <f t="shared" si="5"/>
        <v>11278</v>
      </c>
      <c r="D335" s="10" t="s">
        <v>67</v>
      </c>
      <c r="E335" s="234" t="s">
        <v>951</v>
      </c>
      <c r="F335" s="5"/>
      <c r="G335" s="22"/>
    </row>
    <row r="336" spans="1:7" ht="20.25" customHeight="1">
      <c r="A336" s="10">
        <v>11278</v>
      </c>
      <c r="B336" s="10">
        <v>15278</v>
      </c>
      <c r="C336" s="10">
        <f t="shared" si="5"/>
        <v>11278</v>
      </c>
      <c r="D336" s="10" t="s">
        <v>549</v>
      </c>
      <c r="E336" s="7" t="s">
        <v>952</v>
      </c>
      <c r="F336" s="5"/>
      <c r="G336" s="22"/>
    </row>
    <row r="337" spans="1:7" ht="20.25" customHeight="1">
      <c r="A337" s="10">
        <v>11279</v>
      </c>
      <c r="B337" s="10">
        <v>15279</v>
      </c>
      <c r="C337" s="10">
        <f t="shared" si="5"/>
        <v>11279</v>
      </c>
      <c r="D337" s="10" t="s">
        <v>549</v>
      </c>
      <c r="E337" s="7" t="s">
        <v>953</v>
      </c>
      <c r="F337" s="5"/>
      <c r="G337" s="22" t="s">
        <v>954</v>
      </c>
    </row>
    <row r="338" spans="1:7" ht="20.25" customHeight="1">
      <c r="A338" s="10">
        <v>11280</v>
      </c>
      <c r="B338" s="10">
        <v>15280</v>
      </c>
      <c r="C338" s="10">
        <f t="shared" si="5"/>
        <v>11280</v>
      </c>
      <c r="D338" s="10" t="s">
        <v>549</v>
      </c>
      <c r="E338" s="7" t="s">
        <v>955</v>
      </c>
      <c r="F338" s="5"/>
      <c r="G338" s="22" t="s">
        <v>954</v>
      </c>
    </row>
    <row r="339" spans="1:7" ht="20.25" customHeight="1">
      <c r="A339" s="10">
        <v>11281</v>
      </c>
      <c r="B339" s="10">
        <v>15281</v>
      </c>
      <c r="C339" s="10">
        <f t="shared" si="5"/>
        <v>11281</v>
      </c>
      <c r="D339" s="10" t="s">
        <v>549</v>
      </c>
      <c r="E339" s="7" t="s">
        <v>956</v>
      </c>
      <c r="F339" s="5"/>
      <c r="G339" s="22" t="s">
        <v>957</v>
      </c>
    </row>
    <row r="340" spans="1:7" ht="20.25" customHeight="1">
      <c r="A340" s="10">
        <v>11282</v>
      </c>
      <c r="B340" s="10">
        <v>15282</v>
      </c>
      <c r="C340" s="10">
        <f t="shared" si="5"/>
        <v>11282</v>
      </c>
      <c r="D340" s="10" t="s">
        <v>549</v>
      </c>
      <c r="E340" s="7" t="s">
        <v>958</v>
      </c>
      <c r="F340" s="5"/>
      <c r="G340" s="22" t="s">
        <v>957</v>
      </c>
    </row>
    <row r="341" spans="1:7" ht="20.25" customHeight="1">
      <c r="A341" s="10">
        <v>11283</v>
      </c>
      <c r="B341" s="10">
        <v>15283</v>
      </c>
      <c r="C341" s="10">
        <f t="shared" si="5"/>
        <v>11283</v>
      </c>
      <c r="D341" s="10" t="s">
        <v>549</v>
      </c>
      <c r="E341" s="7" t="s">
        <v>959</v>
      </c>
      <c r="F341" s="5"/>
      <c r="G341" s="22" t="s">
        <v>859</v>
      </c>
    </row>
    <row r="342" spans="1:7" ht="20.25" customHeight="1">
      <c r="A342" s="10">
        <v>11284</v>
      </c>
      <c r="B342" s="10">
        <v>15284</v>
      </c>
      <c r="C342" s="10">
        <f t="shared" si="5"/>
        <v>11284</v>
      </c>
      <c r="D342" s="10" t="s">
        <v>549</v>
      </c>
      <c r="E342" s="7" t="s">
        <v>960</v>
      </c>
      <c r="F342" s="5"/>
      <c r="G342" s="22" t="s">
        <v>859</v>
      </c>
    </row>
    <row r="343" spans="1:7" ht="20.25" customHeight="1">
      <c r="A343" s="10">
        <v>11285</v>
      </c>
      <c r="B343" s="10">
        <v>15285</v>
      </c>
      <c r="C343" s="10">
        <f t="shared" si="5"/>
        <v>11285</v>
      </c>
      <c r="D343" s="10" t="s">
        <v>549</v>
      </c>
      <c r="E343" s="7" t="s">
        <v>961</v>
      </c>
      <c r="F343" s="5"/>
      <c r="G343" s="22" t="s">
        <v>859</v>
      </c>
    </row>
    <row r="344" spans="1:7" ht="20.25" customHeight="1">
      <c r="A344" s="10">
        <v>11286</v>
      </c>
      <c r="B344" s="10">
        <v>15286</v>
      </c>
      <c r="C344" s="10">
        <f t="shared" si="5"/>
        <v>11286</v>
      </c>
      <c r="D344" s="10" t="s">
        <v>549</v>
      </c>
      <c r="E344" s="7" t="s">
        <v>962</v>
      </c>
      <c r="F344" s="5"/>
      <c r="G344" s="22"/>
    </row>
    <row r="345" spans="1:7" ht="20.25" customHeight="1">
      <c r="A345" s="10">
        <v>11287</v>
      </c>
      <c r="B345" s="10">
        <v>15287</v>
      </c>
      <c r="C345" s="10">
        <f t="shared" si="5"/>
        <v>11287</v>
      </c>
      <c r="D345" s="10" t="s">
        <v>549</v>
      </c>
      <c r="E345" s="7" t="s">
        <v>963</v>
      </c>
      <c r="F345" s="5"/>
      <c r="G345" s="22"/>
    </row>
    <row r="346" spans="1:7" ht="20.25" customHeight="1">
      <c r="A346" s="10">
        <v>11288</v>
      </c>
      <c r="B346" s="10">
        <v>15288</v>
      </c>
      <c r="C346" s="10">
        <f t="shared" si="5"/>
        <v>11288</v>
      </c>
      <c r="D346" s="10" t="s">
        <v>549</v>
      </c>
      <c r="E346" s="7" t="s">
        <v>964</v>
      </c>
      <c r="F346" s="5"/>
      <c r="G346" s="22" t="s">
        <v>108</v>
      </c>
    </row>
    <row r="347" spans="1:7" ht="20.25" customHeight="1">
      <c r="A347" s="10">
        <v>11289</v>
      </c>
      <c r="B347" s="10">
        <v>15289</v>
      </c>
      <c r="C347" s="10">
        <f t="shared" si="5"/>
        <v>11289</v>
      </c>
      <c r="D347" s="10" t="s">
        <v>549</v>
      </c>
      <c r="E347" s="7" t="s">
        <v>965</v>
      </c>
      <c r="F347" s="5"/>
      <c r="G347" s="22" t="s">
        <v>108</v>
      </c>
    </row>
    <row r="348" spans="1:7" ht="20.25" customHeight="1">
      <c r="A348" s="10">
        <v>11290</v>
      </c>
      <c r="B348" s="10">
        <v>15290</v>
      </c>
      <c r="C348" s="10">
        <f t="shared" si="5"/>
        <v>11290</v>
      </c>
      <c r="D348" s="10" t="s">
        <v>549</v>
      </c>
      <c r="E348" s="7" t="s">
        <v>966</v>
      </c>
      <c r="F348" s="5"/>
      <c r="G348" s="22" t="s">
        <v>108</v>
      </c>
    </row>
    <row r="349" spans="1:7" ht="20.25" customHeight="1">
      <c r="A349" s="10">
        <v>11291</v>
      </c>
      <c r="B349" s="10">
        <v>15291</v>
      </c>
      <c r="C349" s="10">
        <f t="shared" si="5"/>
        <v>11291</v>
      </c>
      <c r="D349" s="10" t="s">
        <v>549</v>
      </c>
      <c r="E349" s="7" t="s">
        <v>967</v>
      </c>
      <c r="F349" s="5"/>
      <c r="G349" s="22" t="s">
        <v>108</v>
      </c>
    </row>
    <row r="350" spans="1:7" ht="20.25" customHeight="1">
      <c r="A350" s="10">
        <v>11292</v>
      </c>
      <c r="B350" s="10">
        <v>15292</v>
      </c>
      <c r="C350" s="10">
        <f t="shared" si="5"/>
        <v>11292</v>
      </c>
      <c r="D350" s="10" t="s">
        <v>549</v>
      </c>
      <c r="E350" s="7" t="s">
        <v>968</v>
      </c>
      <c r="F350" s="5"/>
      <c r="G350" s="22" t="s">
        <v>969</v>
      </c>
    </row>
    <row r="351" spans="1:7" ht="20.25" customHeight="1">
      <c r="A351" s="10">
        <v>11293</v>
      </c>
      <c r="B351" s="10">
        <v>15293</v>
      </c>
      <c r="C351" s="10">
        <f t="shared" si="5"/>
        <v>11293</v>
      </c>
      <c r="D351" s="10" t="s">
        <v>549</v>
      </c>
      <c r="E351" s="111" t="s">
        <v>970</v>
      </c>
      <c r="F351" s="5"/>
      <c r="G351" s="22" t="s">
        <v>969</v>
      </c>
    </row>
    <row r="352" spans="1:7" ht="20.25" customHeight="1">
      <c r="A352" s="10">
        <v>11294</v>
      </c>
      <c r="B352" s="10">
        <v>15294</v>
      </c>
      <c r="C352" s="10">
        <f t="shared" si="5"/>
        <v>21294</v>
      </c>
      <c r="D352" s="10" t="s">
        <v>567</v>
      </c>
      <c r="E352" s="7" t="s">
        <v>971</v>
      </c>
      <c r="F352" s="5" t="s">
        <v>619</v>
      </c>
      <c r="G352" s="22"/>
    </row>
    <row r="353" spans="1:7" ht="20.25" customHeight="1">
      <c r="A353" s="10">
        <v>11295</v>
      </c>
      <c r="B353" s="10">
        <v>15295</v>
      </c>
      <c r="C353" s="10">
        <f t="shared" si="5"/>
        <v>21295</v>
      </c>
      <c r="D353" s="10" t="s">
        <v>567</v>
      </c>
      <c r="E353" s="7" t="s">
        <v>972</v>
      </c>
      <c r="F353" s="5" t="s">
        <v>619</v>
      </c>
      <c r="G353" s="22"/>
    </row>
    <row r="354" spans="1:7" ht="20.25" customHeight="1">
      <c r="A354" s="10">
        <v>11296</v>
      </c>
      <c r="B354" s="10">
        <v>15296</v>
      </c>
      <c r="C354" s="10">
        <f t="shared" si="5"/>
        <v>11296</v>
      </c>
      <c r="D354" s="10" t="s">
        <v>549</v>
      </c>
      <c r="E354" s="7" t="s">
        <v>973</v>
      </c>
      <c r="F354" s="5"/>
      <c r="G354" s="22"/>
    </row>
    <row r="355" spans="1:7" ht="20.25" customHeight="1">
      <c r="A355" s="10">
        <v>11297</v>
      </c>
      <c r="B355" s="10">
        <v>15297</v>
      </c>
      <c r="C355" s="10">
        <f t="shared" si="5"/>
        <v>11297</v>
      </c>
      <c r="D355" s="10" t="s">
        <v>549</v>
      </c>
      <c r="E355" s="7" t="s">
        <v>974</v>
      </c>
      <c r="F355" s="5"/>
      <c r="G355" s="22"/>
    </row>
    <row r="356" spans="1:7" ht="20.25" customHeight="1">
      <c r="A356" s="10">
        <v>11298</v>
      </c>
      <c r="B356" s="10">
        <v>15298</v>
      </c>
      <c r="C356" s="10">
        <f t="shared" si="5"/>
        <v>21298</v>
      </c>
      <c r="D356" s="10" t="s">
        <v>567</v>
      </c>
      <c r="E356" s="7" t="s">
        <v>975</v>
      </c>
      <c r="F356" s="5" t="s">
        <v>619</v>
      </c>
      <c r="G356" s="22"/>
    </row>
    <row r="357" spans="1:7" ht="20.25" customHeight="1">
      <c r="A357" s="10">
        <v>11299</v>
      </c>
      <c r="B357" s="10">
        <v>15299</v>
      </c>
      <c r="C357" s="10">
        <f t="shared" si="5"/>
        <v>11299</v>
      </c>
      <c r="D357" s="10" t="s">
        <v>549</v>
      </c>
      <c r="E357" s="7" t="s">
        <v>976</v>
      </c>
      <c r="F357" s="5"/>
      <c r="G357" s="22" t="s">
        <v>977</v>
      </c>
    </row>
    <row r="358" spans="1:7" ht="20.25" customHeight="1">
      <c r="A358" s="10">
        <v>11300</v>
      </c>
      <c r="B358" s="10">
        <v>15300</v>
      </c>
      <c r="C358" s="10">
        <f t="shared" si="5"/>
        <v>11300</v>
      </c>
      <c r="D358" s="10" t="s">
        <v>549</v>
      </c>
      <c r="E358" s="7" t="s">
        <v>978</v>
      </c>
      <c r="F358" s="5"/>
      <c r="G358" s="22" t="s">
        <v>977</v>
      </c>
    </row>
    <row r="359" spans="1:7" ht="20.25" customHeight="1">
      <c r="A359" s="10">
        <v>11301</v>
      </c>
      <c r="B359" s="10">
        <v>15301</v>
      </c>
      <c r="C359" s="10">
        <f t="shared" si="5"/>
        <v>11301</v>
      </c>
      <c r="D359" s="10" t="s">
        <v>549</v>
      </c>
      <c r="E359" s="7" t="s">
        <v>979</v>
      </c>
      <c r="F359" s="5"/>
      <c r="G359" s="22" t="s">
        <v>852</v>
      </c>
    </row>
    <row r="360" spans="1:7" ht="20.25" customHeight="1">
      <c r="A360" s="10">
        <v>11302</v>
      </c>
      <c r="B360" s="10">
        <v>15302</v>
      </c>
      <c r="C360" s="10">
        <f t="shared" si="5"/>
        <v>11302</v>
      </c>
      <c r="D360" s="10" t="s">
        <v>549</v>
      </c>
      <c r="E360" s="7" t="s">
        <v>980</v>
      </c>
      <c r="F360" s="5"/>
      <c r="G360" s="22" t="s">
        <v>852</v>
      </c>
    </row>
    <row r="361" spans="1:7" ht="20.25" customHeight="1">
      <c r="A361" s="10">
        <v>11303</v>
      </c>
      <c r="B361" s="10">
        <v>15303</v>
      </c>
      <c r="C361" s="10">
        <f t="shared" si="5"/>
        <v>11303</v>
      </c>
      <c r="D361" s="10" t="s">
        <v>549</v>
      </c>
      <c r="E361" s="7" t="s">
        <v>981</v>
      </c>
      <c r="F361" s="5"/>
      <c r="G361" s="22" t="s">
        <v>982</v>
      </c>
    </row>
    <row r="362" spans="1:7" ht="20.25" customHeight="1">
      <c r="A362" s="10">
        <v>11304</v>
      </c>
      <c r="B362" s="10">
        <v>15304</v>
      </c>
      <c r="C362" s="10">
        <f t="shared" si="5"/>
        <v>21304</v>
      </c>
      <c r="D362" s="10" t="s">
        <v>567</v>
      </c>
      <c r="E362" s="7" t="s">
        <v>983</v>
      </c>
      <c r="F362" s="5" t="s">
        <v>619</v>
      </c>
      <c r="G362" s="22"/>
    </row>
    <row r="363" spans="1:7" ht="20.25" customHeight="1">
      <c r="A363" s="10">
        <v>11305</v>
      </c>
      <c r="B363" s="10">
        <v>15305</v>
      </c>
      <c r="C363" s="10">
        <f t="shared" si="5"/>
        <v>21305</v>
      </c>
      <c r="D363" s="10" t="s">
        <v>567</v>
      </c>
      <c r="E363" s="9" t="s">
        <v>984</v>
      </c>
      <c r="F363" s="5" t="s">
        <v>619</v>
      </c>
      <c r="G363" s="22"/>
    </row>
    <row r="364" spans="1:7" ht="20.25" customHeight="1">
      <c r="A364" s="10">
        <v>11306</v>
      </c>
      <c r="B364" s="10">
        <v>15306</v>
      </c>
      <c r="C364" s="10">
        <f t="shared" si="5"/>
        <v>21306</v>
      </c>
      <c r="D364" s="10" t="s">
        <v>567</v>
      </c>
      <c r="E364" s="111" t="s">
        <v>985</v>
      </c>
      <c r="F364" s="5" t="s">
        <v>619</v>
      </c>
      <c r="G364" s="22"/>
    </row>
    <row r="365" spans="1:7" ht="20.25" customHeight="1">
      <c r="A365" s="10">
        <v>11307</v>
      </c>
      <c r="B365" s="10">
        <v>15307</v>
      </c>
      <c r="C365" s="10">
        <f t="shared" si="5"/>
        <v>21307</v>
      </c>
      <c r="D365" s="10" t="s">
        <v>567</v>
      </c>
      <c r="E365" s="8" t="s">
        <v>986</v>
      </c>
      <c r="F365" s="5" t="s">
        <v>619</v>
      </c>
      <c r="G365" s="22"/>
    </row>
    <row r="366" spans="1:7" ht="20.25" customHeight="1">
      <c r="A366" s="10">
        <v>11308</v>
      </c>
      <c r="B366" s="10">
        <v>15308</v>
      </c>
      <c r="C366" s="10">
        <f t="shared" si="5"/>
        <v>11308</v>
      </c>
      <c r="D366" s="10" t="s">
        <v>549</v>
      </c>
      <c r="E366" s="7" t="s">
        <v>987</v>
      </c>
      <c r="F366" s="5"/>
      <c r="G366" s="22"/>
    </row>
    <row r="367" spans="1:7" ht="20.25" customHeight="1">
      <c r="A367" s="10">
        <v>11309</v>
      </c>
      <c r="B367" s="10">
        <v>15309</v>
      </c>
      <c r="C367" s="10">
        <f t="shared" si="5"/>
        <v>11309</v>
      </c>
      <c r="D367" s="10" t="s">
        <v>549</v>
      </c>
      <c r="E367" s="7" t="s">
        <v>988</v>
      </c>
      <c r="F367" s="5"/>
      <c r="G367" s="22"/>
    </row>
    <row r="368" spans="1:7" ht="20.25" customHeight="1">
      <c r="A368" s="10">
        <v>11310</v>
      </c>
      <c r="B368" s="10">
        <v>15310</v>
      </c>
      <c r="C368" s="10">
        <f t="shared" si="5"/>
        <v>11310</v>
      </c>
      <c r="D368" s="10" t="s">
        <v>549</v>
      </c>
      <c r="E368" s="7" t="s">
        <v>989</v>
      </c>
      <c r="F368" s="5"/>
      <c r="G368" s="22">
        <v>48987502</v>
      </c>
    </row>
    <row r="369" spans="1:7" ht="20.25" customHeight="1">
      <c r="A369" s="10">
        <v>11311</v>
      </c>
      <c r="B369" s="10">
        <v>15311</v>
      </c>
      <c r="C369" s="10">
        <f t="shared" si="5"/>
        <v>11311</v>
      </c>
      <c r="D369" s="10" t="s">
        <v>549</v>
      </c>
      <c r="E369" s="7" t="s">
        <v>990</v>
      </c>
      <c r="F369" s="5"/>
      <c r="G369" s="22">
        <v>48987502</v>
      </c>
    </row>
    <row r="370" spans="1:7" ht="20.25" customHeight="1">
      <c r="A370" s="10">
        <v>11312</v>
      </c>
      <c r="B370" s="10">
        <v>15312</v>
      </c>
      <c r="C370" s="10">
        <f t="shared" si="5"/>
        <v>11312</v>
      </c>
      <c r="D370" s="10" t="s">
        <v>549</v>
      </c>
      <c r="E370" s="7" t="s">
        <v>991</v>
      </c>
      <c r="F370" s="5"/>
      <c r="G370" s="22">
        <v>48987502</v>
      </c>
    </row>
    <row r="371" spans="1:7" ht="20.25" customHeight="1">
      <c r="A371" s="10">
        <v>11313</v>
      </c>
      <c r="B371" s="10">
        <v>15313</v>
      </c>
      <c r="C371" s="10">
        <f t="shared" si="5"/>
        <v>11313</v>
      </c>
      <c r="D371" s="10" t="s">
        <v>549</v>
      </c>
      <c r="E371" s="7" t="s">
        <v>992</v>
      </c>
      <c r="F371" s="5"/>
      <c r="G371" s="22">
        <v>48987502</v>
      </c>
    </row>
    <row r="372" spans="1:7" ht="20.25" customHeight="1">
      <c r="A372" s="10">
        <v>11314</v>
      </c>
      <c r="B372" s="10">
        <v>15314</v>
      </c>
      <c r="C372" s="10">
        <f t="shared" si="5"/>
        <v>11314</v>
      </c>
      <c r="D372" s="10" t="s">
        <v>549</v>
      </c>
      <c r="E372" s="7" t="s">
        <v>993</v>
      </c>
      <c r="F372" s="5"/>
      <c r="G372" s="22">
        <v>48987502</v>
      </c>
    </row>
    <row r="373" spans="1:7" ht="20.25" customHeight="1">
      <c r="A373" s="10">
        <v>11315</v>
      </c>
      <c r="B373" s="10">
        <v>15315</v>
      </c>
      <c r="C373" s="10">
        <f t="shared" si="5"/>
        <v>11315</v>
      </c>
      <c r="D373" s="10" t="s">
        <v>549</v>
      </c>
      <c r="E373" s="7" t="s">
        <v>994</v>
      </c>
      <c r="F373" s="5"/>
      <c r="G373" s="22">
        <v>48987502</v>
      </c>
    </row>
    <row r="374" spans="1:7" ht="20.25" customHeight="1">
      <c r="A374" s="10">
        <v>11316</v>
      </c>
      <c r="B374" s="10">
        <v>15316</v>
      </c>
      <c r="C374" s="10">
        <f t="shared" si="5"/>
        <v>11316</v>
      </c>
      <c r="D374" s="10" t="s">
        <v>549</v>
      </c>
      <c r="E374" s="7" t="s">
        <v>995</v>
      </c>
      <c r="F374" s="5"/>
      <c r="G374" s="22" t="s">
        <v>996</v>
      </c>
    </row>
    <row r="375" spans="1:7" ht="20.25" customHeight="1">
      <c r="A375" s="10">
        <v>11317</v>
      </c>
      <c r="B375" s="10">
        <v>15317</v>
      </c>
      <c r="C375" s="10">
        <f t="shared" si="5"/>
        <v>11317</v>
      </c>
      <c r="D375" s="10" t="s">
        <v>549</v>
      </c>
      <c r="E375" s="7" t="s">
        <v>997</v>
      </c>
      <c r="F375" s="5"/>
      <c r="G375" s="22"/>
    </row>
    <row r="376" spans="1:7" ht="20.25" customHeight="1">
      <c r="A376" s="10">
        <v>11318</v>
      </c>
      <c r="B376" s="10">
        <v>15318</v>
      </c>
      <c r="C376" s="10">
        <f t="shared" si="5"/>
        <v>11318</v>
      </c>
      <c r="D376" s="10" t="s">
        <v>549</v>
      </c>
      <c r="E376" s="7" t="s">
        <v>998</v>
      </c>
      <c r="F376" s="5"/>
      <c r="G376" s="22"/>
    </row>
    <row r="377" spans="1:7" ht="20.25" customHeight="1">
      <c r="A377" s="10">
        <v>11319</v>
      </c>
      <c r="B377" s="10">
        <v>15319</v>
      </c>
      <c r="C377" s="10">
        <f t="shared" si="5"/>
        <v>21319</v>
      </c>
      <c r="D377" s="10" t="s">
        <v>567</v>
      </c>
      <c r="E377" s="7" t="s">
        <v>999</v>
      </c>
      <c r="F377" s="5" t="s">
        <v>619</v>
      </c>
      <c r="G377" s="22"/>
    </row>
    <row r="378" spans="1:7" ht="20.25" customHeight="1">
      <c r="A378" s="10">
        <v>11320</v>
      </c>
      <c r="B378" s="10">
        <v>15320</v>
      </c>
      <c r="C378" s="10">
        <f t="shared" si="5"/>
        <v>21320</v>
      </c>
      <c r="D378" s="10" t="s">
        <v>567</v>
      </c>
      <c r="E378" s="7" t="s">
        <v>1000</v>
      </c>
      <c r="F378" s="5" t="s">
        <v>619</v>
      </c>
      <c r="G378" s="22"/>
    </row>
    <row r="379" spans="1:7" ht="20.25" customHeight="1">
      <c r="A379" s="10">
        <v>11321</v>
      </c>
      <c r="B379" s="10">
        <v>15321</v>
      </c>
      <c r="C379" s="10">
        <f t="shared" si="5"/>
        <v>11321</v>
      </c>
      <c r="D379" s="10" t="s">
        <v>549</v>
      </c>
      <c r="E379" s="7" t="s">
        <v>1001</v>
      </c>
      <c r="F379" s="5"/>
      <c r="G379" s="22" t="s">
        <v>1002</v>
      </c>
    </row>
    <row r="380" spans="1:7" ht="20.25" customHeight="1">
      <c r="A380" s="10">
        <v>11322</v>
      </c>
      <c r="B380" s="10">
        <v>15322</v>
      </c>
      <c r="C380" s="10">
        <f t="shared" si="5"/>
        <v>11322</v>
      </c>
      <c r="D380" s="10" t="s">
        <v>549</v>
      </c>
      <c r="E380" s="7" t="s">
        <v>1003</v>
      </c>
      <c r="F380" s="5"/>
      <c r="G380" s="22" t="s">
        <v>1002</v>
      </c>
    </row>
    <row r="381" spans="1:7" ht="20.25" customHeight="1">
      <c r="A381" s="10">
        <v>11323</v>
      </c>
      <c r="B381" s="10">
        <v>15323</v>
      </c>
      <c r="C381" s="10">
        <f t="shared" si="5"/>
        <v>11323</v>
      </c>
      <c r="D381" s="10" t="s">
        <v>549</v>
      </c>
      <c r="E381" s="7" t="s">
        <v>1004</v>
      </c>
      <c r="F381" s="5"/>
      <c r="G381" s="22"/>
    </row>
    <row r="382" spans="1:7" ht="20.25" customHeight="1">
      <c r="A382" s="10">
        <v>11324</v>
      </c>
      <c r="B382" s="10">
        <v>15324</v>
      </c>
      <c r="C382" s="10">
        <f t="shared" si="5"/>
        <v>21324</v>
      </c>
      <c r="D382" s="10" t="s">
        <v>567</v>
      </c>
      <c r="E382" s="7" t="s">
        <v>1005</v>
      </c>
      <c r="F382" s="5" t="s">
        <v>619</v>
      </c>
      <c r="G382" s="22"/>
    </row>
    <row r="383" spans="1:7" ht="20.25" customHeight="1">
      <c r="A383" s="10">
        <v>11325</v>
      </c>
      <c r="B383" s="10">
        <v>15325</v>
      </c>
      <c r="C383" s="10">
        <f t="shared" si="5"/>
        <v>11325</v>
      </c>
      <c r="D383" s="10" t="s">
        <v>549</v>
      </c>
      <c r="E383" s="111" t="s">
        <v>1006</v>
      </c>
      <c r="F383" s="5"/>
      <c r="G383" s="22" t="s">
        <v>1007</v>
      </c>
    </row>
    <row r="384" spans="1:7" ht="20.25" customHeight="1">
      <c r="A384" s="10">
        <v>11326</v>
      </c>
      <c r="B384" s="10">
        <v>15326</v>
      </c>
      <c r="C384" s="10">
        <f t="shared" si="5"/>
        <v>11326</v>
      </c>
      <c r="D384" s="10" t="s">
        <v>549</v>
      </c>
      <c r="E384" s="7" t="s">
        <v>1008</v>
      </c>
      <c r="F384" s="5"/>
      <c r="G384" s="22"/>
    </row>
    <row r="385" spans="1:7" ht="20.25" customHeight="1">
      <c r="A385" s="10">
        <v>11327</v>
      </c>
      <c r="B385" s="10">
        <v>15327</v>
      </c>
      <c r="C385" s="10">
        <f t="shared" si="5"/>
        <v>11327</v>
      </c>
      <c r="D385" s="10" t="s">
        <v>549</v>
      </c>
      <c r="E385" s="7" t="s">
        <v>1009</v>
      </c>
      <c r="F385" s="5"/>
      <c r="G385" s="22"/>
    </row>
    <row r="386" spans="1:7" ht="20.25" customHeight="1">
      <c r="A386" s="10">
        <v>11328</v>
      </c>
      <c r="B386" s="10">
        <v>15328</v>
      </c>
      <c r="C386" s="10">
        <f t="shared" si="5"/>
        <v>11328</v>
      </c>
      <c r="D386" s="10" t="s">
        <v>549</v>
      </c>
      <c r="E386" s="7" t="s">
        <v>1010</v>
      </c>
      <c r="F386" s="5"/>
      <c r="G386" s="22"/>
    </row>
    <row r="387" spans="1:7" ht="20.25" customHeight="1">
      <c r="A387" s="10">
        <v>11329</v>
      </c>
      <c r="B387" s="10">
        <v>15329</v>
      </c>
      <c r="C387" s="10">
        <f t="shared" si="5"/>
        <v>11329</v>
      </c>
      <c r="D387" s="10" t="s">
        <v>549</v>
      </c>
      <c r="E387" s="7" t="s">
        <v>1011</v>
      </c>
      <c r="F387" s="5"/>
      <c r="G387" s="22"/>
    </row>
    <row r="388" spans="1:7" ht="20.25" customHeight="1">
      <c r="A388" s="10">
        <v>11330</v>
      </c>
      <c r="B388" s="10">
        <v>15330</v>
      </c>
      <c r="C388" s="10">
        <f t="shared" si="5"/>
        <v>11330</v>
      </c>
      <c r="D388" s="10" t="s">
        <v>549</v>
      </c>
      <c r="E388" s="126" t="s">
        <v>1012</v>
      </c>
      <c r="F388" s="5"/>
      <c r="G388" s="22" t="s">
        <v>596</v>
      </c>
    </row>
    <row r="389" spans="1:7" ht="20.25" customHeight="1">
      <c r="A389" s="10">
        <v>11331</v>
      </c>
      <c r="B389" s="10">
        <v>15331</v>
      </c>
      <c r="C389" s="10">
        <f t="shared" ref="C389:C452" si="6">IF(ISERROR(FIND("B_Epic",E389)),A389,A389+10000)</f>
        <v>11331</v>
      </c>
      <c r="D389" s="10" t="s">
        <v>549</v>
      </c>
      <c r="E389" s="126" t="s">
        <v>1013</v>
      </c>
      <c r="F389" s="5"/>
      <c r="G389" s="22" t="s">
        <v>596</v>
      </c>
    </row>
    <row r="390" spans="1:7" ht="20.25" customHeight="1">
      <c r="A390" s="10">
        <v>11332</v>
      </c>
      <c r="B390" s="10">
        <v>15332</v>
      </c>
      <c r="C390" s="10">
        <f t="shared" si="6"/>
        <v>11332</v>
      </c>
      <c r="D390" s="10" t="s">
        <v>549</v>
      </c>
      <c r="E390" s="7" t="s">
        <v>1014</v>
      </c>
      <c r="F390" s="5"/>
      <c r="G390" s="22" t="s">
        <v>596</v>
      </c>
    </row>
    <row r="391" spans="1:7" ht="20.25" customHeight="1">
      <c r="A391" s="10">
        <v>11333</v>
      </c>
      <c r="B391" s="10">
        <v>15333</v>
      </c>
      <c r="C391" s="10">
        <f t="shared" si="6"/>
        <v>11333</v>
      </c>
      <c r="D391" s="10" t="s">
        <v>549</v>
      </c>
      <c r="E391" s="7" t="s">
        <v>1015</v>
      </c>
      <c r="F391" s="5"/>
      <c r="G391" s="22" t="s">
        <v>596</v>
      </c>
    </row>
    <row r="392" spans="1:7" ht="20.25" customHeight="1">
      <c r="A392" s="10">
        <v>11334</v>
      </c>
      <c r="B392" s="10">
        <v>15334</v>
      </c>
      <c r="C392" s="10">
        <f t="shared" si="6"/>
        <v>11334</v>
      </c>
      <c r="D392" s="10" t="s">
        <v>549</v>
      </c>
      <c r="E392" s="111" t="s">
        <v>1016</v>
      </c>
      <c r="F392" s="5"/>
      <c r="G392" s="22" t="s">
        <v>596</v>
      </c>
    </row>
    <row r="393" spans="1:7" ht="20.25" customHeight="1">
      <c r="A393" s="10">
        <v>11335</v>
      </c>
      <c r="B393" s="10">
        <v>15335</v>
      </c>
      <c r="C393" s="10">
        <f t="shared" si="6"/>
        <v>11335</v>
      </c>
      <c r="D393" s="10" t="s">
        <v>549</v>
      </c>
      <c r="E393" s="111" t="s">
        <v>1017</v>
      </c>
      <c r="F393" s="5"/>
      <c r="G393" s="22" t="s">
        <v>592</v>
      </c>
    </row>
    <row r="394" spans="1:7" ht="20.25" customHeight="1">
      <c r="A394" s="10">
        <v>11336</v>
      </c>
      <c r="B394" s="10">
        <v>15336</v>
      </c>
      <c r="C394" s="10">
        <f t="shared" si="6"/>
        <v>21336</v>
      </c>
      <c r="D394" s="10" t="s">
        <v>567</v>
      </c>
      <c r="E394" s="7" t="s">
        <v>1018</v>
      </c>
      <c r="F394" s="5" t="s">
        <v>619</v>
      </c>
      <c r="G394" s="22"/>
    </row>
    <row r="395" spans="1:7" ht="20.25" customHeight="1">
      <c r="A395" s="10">
        <v>11337</v>
      </c>
      <c r="B395" s="10">
        <v>15337</v>
      </c>
      <c r="C395" s="10">
        <f t="shared" si="6"/>
        <v>11337</v>
      </c>
      <c r="D395" s="10" t="s">
        <v>549</v>
      </c>
      <c r="E395" s="7" t="s">
        <v>1019</v>
      </c>
      <c r="F395" s="5"/>
      <c r="G395" s="22"/>
    </row>
    <row r="396" spans="1:7" ht="20.25" customHeight="1">
      <c r="A396" s="10">
        <v>11338</v>
      </c>
      <c r="B396" s="10">
        <v>15338</v>
      </c>
      <c r="C396" s="10">
        <f t="shared" si="6"/>
        <v>11338</v>
      </c>
      <c r="D396" s="10" t="s">
        <v>549</v>
      </c>
      <c r="E396" s="7" t="s">
        <v>1020</v>
      </c>
      <c r="F396" s="5"/>
      <c r="G396" s="22" t="s">
        <v>1021</v>
      </c>
    </row>
    <row r="397" spans="1:7" ht="20.25" customHeight="1">
      <c r="A397" s="10">
        <v>11339</v>
      </c>
      <c r="B397" s="10">
        <v>15339</v>
      </c>
      <c r="C397" s="10">
        <f t="shared" si="6"/>
        <v>11339</v>
      </c>
      <c r="D397" s="10" t="s">
        <v>549</v>
      </c>
      <c r="E397" s="7" t="s">
        <v>1022</v>
      </c>
      <c r="F397" s="5"/>
      <c r="G397" s="22" t="s">
        <v>1021</v>
      </c>
    </row>
    <row r="398" spans="1:7" ht="20.25" customHeight="1">
      <c r="A398" s="10">
        <v>11340</v>
      </c>
      <c r="B398" s="10">
        <v>15340</v>
      </c>
      <c r="C398" s="10">
        <f t="shared" si="6"/>
        <v>11340</v>
      </c>
      <c r="D398" s="10" t="s">
        <v>549</v>
      </c>
      <c r="E398" s="7" t="s">
        <v>1023</v>
      </c>
      <c r="F398" s="5"/>
      <c r="G398" s="22"/>
    </row>
    <row r="399" spans="1:7" ht="20.25" customHeight="1">
      <c r="A399" s="10">
        <v>11341</v>
      </c>
      <c r="B399" s="10">
        <v>15341</v>
      </c>
      <c r="C399" s="10">
        <f t="shared" si="6"/>
        <v>11341</v>
      </c>
      <c r="D399" s="10" t="s">
        <v>549</v>
      </c>
      <c r="E399" s="7" t="s">
        <v>1024</v>
      </c>
      <c r="F399" s="5"/>
      <c r="G399" s="22"/>
    </row>
    <row r="400" spans="1:7" ht="20.25" customHeight="1">
      <c r="A400" s="10">
        <v>11342</v>
      </c>
      <c r="B400" s="10">
        <v>15342</v>
      </c>
      <c r="C400" s="10">
        <f t="shared" si="6"/>
        <v>11342</v>
      </c>
      <c r="D400" s="10" t="s">
        <v>549</v>
      </c>
      <c r="E400" s="7" t="s">
        <v>1025</v>
      </c>
      <c r="F400" s="5"/>
      <c r="G400" s="22"/>
    </row>
    <row r="401" spans="1:7" ht="20.25" customHeight="1">
      <c r="A401" s="10">
        <v>11343</v>
      </c>
      <c r="B401" s="10">
        <v>15343</v>
      </c>
      <c r="C401" s="10">
        <f t="shared" si="6"/>
        <v>11343</v>
      </c>
      <c r="D401" s="10" t="s">
        <v>549</v>
      </c>
      <c r="E401" s="7" t="s">
        <v>1026</v>
      </c>
      <c r="F401" s="5"/>
      <c r="G401" s="22"/>
    </row>
    <row r="402" spans="1:7" ht="20.25" customHeight="1">
      <c r="A402" s="10">
        <v>11344</v>
      </c>
      <c r="B402" s="10">
        <v>15344</v>
      </c>
      <c r="C402" s="10">
        <f t="shared" si="6"/>
        <v>11344</v>
      </c>
      <c r="D402" s="10" t="s">
        <v>549</v>
      </c>
      <c r="E402" s="7" t="s">
        <v>1027</v>
      </c>
      <c r="F402" s="5"/>
      <c r="G402" s="22" t="s">
        <v>1028</v>
      </c>
    </row>
    <row r="403" spans="1:7" ht="20.25" customHeight="1">
      <c r="A403" s="10">
        <v>11345</v>
      </c>
      <c r="B403" s="10">
        <v>15345</v>
      </c>
      <c r="C403" s="10">
        <f t="shared" si="6"/>
        <v>11345</v>
      </c>
      <c r="D403" s="10" t="s">
        <v>549</v>
      </c>
      <c r="E403" s="7" t="s">
        <v>1029</v>
      </c>
      <c r="F403" s="5"/>
      <c r="G403" s="22" t="s">
        <v>1028</v>
      </c>
    </row>
    <row r="404" spans="1:7" ht="20.25" customHeight="1">
      <c r="A404" s="10">
        <v>11346</v>
      </c>
      <c r="B404" s="10">
        <v>15346</v>
      </c>
      <c r="C404" s="10">
        <f t="shared" si="6"/>
        <v>11346</v>
      </c>
      <c r="D404" s="10" t="s">
        <v>549</v>
      </c>
      <c r="E404" s="7" t="s">
        <v>1030</v>
      </c>
      <c r="F404" s="5"/>
      <c r="G404" s="22"/>
    </row>
    <row r="405" spans="1:7" ht="20.25" customHeight="1">
      <c r="A405" s="10">
        <v>11347</v>
      </c>
      <c r="B405" s="10">
        <v>15347</v>
      </c>
      <c r="C405" s="10">
        <f t="shared" si="6"/>
        <v>11347</v>
      </c>
      <c r="D405" s="10" t="s">
        <v>549</v>
      </c>
      <c r="E405" s="7" t="s">
        <v>1031</v>
      </c>
      <c r="F405" s="5"/>
      <c r="G405" s="22"/>
    </row>
    <row r="406" spans="1:7" ht="20.25" customHeight="1">
      <c r="A406" s="10">
        <v>11348</v>
      </c>
      <c r="B406" s="10">
        <v>15348</v>
      </c>
      <c r="C406" s="10">
        <f t="shared" si="6"/>
        <v>11348</v>
      </c>
      <c r="D406" s="10" t="s">
        <v>549</v>
      </c>
      <c r="E406" s="7" t="s">
        <v>1032</v>
      </c>
      <c r="F406" s="5"/>
      <c r="G406" s="22"/>
    </row>
    <row r="407" spans="1:7" ht="20.25" customHeight="1">
      <c r="A407" s="10">
        <v>11349</v>
      </c>
      <c r="B407" s="10">
        <v>15349</v>
      </c>
      <c r="C407" s="10">
        <f t="shared" si="6"/>
        <v>11349</v>
      </c>
      <c r="D407" s="10" t="s">
        <v>549</v>
      </c>
      <c r="E407" s="7" t="s">
        <v>1033</v>
      </c>
      <c r="F407" s="5"/>
      <c r="G407" s="22"/>
    </row>
    <row r="408" spans="1:7" ht="20.25" customHeight="1">
      <c r="A408" s="10">
        <v>11350</v>
      </c>
      <c r="B408" s="10">
        <v>15350</v>
      </c>
      <c r="C408" s="10">
        <f t="shared" si="6"/>
        <v>11350</v>
      </c>
      <c r="D408" s="10" t="s">
        <v>549</v>
      </c>
      <c r="E408" s="7" t="s">
        <v>1034</v>
      </c>
      <c r="F408" s="5"/>
      <c r="G408" s="22">
        <v>55495970009</v>
      </c>
    </row>
    <row r="409" spans="1:7" ht="20.25" customHeight="1">
      <c r="A409" s="10">
        <v>11351</v>
      </c>
      <c r="B409" s="10">
        <v>15351</v>
      </c>
      <c r="C409" s="10">
        <f t="shared" si="6"/>
        <v>11351</v>
      </c>
      <c r="D409" s="10" t="s">
        <v>549</v>
      </c>
      <c r="E409" s="7" t="s">
        <v>1035</v>
      </c>
      <c r="F409" s="5"/>
      <c r="G409" s="22">
        <v>55495970009</v>
      </c>
    </row>
    <row r="410" spans="1:7" ht="20.25" customHeight="1">
      <c r="A410" s="10">
        <v>11352</v>
      </c>
      <c r="B410" s="10">
        <v>15352</v>
      </c>
      <c r="C410" s="10">
        <f t="shared" si="6"/>
        <v>11352</v>
      </c>
      <c r="D410" s="10" t="s">
        <v>549</v>
      </c>
      <c r="E410" s="7" t="s">
        <v>1036</v>
      </c>
      <c r="F410" s="5"/>
      <c r="G410" s="22">
        <v>55495970009</v>
      </c>
    </row>
    <row r="411" spans="1:7" ht="20.25" customHeight="1">
      <c r="A411" s="10">
        <v>11353</v>
      </c>
      <c r="B411" s="10">
        <v>15353</v>
      </c>
      <c r="C411" s="10">
        <f t="shared" si="6"/>
        <v>21353</v>
      </c>
      <c r="D411" s="10" t="s">
        <v>567</v>
      </c>
      <c r="E411" s="7" t="s">
        <v>1037</v>
      </c>
      <c r="F411" s="5" t="s">
        <v>619</v>
      </c>
      <c r="G411" s="22"/>
    </row>
    <row r="412" spans="1:7" ht="20.25" customHeight="1">
      <c r="A412" s="10">
        <v>11354</v>
      </c>
      <c r="B412" s="10">
        <v>15354</v>
      </c>
      <c r="C412" s="10">
        <f t="shared" si="6"/>
        <v>11354</v>
      </c>
      <c r="D412" s="10" t="s">
        <v>549</v>
      </c>
      <c r="E412" s="12" t="s">
        <v>1038</v>
      </c>
      <c r="F412" s="5" t="s">
        <v>523</v>
      </c>
      <c r="G412" s="22" t="s">
        <v>1039</v>
      </c>
    </row>
    <row r="413" spans="1:7" ht="20.25" customHeight="1">
      <c r="A413" s="10">
        <v>11355</v>
      </c>
      <c r="B413" s="10">
        <v>15355</v>
      </c>
      <c r="C413" s="10">
        <f t="shared" si="6"/>
        <v>11355</v>
      </c>
      <c r="D413" s="10" t="s">
        <v>549</v>
      </c>
      <c r="E413" s="12" t="s">
        <v>1040</v>
      </c>
      <c r="F413" s="5"/>
      <c r="G413" s="22"/>
    </row>
    <row r="414" spans="1:7" ht="20.25" customHeight="1">
      <c r="A414" s="10">
        <v>11356</v>
      </c>
      <c r="B414" s="10">
        <v>15356</v>
      </c>
      <c r="C414" s="10">
        <f t="shared" si="6"/>
        <v>11356</v>
      </c>
      <c r="D414" s="10" t="s">
        <v>549</v>
      </c>
      <c r="E414" s="7" t="s">
        <v>1041</v>
      </c>
      <c r="F414" s="5"/>
      <c r="G414" s="22" t="s">
        <v>1039</v>
      </c>
    </row>
    <row r="415" spans="1:7" ht="20.25" customHeight="1">
      <c r="A415" s="10">
        <v>11357</v>
      </c>
      <c r="B415" s="10">
        <v>15357</v>
      </c>
      <c r="C415" s="10">
        <f t="shared" si="6"/>
        <v>11357</v>
      </c>
      <c r="D415" s="10" t="s">
        <v>549</v>
      </c>
      <c r="E415" s="7" t="s">
        <v>1042</v>
      </c>
      <c r="F415" s="5"/>
      <c r="G415" s="22" t="s">
        <v>1039</v>
      </c>
    </row>
    <row r="416" spans="1:7" ht="20.25" customHeight="1">
      <c r="A416" s="10">
        <v>11358</v>
      </c>
      <c r="B416" s="10">
        <v>15358</v>
      </c>
      <c r="C416" s="10">
        <f t="shared" si="6"/>
        <v>21358</v>
      </c>
      <c r="D416" s="10" t="s">
        <v>549</v>
      </c>
      <c r="E416" s="7" t="s">
        <v>1043</v>
      </c>
      <c r="F416" s="5" t="s">
        <v>635</v>
      </c>
      <c r="G416" s="22"/>
    </row>
    <row r="417" spans="1:7" ht="20.25" customHeight="1">
      <c r="A417" s="10">
        <v>11359</v>
      </c>
      <c r="B417" s="10">
        <v>15359</v>
      </c>
      <c r="C417" s="10">
        <f t="shared" si="6"/>
        <v>11359</v>
      </c>
      <c r="D417" s="10" t="s">
        <v>549</v>
      </c>
      <c r="E417" s="7" t="s">
        <v>1044</v>
      </c>
      <c r="F417" s="5"/>
      <c r="G417" s="22"/>
    </row>
    <row r="418" spans="1:7" ht="20.25" customHeight="1">
      <c r="A418" s="10">
        <v>11360</v>
      </c>
      <c r="B418" s="10">
        <v>15360</v>
      </c>
      <c r="C418" s="10">
        <f t="shared" si="6"/>
        <v>11360</v>
      </c>
      <c r="D418" s="10" t="s">
        <v>549</v>
      </c>
      <c r="E418" s="7" t="s">
        <v>1045</v>
      </c>
      <c r="F418" s="5"/>
      <c r="G418" s="22" t="s">
        <v>592</v>
      </c>
    </row>
    <row r="419" spans="1:7" ht="20.25" customHeight="1">
      <c r="A419" s="10">
        <v>11361</v>
      </c>
      <c r="B419" s="10">
        <v>15361</v>
      </c>
      <c r="C419" s="10">
        <f t="shared" si="6"/>
        <v>11361</v>
      </c>
      <c r="D419" s="10" t="s">
        <v>549</v>
      </c>
      <c r="E419" s="7" t="s">
        <v>1046</v>
      </c>
      <c r="F419" s="5"/>
      <c r="G419" s="22"/>
    </row>
    <row r="420" spans="1:7" ht="20.25" customHeight="1">
      <c r="A420" s="10">
        <v>11362</v>
      </c>
      <c r="B420" s="10">
        <v>15362</v>
      </c>
      <c r="C420" s="10">
        <f t="shared" si="6"/>
        <v>11362</v>
      </c>
      <c r="D420" s="10" t="s">
        <v>549</v>
      </c>
      <c r="E420" s="7" t="s">
        <v>1047</v>
      </c>
      <c r="F420" s="5"/>
      <c r="G420" s="22"/>
    </row>
    <row r="421" spans="1:7" ht="20.25" customHeight="1">
      <c r="A421" s="10">
        <v>11363</v>
      </c>
      <c r="B421" s="10">
        <v>15363</v>
      </c>
      <c r="C421" s="10">
        <f t="shared" si="6"/>
        <v>11363</v>
      </c>
      <c r="D421" s="10" t="s">
        <v>549</v>
      </c>
      <c r="E421" s="7" t="s">
        <v>1048</v>
      </c>
      <c r="F421" s="5"/>
      <c r="G421" s="22" t="s">
        <v>1049</v>
      </c>
    </row>
    <row r="422" spans="1:7" ht="20.25" customHeight="1">
      <c r="A422" s="10">
        <v>11364</v>
      </c>
      <c r="B422" s="10">
        <v>15364</v>
      </c>
      <c r="C422" s="10">
        <f t="shared" si="6"/>
        <v>11364</v>
      </c>
      <c r="D422" s="10" t="s">
        <v>549</v>
      </c>
      <c r="E422" s="7" t="s">
        <v>1050</v>
      </c>
      <c r="F422" s="5"/>
      <c r="G422" s="22" t="s">
        <v>1049</v>
      </c>
    </row>
    <row r="423" spans="1:7" ht="20.25" customHeight="1">
      <c r="A423" s="10">
        <v>6000</v>
      </c>
      <c r="B423" s="10">
        <v>15365</v>
      </c>
      <c r="C423" s="10">
        <f t="shared" si="6"/>
        <v>6000</v>
      </c>
      <c r="D423" s="10" t="s">
        <v>549</v>
      </c>
      <c r="E423" s="7" t="s">
        <v>1051</v>
      </c>
      <c r="F423" s="5"/>
      <c r="G423" s="22"/>
    </row>
    <row r="424" spans="1:7" ht="20.25" customHeight="1">
      <c r="A424" s="10">
        <v>11365</v>
      </c>
      <c r="B424" s="10">
        <v>15365</v>
      </c>
      <c r="C424" s="10">
        <f t="shared" si="6"/>
        <v>11365</v>
      </c>
      <c r="D424" s="10" t="s">
        <v>549</v>
      </c>
      <c r="E424" s="7" t="s">
        <v>1052</v>
      </c>
      <c r="F424" s="5"/>
      <c r="G424" s="22"/>
    </row>
    <row r="425" spans="1:7" ht="20.25" customHeight="1">
      <c r="A425" s="10">
        <v>11366</v>
      </c>
      <c r="B425" s="10">
        <v>15366</v>
      </c>
      <c r="C425" s="10">
        <f t="shared" si="6"/>
        <v>11366</v>
      </c>
      <c r="D425" s="10"/>
      <c r="E425" s="7" t="s">
        <v>1053</v>
      </c>
      <c r="F425" s="5"/>
      <c r="G425" s="22"/>
    </row>
    <row r="426" spans="1:7" ht="20.25" customHeight="1">
      <c r="A426" s="10">
        <v>11367</v>
      </c>
      <c r="B426" s="10">
        <v>15367</v>
      </c>
      <c r="C426" s="10">
        <f t="shared" si="6"/>
        <v>11367</v>
      </c>
      <c r="D426" s="10" t="s">
        <v>549</v>
      </c>
      <c r="E426" s="7" t="s">
        <v>1054</v>
      </c>
      <c r="F426" s="5"/>
      <c r="G426" s="22" t="s">
        <v>1055</v>
      </c>
    </row>
    <row r="427" spans="1:7" ht="20.25" customHeight="1">
      <c r="A427" s="10">
        <v>11368</v>
      </c>
      <c r="B427" s="10">
        <v>15368</v>
      </c>
      <c r="C427" s="10">
        <f t="shared" si="6"/>
        <v>11368</v>
      </c>
      <c r="D427" s="10" t="s">
        <v>549</v>
      </c>
      <c r="E427" s="7" t="s">
        <v>591</v>
      </c>
      <c r="F427" s="5"/>
      <c r="G427" s="22" t="s">
        <v>592</v>
      </c>
    </row>
    <row r="428" spans="1:7" ht="20.25" customHeight="1">
      <c r="A428" s="10">
        <v>11369</v>
      </c>
      <c r="B428" s="10">
        <v>15369</v>
      </c>
      <c r="C428" s="10">
        <f t="shared" si="6"/>
        <v>11369</v>
      </c>
      <c r="D428" s="10" t="s">
        <v>549</v>
      </c>
      <c r="E428" s="7" t="s">
        <v>1056</v>
      </c>
      <c r="F428" s="5" t="s">
        <v>1057</v>
      </c>
      <c r="G428" s="22"/>
    </row>
    <row r="429" spans="1:7" ht="20.25" customHeight="1">
      <c r="A429" s="10">
        <v>11370</v>
      </c>
      <c r="B429" s="10">
        <v>15370</v>
      </c>
      <c r="C429" s="10">
        <f t="shared" si="6"/>
        <v>11370</v>
      </c>
      <c r="D429" s="10" t="s">
        <v>549</v>
      </c>
      <c r="E429" s="7" t="s">
        <v>1058</v>
      </c>
      <c r="F429" s="5"/>
      <c r="G429" s="22" t="s">
        <v>1055</v>
      </c>
    </row>
    <row r="430" spans="1:7" ht="20.25" customHeight="1">
      <c r="A430" s="10">
        <v>11371</v>
      </c>
      <c r="B430" s="10">
        <v>15371</v>
      </c>
      <c r="C430" s="10">
        <f t="shared" si="6"/>
        <v>11371</v>
      </c>
      <c r="D430" s="10" t="s">
        <v>549</v>
      </c>
      <c r="E430" s="1" t="s">
        <v>1059</v>
      </c>
      <c r="F430" s="5"/>
      <c r="G430" s="22" t="s">
        <v>1055</v>
      </c>
    </row>
    <row r="431" spans="1:7" ht="20.25" customHeight="1">
      <c r="A431" s="10">
        <v>11372</v>
      </c>
      <c r="B431" s="10">
        <v>15372</v>
      </c>
      <c r="C431" s="10">
        <f t="shared" si="6"/>
        <v>11372</v>
      </c>
      <c r="D431" s="10" t="s">
        <v>549</v>
      </c>
      <c r="E431" s="7" t="s">
        <v>1060</v>
      </c>
      <c r="F431" s="5"/>
      <c r="G431" s="22"/>
    </row>
    <row r="432" spans="1:7" ht="20.25" customHeight="1">
      <c r="A432" s="10">
        <v>11373</v>
      </c>
      <c r="B432" s="10">
        <v>15373</v>
      </c>
      <c r="C432" s="10">
        <f t="shared" si="6"/>
        <v>11373</v>
      </c>
      <c r="D432" s="10" t="s">
        <v>549</v>
      </c>
      <c r="E432" s="7" t="s">
        <v>1061</v>
      </c>
      <c r="F432" s="5"/>
      <c r="G432" s="22"/>
    </row>
    <row r="433" spans="1:7" ht="20.25" customHeight="1">
      <c r="A433" s="10">
        <v>11374</v>
      </c>
      <c r="B433" s="10">
        <v>15374</v>
      </c>
      <c r="C433" s="10">
        <f t="shared" si="6"/>
        <v>11374</v>
      </c>
      <c r="D433" s="10" t="s">
        <v>549</v>
      </c>
      <c r="E433" s="7" t="s">
        <v>1062</v>
      </c>
      <c r="F433" s="5"/>
      <c r="G433" s="22"/>
    </row>
    <row r="434" spans="1:7" ht="20.25" customHeight="1">
      <c r="A434" s="10">
        <v>11375</v>
      </c>
      <c r="B434" s="10">
        <v>15375</v>
      </c>
      <c r="C434" s="10">
        <f t="shared" si="6"/>
        <v>11375</v>
      </c>
      <c r="D434" s="10" t="s">
        <v>549</v>
      </c>
      <c r="E434" s="7" t="s">
        <v>1063</v>
      </c>
      <c r="F434" s="5"/>
      <c r="G434" s="22"/>
    </row>
    <row r="435" spans="1:7" ht="20.25" customHeight="1">
      <c r="A435" s="10">
        <v>11376</v>
      </c>
      <c r="B435" s="10">
        <v>15376</v>
      </c>
      <c r="C435" s="10">
        <f t="shared" si="6"/>
        <v>11376</v>
      </c>
      <c r="D435" s="10" t="s">
        <v>549</v>
      </c>
      <c r="E435" s="7" t="s">
        <v>1064</v>
      </c>
      <c r="F435" s="5"/>
      <c r="G435" s="22"/>
    </row>
    <row r="436" spans="1:7" ht="20.25" customHeight="1">
      <c r="A436" s="10">
        <v>11377</v>
      </c>
      <c r="B436" s="10">
        <v>15377</v>
      </c>
      <c r="C436" s="10">
        <f t="shared" si="6"/>
        <v>11377</v>
      </c>
      <c r="D436" s="10" t="s">
        <v>549</v>
      </c>
      <c r="E436" s="7" t="s">
        <v>1065</v>
      </c>
      <c r="F436" s="5"/>
      <c r="G436" s="22" t="s">
        <v>1066</v>
      </c>
    </row>
    <row r="437" spans="1:7" ht="20.25" customHeight="1">
      <c r="A437" s="10">
        <v>11378</v>
      </c>
      <c r="B437" s="10">
        <v>15378</v>
      </c>
      <c r="C437" s="10">
        <f t="shared" si="6"/>
        <v>21378</v>
      </c>
      <c r="D437" s="10" t="s">
        <v>567</v>
      </c>
      <c r="E437" s="7" t="s">
        <v>1067</v>
      </c>
      <c r="F437" s="5" t="s">
        <v>619</v>
      </c>
      <c r="G437" s="22"/>
    </row>
    <row r="438" spans="1:7" ht="20.25" customHeight="1">
      <c r="A438" s="10">
        <v>11379</v>
      </c>
      <c r="B438" s="10">
        <v>15379</v>
      </c>
      <c r="C438" s="10">
        <f t="shared" si="6"/>
        <v>21379</v>
      </c>
      <c r="D438" s="10" t="s">
        <v>567</v>
      </c>
      <c r="E438" s="7" t="s">
        <v>1068</v>
      </c>
      <c r="F438" s="5" t="s">
        <v>619</v>
      </c>
      <c r="G438" s="22"/>
    </row>
    <row r="439" spans="1:7" ht="20.25" customHeight="1">
      <c r="A439" s="10">
        <v>11380</v>
      </c>
      <c r="B439" s="10">
        <v>15380</v>
      </c>
      <c r="C439" s="10">
        <f t="shared" si="6"/>
        <v>11380</v>
      </c>
      <c r="D439" s="10" t="s">
        <v>549</v>
      </c>
      <c r="E439" s="7" t="s">
        <v>1069</v>
      </c>
      <c r="F439" s="5"/>
      <c r="G439" s="22"/>
    </row>
    <row r="440" spans="1:7" ht="20.25" customHeight="1">
      <c r="A440" s="10">
        <v>11381</v>
      </c>
      <c r="B440" s="10">
        <v>15381</v>
      </c>
      <c r="C440" s="10">
        <f t="shared" si="6"/>
        <v>11381</v>
      </c>
      <c r="D440" s="10" t="s">
        <v>549</v>
      </c>
      <c r="E440" s="7" t="s">
        <v>1070</v>
      </c>
      <c r="F440" s="5"/>
      <c r="G440" s="22" t="s">
        <v>1066</v>
      </c>
    </row>
    <row r="441" spans="1:7" ht="20.25" customHeight="1">
      <c r="A441" s="10">
        <v>11382</v>
      </c>
      <c r="B441" s="10">
        <v>15382</v>
      </c>
      <c r="C441" s="10">
        <f t="shared" si="6"/>
        <v>11382</v>
      </c>
      <c r="D441" s="10" t="s">
        <v>549</v>
      </c>
      <c r="E441" s="7" t="s">
        <v>1071</v>
      </c>
      <c r="F441" s="5"/>
      <c r="G441" s="22"/>
    </row>
    <row r="442" spans="1:7" ht="20.25" customHeight="1">
      <c r="A442" s="10">
        <v>11383</v>
      </c>
      <c r="B442" s="10">
        <v>15383</v>
      </c>
      <c r="C442" s="10">
        <f t="shared" si="6"/>
        <v>11383</v>
      </c>
      <c r="D442" s="10" t="s">
        <v>549</v>
      </c>
      <c r="E442" s="7" t="s">
        <v>1072</v>
      </c>
      <c r="F442" s="5"/>
      <c r="G442" s="22"/>
    </row>
    <row r="443" spans="1:7" ht="20.25" customHeight="1">
      <c r="A443" s="10">
        <v>11384</v>
      </c>
      <c r="B443" s="10">
        <v>15384</v>
      </c>
      <c r="C443" s="10">
        <f t="shared" si="6"/>
        <v>11384</v>
      </c>
      <c r="D443" s="10" t="s">
        <v>549</v>
      </c>
      <c r="E443" s="7" t="s">
        <v>1073</v>
      </c>
      <c r="F443" s="5"/>
      <c r="G443" s="22"/>
    </row>
    <row r="444" spans="1:7" ht="20.25" customHeight="1">
      <c r="A444" s="10">
        <v>11385</v>
      </c>
      <c r="B444" s="10">
        <v>15385</v>
      </c>
      <c r="C444" s="10">
        <f t="shared" si="6"/>
        <v>11385</v>
      </c>
      <c r="D444" s="10" t="s">
        <v>549</v>
      </c>
      <c r="E444" s="7" t="s">
        <v>1074</v>
      </c>
      <c r="F444" s="5"/>
      <c r="G444" s="22"/>
    </row>
    <row r="445" spans="1:7" ht="20.25" customHeight="1">
      <c r="A445" s="10">
        <v>11386</v>
      </c>
      <c r="B445" s="10">
        <v>15386</v>
      </c>
      <c r="C445" s="10">
        <f t="shared" si="6"/>
        <v>11386</v>
      </c>
      <c r="D445" s="10" t="s">
        <v>549</v>
      </c>
      <c r="E445" s="7" t="s">
        <v>1075</v>
      </c>
      <c r="F445" s="5"/>
      <c r="G445" s="22" t="s">
        <v>1076</v>
      </c>
    </row>
    <row r="446" spans="1:7" ht="20.25" customHeight="1">
      <c r="A446" s="10">
        <v>11387</v>
      </c>
      <c r="B446" s="10">
        <v>15387</v>
      </c>
      <c r="C446" s="10">
        <f t="shared" si="6"/>
        <v>11387</v>
      </c>
      <c r="D446" s="10" t="s">
        <v>549</v>
      </c>
      <c r="E446" s="7" t="s">
        <v>1077</v>
      </c>
      <c r="F446" s="5"/>
      <c r="G446" s="22"/>
    </row>
    <row r="447" spans="1:7" ht="20.25" customHeight="1">
      <c r="A447" s="10">
        <v>11388</v>
      </c>
      <c r="B447" s="10">
        <v>15388</v>
      </c>
      <c r="C447" s="10">
        <f t="shared" si="6"/>
        <v>11388</v>
      </c>
      <c r="D447" s="10" t="s">
        <v>549</v>
      </c>
      <c r="E447" s="7" t="s">
        <v>1078</v>
      </c>
      <c r="F447" s="5"/>
      <c r="G447" s="22"/>
    </row>
    <row r="448" spans="1:7" ht="20.25" customHeight="1">
      <c r="A448" s="10">
        <v>11390</v>
      </c>
      <c r="B448" s="10">
        <v>15390</v>
      </c>
      <c r="C448" s="10">
        <f t="shared" si="6"/>
        <v>11390</v>
      </c>
      <c r="D448" s="10" t="s">
        <v>549</v>
      </c>
      <c r="E448" s="8" t="s">
        <v>1079</v>
      </c>
      <c r="F448" s="5"/>
      <c r="G448" s="22"/>
    </row>
    <row r="449" spans="1:7" ht="20.25" customHeight="1">
      <c r="A449" s="10">
        <v>11391</v>
      </c>
      <c r="B449" s="10">
        <v>15391</v>
      </c>
      <c r="C449" s="10">
        <f t="shared" si="6"/>
        <v>21391</v>
      </c>
      <c r="D449" s="10" t="s">
        <v>567</v>
      </c>
      <c r="E449" s="8" t="s">
        <v>1080</v>
      </c>
      <c r="F449" s="5" t="s">
        <v>619</v>
      </c>
      <c r="G449" s="22"/>
    </row>
    <row r="450" spans="1:7" ht="20.25" customHeight="1">
      <c r="A450" s="10">
        <v>11392</v>
      </c>
      <c r="B450" s="10">
        <v>15392</v>
      </c>
      <c r="C450" s="10">
        <f t="shared" si="6"/>
        <v>21392</v>
      </c>
      <c r="D450" s="10" t="s">
        <v>567</v>
      </c>
      <c r="E450" s="7" t="s">
        <v>1081</v>
      </c>
      <c r="F450" s="5" t="s">
        <v>619</v>
      </c>
      <c r="G450" s="22"/>
    </row>
    <row r="451" spans="1:7" ht="20.25" customHeight="1">
      <c r="A451" s="10">
        <v>11393</v>
      </c>
      <c r="B451" s="10">
        <v>15393</v>
      </c>
      <c r="C451" s="10">
        <f t="shared" si="6"/>
        <v>21393</v>
      </c>
      <c r="D451" s="10" t="s">
        <v>567</v>
      </c>
      <c r="E451" s="7" t="s">
        <v>1082</v>
      </c>
      <c r="F451" s="5" t="s">
        <v>619</v>
      </c>
      <c r="G451" s="22"/>
    </row>
    <row r="452" spans="1:7" ht="20.25" customHeight="1">
      <c r="A452" s="10">
        <v>11394</v>
      </c>
      <c r="B452" s="10">
        <v>15394</v>
      </c>
      <c r="C452" s="10">
        <f t="shared" si="6"/>
        <v>11394</v>
      </c>
      <c r="D452" s="10" t="s">
        <v>549</v>
      </c>
      <c r="E452" s="7" t="s">
        <v>1083</v>
      </c>
      <c r="F452" s="5"/>
      <c r="G452" s="22"/>
    </row>
    <row r="453" spans="1:7" ht="20.25" customHeight="1">
      <c r="A453" s="10">
        <v>11395</v>
      </c>
      <c r="B453" s="10">
        <v>15395</v>
      </c>
      <c r="C453" s="10">
        <f t="shared" ref="C453:C516" si="7">IF(ISERROR(FIND("B_Epic",E453)),A453,A453+10000)</f>
        <v>21395</v>
      </c>
      <c r="D453" s="10" t="s">
        <v>567</v>
      </c>
      <c r="E453" s="7" t="s">
        <v>1084</v>
      </c>
      <c r="F453" s="5" t="s">
        <v>619</v>
      </c>
      <c r="G453" s="22"/>
    </row>
    <row r="454" spans="1:7" ht="20.25" customHeight="1">
      <c r="A454" s="10">
        <v>11396</v>
      </c>
      <c r="B454" s="10">
        <v>15396</v>
      </c>
      <c r="C454" s="10">
        <f t="shared" si="7"/>
        <v>11396</v>
      </c>
      <c r="D454" s="10" t="s">
        <v>549</v>
      </c>
      <c r="E454" s="7" t="s">
        <v>1085</v>
      </c>
      <c r="F454" s="5"/>
      <c r="G454" s="22" t="s">
        <v>982</v>
      </c>
    </row>
    <row r="455" spans="1:7" ht="20.25" customHeight="1">
      <c r="A455" s="10">
        <v>11397</v>
      </c>
      <c r="B455" s="10">
        <v>15397</v>
      </c>
      <c r="C455" s="10">
        <f t="shared" si="7"/>
        <v>21397</v>
      </c>
      <c r="D455" s="10" t="s">
        <v>567</v>
      </c>
      <c r="E455" s="7" t="s">
        <v>1086</v>
      </c>
      <c r="F455" s="5" t="s">
        <v>619</v>
      </c>
      <c r="G455" s="22"/>
    </row>
    <row r="456" spans="1:7" ht="20.25" customHeight="1">
      <c r="A456" s="10">
        <v>11398</v>
      </c>
      <c r="B456" s="10">
        <v>15398</v>
      </c>
      <c r="C456" s="10">
        <f t="shared" si="7"/>
        <v>11398</v>
      </c>
      <c r="D456" s="10" t="s">
        <v>549</v>
      </c>
      <c r="E456" s="7" t="s">
        <v>1087</v>
      </c>
      <c r="F456" s="5"/>
      <c r="G456" s="22"/>
    </row>
    <row r="457" spans="1:7" ht="20.25" customHeight="1">
      <c r="A457" s="10">
        <v>11399</v>
      </c>
      <c r="B457" s="10">
        <v>15399</v>
      </c>
      <c r="C457" s="10">
        <f t="shared" si="7"/>
        <v>21399</v>
      </c>
      <c r="D457" s="10" t="s">
        <v>567</v>
      </c>
      <c r="E457" s="7" t="s">
        <v>1088</v>
      </c>
      <c r="F457" s="5" t="s">
        <v>619</v>
      </c>
      <c r="G457" s="22"/>
    </row>
    <row r="458" spans="1:7" ht="20.25" customHeight="1">
      <c r="A458" s="10">
        <v>11400</v>
      </c>
      <c r="B458" s="10">
        <v>15400</v>
      </c>
      <c r="C458" s="10">
        <f t="shared" si="7"/>
        <v>11400</v>
      </c>
      <c r="D458" s="10" t="s">
        <v>549</v>
      </c>
      <c r="E458" s="7" t="s">
        <v>1089</v>
      </c>
      <c r="F458" s="5"/>
      <c r="G458" s="22"/>
    </row>
    <row r="459" spans="1:7" ht="20.25" customHeight="1">
      <c r="A459" s="10">
        <v>11401</v>
      </c>
      <c r="B459" s="10">
        <v>15401</v>
      </c>
      <c r="C459" s="10">
        <f t="shared" si="7"/>
        <v>11401</v>
      </c>
      <c r="D459" s="10" t="s">
        <v>549</v>
      </c>
      <c r="E459" s="7" t="s">
        <v>1090</v>
      </c>
      <c r="F459" s="5"/>
      <c r="G459" s="22"/>
    </row>
    <row r="460" spans="1:7" ht="20.25" customHeight="1">
      <c r="A460" s="10">
        <v>11402</v>
      </c>
      <c r="B460" s="10">
        <v>15402</v>
      </c>
      <c r="C460" s="10">
        <f t="shared" si="7"/>
        <v>11402</v>
      </c>
      <c r="D460" s="10" t="s">
        <v>67</v>
      </c>
      <c r="E460" s="7" t="s">
        <v>1091</v>
      </c>
      <c r="F460" s="5"/>
      <c r="G460" s="22"/>
    </row>
    <row r="461" spans="1:7" ht="20.25" customHeight="1">
      <c r="A461" s="10">
        <v>11403</v>
      </c>
      <c r="B461" s="10">
        <v>15403</v>
      </c>
      <c r="C461" s="10">
        <f t="shared" si="7"/>
        <v>11403</v>
      </c>
      <c r="D461" s="10" t="s">
        <v>549</v>
      </c>
      <c r="E461" s="7" t="s">
        <v>1092</v>
      </c>
      <c r="F461" s="5"/>
      <c r="G461" s="22"/>
    </row>
    <row r="462" spans="1:7" ht="20.25" customHeight="1">
      <c r="A462" s="10">
        <v>11404</v>
      </c>
      <c r="B462" s="10">
        <v>15404</v>
      </c>
      <c r="C462" s="10">
        <f t="shared" si="7"/>
        <v>11404</v>
      </c>
      <c r="D462" s="10" t="s">
        <v>549</v>
      </c>
      <c r="E462" s="7" t="s">
        <v>1093</v>
      </c>
      <c r="F462" s="5" t="s">
        <v>1094</v>
      </c>
      <c r="G462" s="22"/>
    </row>
    <row r="463" spans="1:7" ht="20.25" customHeight="1">
      <c r="A463" s="10">
        <v>11405</v>
      </c>
      <c r="B463" s="10">
        <v>15405</v>
      </c>
      <c r="C463" s="10">
        <f t="shared" si="7"/>
        <v>11405</v>
      </c>
      <c r="D463" s="10" t="s">
        <v>549</v>
      </c>
      <c r="E463" s="7" t="s">
        <v>1095</v>
      </c>
      <c r="F463" s="5"/>
      <c r="G463" s="22"/>
    </row>
    <row r="464" spans="1:7" ht="20.25" customHeight="1">
      <c r="A464" s="10">
        <v>11406</v>
      </c>
      <c r="B464" s="10">
        <v>15406</v>
      </c>
      <c r="C464" s="10">
        <f t="shared" si="7"/>
        <v>11406</v>
      </c>
      <c r="D464" s="10" t="s">
        <v>549</v>
      </c>
      <c r="E464" s="7" t="s">
        <v>1096</v>
      </c>
      <c r="F464" s="5"/>
      <c r="G464" s="22"/>
    </row>
    <row r="465" spans="1:7" ht="20.25" customHeight="1">
      <c r="A465" s="10">
        <v>11407</v>
      </c>
      <c r="B465" s="10">
        <v>15407</v>
      </c>
      <c r="C465" s="10">
        <f t="shared" si="7"/>
        <v>11407</v>
      </c>
      <c r="D465" s="10" t="s">
        <v>549</v>
      </c>
      <c r="E465" s="7" t="s">
        <v>1097</v>
      </c>
      <c r="F465" s="5"/>
      <c r="G465" s="22"/>
    </row>
    <row r="466" spans="1:7" ht="20.25" customHeight="1">
      <c r="A466" s="10">
        <v>11408</v>
      </c>
      <c r="B466" s="10">
        <v>15408</v>
      </c>
      <c r="C466" s="10">
        <f t="shared" si="7"/>
        <v>21408</v>
      </c>
      <c r="D466" s="10" t="s">
        <v>567</v>
      </c>
      <c r="E466" s="7" t="s">
        <v>1098</v>
      </c>
      <c r="F466" s="5" t="s">
        <v>619</v>
      </c>
      <c r="G466" s="22"/>
    </row>
    <row r="467" spans="1:7" ht="20.25" customHeight="1">
      <c r="A467" s="10">
        <v>11409</v>
      </c>
      <c r="B467" s="10">
        <v>15409</v>
      </c>
      <c r="C467" s="10">
        <f t="shared" si="7"/>
        <v>11409</v>
      </c>
      <c r="D467" s="10" t="s">
        <v>549</v>
      </c>
      <c r="E467" s="7" t="s">
        <v>1099</v>
      </c>
      <c r="F467" s="5"/>
      <c r="G467" s="22"/>
    </row>
    <row r="468" spans="1:7" ht="20.25" customHeight="1">
      <c r="A468" s="10">
        <v>11410</v>
      </c>
      <c r="B468" s="10">
        <v>15410</v>
      </c>
      <c r="C468" s="10">
        <f t="shared" si="7"/>
        <v>11410</v>
      </c>
      <c r="D468" s="10" t="s">
        <v>549</v>
      </c>
      <c r="E468" s="7" t="s">
        <v>1100</v>
      </c>
      <c r="F468" s="5"/>
      <c r="G468" s="22" t="s">
        <v>1101</v>
      </c>
    </row>
    <row r="469" spans="1:7" ht="20.25" customHeight="1">
      <c r="A469" s="10">
        <v>11411</v>
      </c>
      <c r="B469" s="10">
        <v>15411</v>
      </c>
      <c r="C469" s="10">
        <f t="shared" si="7"/>
        <v>11411</v>
      </c>
      <c r="D469" s="10" t="s">
        <v>549</v>
      </c>
      <c r="E469" s="7" t="s">
        <v>1102</v>
      </c>
      <c r="F469" s="5"/>
      <c r="G469" s="22"/>
    </row>
    <row r="470" spans="1:7" ht="20.25" customHeight="1">
      <c r="A470" s="10">
        <v>11412</v>
      </c>
      <c r="B470" s="10">
        <v>15412</v>
      </c>
      <c r="C470" s="10">
        <f t="shared" si="7"/>
        <v>11412</v>
      </c>
      <c r="D470" s="10" t="s">
        <v>549</v>
      </c>
      <c r="E470" s="7" t="s">
        <v>1103</v>
      </c>
      <c r="F470" s="5"/>
      <c r="G470" s="22"/>
    </row>
    <row r="471" spans="1:7" ht="20.25" customHeight="1">
      <c r="A471" s="10">
        <v>11413</v>
      </c>
      <c r="B471" s="10">
        <v>15413</v>
      </c>
      <c r="C471" s="10">
        <f t="shared" si="7"/>
        <v>11413</v>
      </c>
      <c r="D471" s="10" t="s">
        <v>549</v>
      </c>
      <c r="E471" s="7" t="s">
        <v>1104</v>
      </c>
      <c r="F471" s="5"/>
      <c r="G471" s="22"/>
    </row>
    <row r="472" spans="1:7" ht="20.25" customHeight="1">
      <c r="A472" s="10">
        <v>11414</v>
      </c>
      <c r="B472" s="10">
        <v>15414</v>
      </c>
      <c r="C472" s="10">
        <f t="shared" si="7"/>
        <v>11414</v>
      </c>
      <c r="D472" s="10" t="s">
        <v>549</v>
      </c>
      <c r="E472" s="7" t="s">
        <v>1105</v>
      </c>
      <c r="F472" s="5"/>
      <c r="G472" s="22"/>
    </row>
    <row r="473" spans="1:7" ht="20.25" customHeight="1">
      <c r="A473" s="10">
        <v>11415</v>
      </c>
      <c r="B473" s="10">
        <v>15415</v>
      </c>
      <c r="C473" s="10">
        <f t="shared" si="7"/>
        <v>11415</v>
      </c>
      <c r="D473" s="10" t="s">
        <v>549</v>
      </c>
      <c r="E473" s="7" t="s">
        <v>1106</v>
      </c>
      <c r="F473" s="5"/>
      <c r="G473" s="22" t="s">
        <v>1107</v>
      </c>
    </row>
    <row r="474" spans="1:7" ht="20.25" customHeight="1">
      <c r="A474" s="10">
        <v>11416</v>
      </c>
      <c r="B474" s="10">
        <v>15416</v>
      </c>
      <c r="C474" s="10">
        <f t="shared" si="7"/>
        <v>11416</v>
      </c>
      <c r="D474" s="10" t="s">
        <v>549</v>
      </c>
      <c r="E474" s="7" t="s">
        <v>1108</v>
      </c>
      <c r="F474" s="5"/>
      <c r="G474" s="22" t="s">
        <v>1107</v>
      </c>
    </row>
    <row r="475" spans="1:7" ht="20.25" customHeight="1">
      <c r="A475" s="10">
        <v>11417</v>
      </c>
      <c r="B475" s="10">
        <v>15417</v>
      </c>
      <c r="C475" s="10">
        <f t="shared" si="7"/>
        <v>11417</v>
      </c>
      <c r="D475" s="10" t="s">
        <v>549</v>
      </c>
      <c r="E475" s="7" t="s">
        <v>1109</v>
      </c>
      <c r="F475" s="5"/>
      <c r="G475" s="22"/>
    </row>
    <row r="476" spans="1:7" ht="20.25" customHeight="1">
      <c r="A476" s="10">
        <v>11418</v>
      </c>
      <c r="B476" s="10">
        <v>15418</v>
      </c>
      <c r="C476" s="10">
        <f t="shared" si="7"/>
        <v>11418</v>
      </c>
      <c r="D476" s="10" t="s">
        <v>549</v>
      </c>
      <c r="E476" s="7" t="s">
        <v>1110</v>
      </c>
      <c r="F476" s="5"/>
      <c r="G476" s="22"/>
    </row>
    <row r="477" spans="1:7" ht="20.25" customHeight="1">
      <c r="A477" s="10">
        <v>11419</v>
      </c>
      <c r="B477" s="10">
        <v>15419</v>
      </c>
      <c r="C477" s="10">
        <f t="shared" si="7"/>
        <v>11419</v>
      </c>
      <c r="D477" s="10" t="s">
        <v>549</v>
      </c>
      <c r="E477" s="7" t="s">
        <v>1111</v>
      </c>
      <c r="F477" s="5"/>
      <c r="G477" s="22"/>
    </row>
    <row r="478" spans="1:7" ht="20.25" customHeight="1">
      <c r="A478" s="10">
        <v>11420</v>
      </c>
      <c r="B478" s="10">
        <v>15420</v>
      </c>
      <c r="C478" s="10">
        <f t="shared" si="7"/>
        <v>11420</v>
      </c>
      <c r="D478" s="10" t="s">
        <v>549</v>
      </c>
      <c r="E478" s="7" t="s">
        <v>1112</v>
      </c>
      <c r="F478" s="5" t="s">
        <v>1113</v>
      </c>
      <c r="G478" s="22"/>
    </row>
    <row r="479" spans="1:7" ht="20.25" customHeight="1">
      <c r="A479" s="10">
        <v>11421</v>
      </c>
      <c r="B479" s="10">
        <v>15421</v>
      </c>
      <c r="C479" s="10">
        <f t="shared" si="7"/>
        <v>11421</v>
      </c>
      <c r="D479" s="10" t="s">
        <v>549</v>
      </c>
      <c r="E479" s="7" t="s">
        <v>1114</v>
      </c>
      <c r="F479" s="5"/>
      <c r="G479" s="22" t="s">
        <v>592</v>
      </c>
    </row>
    <row r="480" spans="1:7" ht="20.25" customHeight="1">
      <c r="A480" s="10">
        <v>11422</v>
      </c>
      <c r="B480" s="10">
        <v>15422</v>
      </c>
      <c r="C480" s="10">
        <f t="shared" si="7"/>
        <v>11422</v>
      </c>
      <c r="D480" s="10" t="s">
        <v>549</v>
      </c>
      <c r="E480" s="7" t="s">
        <v>1115</v>
      </c>
      <c r="F480" s="5"/>
      <c r="G480" s="22" t="s">
        <v>592</v>
      </c>
    </row>
    <row r="481" spans="1:7" ht="20.25" customHeight="1">
      <c r="A481" s="10">
        <v>11423</v>
      </c>
      <c r="B481" s="10">
        <v>15423</v>
      </c>
      <c r="C481" s="10">
        <f t="shared" si="7"/>
        <v>11423</v>
      </c>
      <c r="D481" s="10" t="s">
        <v>549</v>
      </c>
      <c r="E481" s="7" t="s">
        <v>1116</v>
      </c>
      <c r="F481" s="5"/>
      <c r="G481" s="22" t="s">
        <v>1117</v>
      </c>
    </row>
    <row r="482" spans="1:7" ht="20.25" customHeight="1">
      <c r="A482" s="10">
        <v>11424</v>
      </c>
      <c r="B482" s="10">
        <v>15424</v>
      </c>
      <c r="C482" s="10">
        <f t="shared" si="7"/>
        <v>11424</v>
      </c>
      <c r="D482" s="10" t="s">
        <v>549</v>
      </c>
      <c r="E482" s="7" t="s">
        <v>1118</v>
      </c>
      <c r="F482" s="5"/>
      <c r="G482" s="22" t="s">
        <v>718</v>
      </c>
    </row>
    <row r="483" spans="1:7" ht="20.25" customHeight="1">
      <c r="A483" s="10">
        <v>11425</v>
      </c>
      <c r="B483" s="10">
        <v>15425</v>
      </c>
      <c r="C483" s="10">
        <f t="shared" si="7"/>
        <v>11425</v>
      </c>
      <c r="D483" s="10" t="s">
        <v>549</v>
      </c>
      <c r="E483" s="7" t="s">
        <v>1119</v>
      </c>
      <c r="F483" s="5"/>
      <c r="G483" s="22" t="s">
        <v>718</v>
      </c>
    </row>
    <row r="484" spans="1:7" ht="20.25" customHeight="1">
      <c r="A484" s="10">
        <v>11426</v>
      </c>
      <c r="B484" s="10">
        <v>15426</v>
      </c>
      <c r="C484" s="10">
        <f t="shared" si="7"/>
        <v>11426</v>
      </c>
      <c r="D484" s="10" t="s">
        <v>549</v>
      </c>
      <c r="E484" s="7" t="s">
        <v>1120</v>
      </c>
      <c r="F484" s="5"/>
      <c r="G484" s="22"/>
    </row>
    <row r="485" spans="1:7" ht="20.25" customHeight="1">
      <c r="A485" s="10">
        <v>11427</v>
      </c>
      <c r="B485" s="10">
        <v>15427</v>
      </c>
      <c r="C485" s="10">
        <f t="shared" si="7"/>
        <v>11427</v>
      </c>
      <c r="D485" s="10" t="s">
        <v>67</v>
      </c>
      <c r="E485" s="7" t="s">
        <v>1121</v>
      </c>
      <c r="F485" s="5"/>
      <c r="G485" s="22"/>
    </row>
    <row r="486" spans="1:7" ht="20.25" customHeight="1">
      <c r="A486" s="10">
        <v>11428</v>
      </c>
      <c r="B486" s="10">
        <v>15428</v>
      </c>
      <c r="C486" s="10">
        <f t="shared" si="7"/>
        <v>11428</v>
      </c>
      <c r="D486" s="10" t="s">
        <v>549</v>
      </c>
      <c r="E486" s="7"/>
      <c r="F486" s="5"/>
      <c r="G486" s="22"/>
    </row>
    <row r="487" spans="1:7" ht="20.25" customHeight="1">
      <c r="A487" s="10">
        <v>11429</v>
      </c>
      <c r="B487" s="10">
        <v>15429</v>
      </c>
      <c r="C487" s="10">
        <f t="shared" si="7"/>
        <v>11429</v>
      </c>
      <c r="D487" s="10" t="s">
        <v>549</v>
      </c>
      <c r="E487" s="7" t="s">
        <v>1122</v>
      </c>
      <c r="F487" s="5"/>
      <c r="G487" s="22"/>
    </row>
    <row r="488" spans="1:7" ht="20.25" customHeight="1">
      <c r="A488" s="10">
        <v>11430</v>
      </c>
      <c r="B488" s="10">
        <v>15430</v>
      </c>
      <c r="C488" s="10">
        <f t="shared" si="7"/>
        <v>11430</v>
      </c>
      <c r="D488" s="10" t="s">
        <v>549</v>
      </c>
      <c r="E488" s="7" t="s">
        <v>1123</v>
      </c>
      <c r="F488" s="5"/>
      <c r="G488" s="22"/>
    </row>
    <row r="489" spans="1:7" ht="20.25" customHeight="1">
      <c r="A489" s="10">
        <v>11431</v>
      </c>
      <c r="B489" s="10">
        <v>15431</v>
      </c>
      <c r="C489" s="10">
        <f t="shared" si="7"/>
        <v>11431</v>
      </c>
      <c r="D489" s="10" t="s">
        <v>549</v>
      </c>
      <c r="E489" s="7" t="s">
        <v>1124</v>
      </c>
      <c r="F489" s="5"/>
      <c r="G489" s="22"/>
    </row>
    <row r="490" spans="1:7" ht="20.25" customHeight="1">
      <c r="A490" s="10">
        <v>11432</v>
      </c>
      <c r="B490" s="10">
        <v>15432</v>
      </c>
      <c r="C490" s="10">
        <f t="shared" si="7"/>
        <v>11432</v>
      </c>
      <c r="D490" s="10" t="s">
        <v>549</v>
      </c>
      <c r="E490" s="7" t="s">
        <v>1125</v>
      </c>
      <c r="F490" s="5"/>
      <c r="G490" s="22" t="s">
        <v>264</v>
      </c>
    </row>
    <row r="491" spans="1:7" ht="20.25" customHeight="1">
      <c r="A491" s="10">
        <v>11433</v>
      </c>
      <c r="B491" s="10">
        <v>15433</v>
      </c>
      <c r="C491" s="10">
        <f t="shared" si="7"/>
        <v>11433</v>
      </c>
      <c r="D491" s="10" t="s">
        <v>549</v>
      </c>
      <c r="E491" s="7" t="s">
        <v>1126</v>
      </c>
      <c r="F491" s="5"/>
      <c r="G491" s="22" t="s">
        <v>264</v>
      </c>
    </row>
    <row r="492" spans="1:7" ht="20.25" customHeight="1">
      <c r="A492" s="10">
        <v>11434</v>
      </c>
      <c r="B492" s="10">
        <v>15434</v>
      </c>
      <c r="C492" s="10">
        <f t="shared" si="7"/>
        <v>11434</v>
      </c>
      <c r="D492" s="10" t="s">
        <v>549</v>
      </c>
      <c r="E492" s="7" t="s">
        <v>1127</v>
      </c>
      <c r="F492" s="5"/>
      <c r="G492" s="22"/>
    </row>
    <row r="493" spans="1:7" ht="20.25" customHeight="1">
      <c r="A493" s="10">
        <v>11435</v>
      </c>
      <c r="B493" s="10">
        <v>15435</v>
      </c>
      <c r="C493" s="10">
        <f t="shared" si="7"/>
        <v>11435</v>
      </c>
      <c r="D493" s="10" t="s">
        <v>549</v>
      </c>
      <c r="E493" s="7" t="s">
        <v>1128</v>
      </c>
      <c r="F493" s="5"/>
      <c r="G493" s="22" t="s">
        <v>1129</v>
      </c>
    </row>
    <row r="494" spans="1:7" ht="20.25" customHeight="1">
      <c r="A494" s="10">
        <v>11436</v>
      </c>
      <c r="B494" s="10">
        <v>15436</v>
      </c>
      <c r="C494" s="10">
        <f t="shared" si="7"/>
        <v>11436</v>
      </c>
      <c r="D494" s="10" t="s">
        <v>549</v>
      </c>
      <c r="E494" s="7" t="s">
        <v>1130</v>
      </c>
      <c r="F494" s="5"/>
      <c r="G494" s="22"/>
    </row>
    <row r="495" spans="1:7" ht="20.25" customHeight="1">
      <c r="A495" s="10">
        <v>11437</v>
      </c>
      <c r="B495" s="10">
        <v>15437</v>
      </c>
      <c r="C495" s="10">
        <f t="shared" si="7"/>
        <v>11437</v>
      </c>
      <c r="D495" s="10" t="s">
        <v>549</v>
      </c>
      <c r="E495" s="7" t="s">
        <v>1131</v>
      </c>
      <c r="F495" s="5"/>
      <c r="G495" s="22"/>
    </row>
    <row r="496" spans="1:7" ht="20.25" customHeight="1">
      <c r="A496" s="10">
        <v>11438</v>
      </c>
      <c r="B496" s="10">
        <v>15438</v>
      </c>
      <c r="C496" s="10">
        <f t="shared" si="7"/>
        <v>11438</v>
      </c>
      <c r="D496" s="10" t="s">
        <v>549</v>
      </c>
      <c r="E496" s="7" t="s">
        <v>1132</v>
      </c>
      <c r="F496" s="5"/>
      <c r="G496" s="22"/>
    </row>
    <row r="497" spans="1:7" ht="20.25" customHeight="1">
      <c r="A497" s="10">
        <v>11439</v>
      </c>
      <c r="B497" s="10">
        <v>15439</v>
      </c>
      <c r="C497" s="10">
        <f t="shared" si="7"/>
        <v>11439</v>
      </c>
      <c r="D497" s="10" t="s">
        <v>549</v>
      </c>
      <c r="E497" s="7" t="s">
        <v>1133</v>
      </c>
      <c r="F497" s="5"/>
      <c r="G497" s="22"/>
    </row>
    <row r="498" spans="1:7" ht="20.25" customHeight="1">
      <c r="A498" s="10">
        <v>11440</v>
      </c>
      <c r="B498" s="10">
        <v>15440</v>
      </c>
      <c r="C498" s="10">
        <f t="shared" si="7"/>
        <v>11440</v>
      </c>
      <c r="D498" s="10" t="s">
        <v>549</v>
      </c>
      <c r="E498" s="7" t="s">
        <v>1134</v>
      </c>
      <c r="F498" s="5"/>
      <c r="G498" s="22"/>
    </row>
    <row r="499" spans="1:7" ht="20.25" customHeight="1">
      <c r="A499" s="10">
        <v>11441</v>
      </c>
      <c r="B499" s="10">
        <v>15441</v>
      </c>
      <c r="C499" s="10">
        <f t="shared" si="7"/>
        <v>11441</v>
      </c>
      <c r="D499" s="10" t="s">
        <v>549</v>
      </c>
      <c r="E499" s="7" t="s">
        <v>1135</v>
      </c>
      <c r="F499" s="5"/>
      <c r="G499" s="22"/>
    </row>
    <row r="500" spans="1:7" ht="20.25" customHeight="1">
      <c r="A500" s="10">
        <v>11442</v>
      </c>
      <c r="B500" s="10">
        <v>15442</v>
      </c>
      <c r="C500" s="10">
        <f t="shared" si="7"/>
        <v>21442</v>
      </c>
      <c r="D500" s="10" t="s">
        <v>567</v>
      </c>
      <c r="E500" s="7" t="s">
        <v>1136</v>
      </c>
      <c r="F500" s="5" t="s">
        <v>619</v>
      </c>
      <c r="G500" s="22"/>
    </row>
    <row r="501" spans="1:7" ht="20.25" customHeight="1">
      <c r="A501" s="10">
        <v>11443</v>
      </c>
      <c r="B501" s="10">
        <v>15443</v>
      </c>
      <c r="C501" s="10">
        <f t="shared" si="7"/>
        <v>21443</v>
      </c>
      <c r="D501" s="10" t="s">
        <v>567</v>
      </c>
      <c r="E501" s="7" t="s">
        <v>1137</v>
      </c>
      <c r="F501" s="5" t="s">
        <v>619</v>
      </c>
      <c r="G501" s="22"/>
    </row>
    <row r="502" spans="1:7" ht="20.25" customHeight="1">
      <c r="A502" s="10">
        <v>11444</v>
      </c>
      <c r="B502" s="10">
        <v>15444</v>
      </c>
      <c r="C502" s="10">
        <f t="shared" si="7"/>
        <v>11444</v>
      </c>
      <c r="D502" s="10" t="s">
        <v>549</v>
      </c>
      <c r="E502" s="111" t="s">
        <v>1138</v>
      </c>
      <c r="F502" s="5"/>
      <c r="G502" s="22" t="s">
        <v>611</v>
      </c>
    </row>
    <row r="503" spans="1:7" ht="20.25" customHeight="1">
      <c r="A503" s="10">
        <v>11445</v>
      </c>
      <c r="B503" s="10">
        <v>15445</v>
      </c>
      <c r="C503" s="10">
        <f t="shared" si="7"/>
        <v>11445</v>
      </c>
      <c r="D503" s="10" t="s">
        <v>549</v>
      </c>
      <c r="E503" s="7" t="s">
        <v>1139</v>
      </c>
      <c r="F503" s="5"/>
      <c r="G503" s="22"/>
    </row>
    <row r="504" spans="1:7" ht="20.25" customHeight="1">
      <c r="A504" s="10">
        <v>11446</v>
      </c>
      <c r="B504" s="10">
        <v>15446</v>
      </c>
      <c r="C504" s="10">
        <f t="shared" si="7"/>
        <v>11446</v>
      </c>
      <c r="D504" s="10" t="s">
        <v>549</v>
      </c>
      <c r="E504" s="7" t="s">
        <v>1140</v>
      </c>
      <c r="F504" s="5"/>
      <c r="G504" s="22"/>
    </row>
    <row r="505" spans="1:7" ht="20.25" customHeight="1">
      <c r="A505" s="10">
        <v>11447</v>
      </c>
      <c r="B505" s="10">
        <v>15447</v>
      </c>
      <c r="C505" s="10">
        <f t="shared" si="7"/>
        <v>21447</v>
      </c>
      <c r="D505" s="10" t="s">
        <v>567</v>
      </c>
      <c r="E505" s="7" t="s">
        <v>1141</v>
      </c>
      <c r="F505" s="5" t="s">
        <v>619</v>
      </c>
      <c r="G505" s="22"/>
    </row>
    <row r="506" spans="1:7" ht="20.25" customHeight="1">
      <c r="A506" s="10">
        <v>11448</v>
      </c>
      <c r="B506" s="10">
        <v>15448</v>
      </c>
      <c r="C506" s="10">
        <f t="shared" si="7"/>
        <v>11448</v>
      </c>
      <c r="D506" s="10" t="s">
        <v>549</v>
      </c>
      <c r="E506" s="7" t="s">
        <v>1142</v>
      </c>
      <c r="F506" s="5"/>
      <c r="G506" s="22"/>
    </row>
    <row r="507" spans="1:7" ht="20.25" customHeight="1">
      <c r="A507" s="10">
        <v>11449</v>
      </c>
      <c r="B507" s="10">
        <v>15449</v>
      </c>
      <c r="C507" s="10">
        <f t="shared" si="7"/>
        <v>11449</v>
      </c>
      <c r="D507" s="10" t="s">
        <v>549</v>
      </c>
      <c r="E507" s="7" t="s">
        <v>1143</v>
      </c>
      <c r="F507" s="5"/>
      <c r="G507" s="22"/>
    </row>
    <row r="508" spans="1:7" ht="20.25" customHeight="1">
      <c r="A508" s="10">
        <v>11450</v>
      </c>
      <c r="B508" s="10">
        <v>15450</v>
      </c>
      <c r="C508" s="10">
        <f t="shared" si="7"/>
        <v>11450</v>
      </c>
      <c r="D508" s="10" t="s">
        <v>549</v>
      </c>
      <c r="E508" s="7" t="s">
        <v>1144</v>
      </c>
      <c r="F508" s="5"/>
      <c r="G508" s="22"/>
    </row>
    <row r="509" spans="1:7" ht="20.25" customHeight="1">
      <c r="A509" s="10">
        <v>11451</v>
      </c>
      <c r="B509" s="10">
        <v>15451</v>
      </c>
      <c r="C509" s="10">
        <f t="shared" si="7"/>
        <v>11451</v>
      </c>
      <c r="D509" s="10" t="s">
        <v>549</v>
      </c>
      <c r="E509" s="7" t="s">
        <v>1145</v>
      </c>
      <c r="F509" s="5"/>
      <c r="G509" s="22"/>
    </row>
    <row r="510" spans="1:7" ht="20.25" customHeight="1">
      <c r="A510" s="10">
        <v>11452</v>
      </c>
      <c r="B510" s="10">
        <v>15452</v>
      </c>
      <c r="C510" s="10">
        <f t="shared" si="7"/>
        <v>11452</v>
      </c>
      <c r="D510" s="10" t="s">
        <v>549</v>
      </c>
      <c r="E510" s="7" t="s">
        <v>1146</v>
      </c>
      <c r="F510" s="5"/>
      <c r="G510" s="22"/>
    </row>
    <row r="511" spans="1:7" ht="20.25" customHeight="1">
      <c r="A511" s="10">
        <v>11453</v>
      </c>
      <c r="B511" s="10">
        <v>15453</v>
      </c>
      <c r="C511" s="10">
        <f t="shared" si="7"/>
        <v>11453</v>
      </c>
      <c r="D511" s="10" t="s">
        <v>549</v>
      </c>
      <c r="E511" s="103" t="s">
        <v>1147</v>
      </c>
      <c r="F511" s="5"/>
      <c r="G511" s="22"/>
    </row>
    <row r="512" spans="1:7" ht="20.25" customHeight="1">
      <c r="A512" s="10">
        <v>11454</v>
      </c>
      <c r="B512" s="10">
        <v>15454</v>
      </c>
      <c r="C512" s="10">
        <f t="shared" si="7"/>
        <v>11454</v>
      </c>
      <c r="D512" s="10" t="s">
        <v>549</v>
      </c>
      <c r="E512" s="103" t="s">
        <v>1148</v>
      </c>
      <c r="F512" s="5"/>
      <c r="G512" s="22"/>
    </row>
    <row r="513" spans="1:7" ht="20.25" customHeight="1">
      <c r="A513" s="10">
        <v>11455</v>
      </c>
      <c r="B513" s="10">
        <v>15455</v>
      </c>
      <c r="C513" s="10">
        <f t="shared" si="7"/>
        <v>11455</v>
      </c>
      <c r="D513" s="10" t="s">
        <v>549</v>
      </c>
      <c r="E513" s="185" t="s">
        <v>1149</v>
      </c>
      <c r="F513" s="5"/>
      <c r="G513" s="22"/>
    </row>
    <row r="514" spans="1:7" ht="20.25" customHeight="1">
      <c r="A514" s="10">
        <v>11456</v>
      </c>
      <c r="B514" s="10">
        <v>15456</v>
      </c>
      <c r="C514" s="10">
        <f t="shared" si="7"/>
        <v>21456</v>
      </c>
      <c r="D514" s="10" t="s">
        <v>567</v>
      </c>
      <c r="E514" s="103" t="s">
        <v>1150</v>
      </c>
      <c r="F514" s="5" t="s">
        <v>619</v>
      </c>
      <c r="G514" s="22"/>
    </row>
    <row r="515" spans="1:7" ht="20.25" customHeight="1">
      <c r="A515" s="10">
        <v>11457</v>
      </c>
      <c r="B515" s="10">
        <v>15457</v>
      </c>
      <c r="C515" s="10">
        <f t="shared" si="7"/>
        <v>11457</v>
      </c>
      <c r="D515" s="10" t="s">
        <v>549</v>
      </c>
      <c r="E515" s="103" t="s">
        <v>1151</v>
      </c>
      <c r="F515" s="5"/>
      <c r="G515" s="22"/>
    </row>
    <row r="516" spans="1:7" ht="20.25" customHeight="1">
      <c r="A516" s="10">
        <v>11458</v>
      </c>
      <c r="B516" s="10">
        <v>15458</v>
      </c>
      <c r="C516" s="10">
        <f t="shared" si="7"/>
        <v>11458</v>
      </c>
      <c r="D516" s="10" t="s">
        <v>549</v>
      </c>
      <c r="E516" s="103" t="s">
        <v>1152</v>
      </c>
      <c r="F516" s="5"/>
      <c r="G516" s="22"/>
    </row>
    <row r="517" spans="1:7" ht="20.25" customHeight="1">
      <c r="A517" s="10">
        <v>11459</v>
      </c>
      <c r="B517" s="10">
        <v>15459</v>
      </c>
      <c r="C517" s="10">
        <f t="shared" ref="C517:C580" si="8">IF(ISERROR(FIND("B_Epic",E517)),A517,A517+10000)</f>
        <v>11459</v>
      </c>
      <c r="D517" s="10" t="s">
        <v>549</v>
      </c>
      <c r="E517" s="7" t="s">
        <v>1153</v>
      </c>
      <c r="F517" s="5"/>
      <c r="G517" s="22"/>
    </row>
    <row r="518" spans="1:7" ht="20.25" customHeight="1">
      <c r="A518" s="10">
        <v>11460</v>
      </c>
      <c r="B518" s="10">
        <v>15460</v>
      </c>
      <c r="C518" s="10">
        <f t="shared" si="8"/>
        <v>11460</v>
      </c>
      <c r="D518" s="10" t="s">
        <v>549</v>
      </c>
      <c r="E518" s="7" t="s">
        <v>1154</v>
      </c>
      <c r="F518" s="5"/>
      <c r="G518" s="22"/>
    </row>
    <row r="519" spans="1:7" ht="20.25" customHeight="1">
      <c r="A519" s="10">
        <v>11461</v>
      </c>
      <c r="B519" s="10">
        <v>15461</v>
      </c>
      <c r="C519" s="10">
        <f t="shared" si="8"/>
        <v>11461</v>
      </c>
      <c r="D519" s="10" t="s">
        <v>549</v>
      </c>
      <c r="E519" s="7" t="s">
        <v>1155</v>
      </c>
      <c r="F519" s="5"/>
      <c r="G519" s="22"/>
    </row>
    <row r="520" spans="1:7" ht="20.25" customHeight="1">
      <c r="A520" s="10">
        <v>11462</v>
      </c>
      <c r="B520" s="10">
        <v>15462</v>
      </c>
      <c r="C520" s="10">
        <f t="shared" si="8"/>
        <v>11462</v>
      </c>
      <c r="D520" s="10" t="s">
        <v>549</v>
      </c>
      <c r="E520" s="7" t="s">
        <v>1156</v>
      </c>
      <c r="F520" s="5"/>
      <c r="G520" s="22"/>
    </row>
    <row r="521" spans="1:7" ht="20.25" customHeight="1">
      <c r="A521" s="10">
        <v>11463</v>
      </c>
      <c r="B521" s="10">
        <v>15463</v>
      </c>
      <c r="C521" s="10">
        <f t="shared" si="8"/>
        <v>11463</v>
      </c>
      <c r="D521" s="10" t="s">
        <v>549</v>
      </c>
      <c r="E521" s="7" t="s">
        <v>1157</v>
      </c>
      <c r="F521" s="5"/>
      <c r="G521" s="22" t="s">
        <v>1158</v>
      </c>
    </row>
    <row r="522" spans="1:7" ht="20.25" customHeight="1">
      <c r="A522" s="10">
        <v>11464</v>
      </c>
      <c r="B522" s="10">
        <v>15464</v>
      </c>
      <c r="C522" s="10">
        <f t="shared" si="8"/>
        <v>11464</v>
      </c>
      <c r="D522" s="10" t="s">
        <v>549</v>
      </c>
      <c r="E522" s="7" t="s">
        <v>1159</v>
      </c>
      <c r="F522" s="5"/>
      <c r="G522" s="22"/>
    </row>
    <row r="523" spans="1:7" ht="20.25" customHeight="1">
      <c r="A523" s="10">
        <v>11465</v>
      </c>
      <c r="B523" s="10">
        <v>15465</v>
      </c>
      <c r="C523" s="10">
        <f t="shared" si="8"/>
        <v>11465</v>
      </c>
      <c r="D523" s="10" t="s">
        <v>67</v>
      </c>
      <c r="E523" s="7" t="s">
        <v>1160</v>
      </c>
      <c r="F523" s="5"/>
      <c r="G523" s="22"/>
    </row>
    <row r="524" spans="1:7" ht="20.25" customHeight="1">
      <c r="A524" s="10">
        <v>11466</v>
      </c>
      <c r="B524" s="10">
        <v>15466</v>
      </c>
      <c r="C524" s="10">
        <f t="shared" si="8"/>
        <v>11466</v>
      </c>
      <c r="D524" s="10" t="s">
        <v>549</v>
      </c>
      <c r="E524" s="7" t="s">
        <v>1161</v>
      </c>
      <c r="F524" s="5"/>
      <c r="G524" s="22" t="s">
        <v>1158</v>
      </c>
    </row>
    <row r="525" spans="1:7" ht="20.25" customHeight="1">
      <c r="A525" s="10">
        <v>11467</v>
      </c>
      <c r="B525" s="10">
        <v>15467</v>
      </c>
      <c r="C525" s="10">
        <f t="shared" si="8"/>
        <v>11467</v>
      </c>
      <c r="D525" s="10" t="s">
        <v>549</v>
      </c>
      <c r="E525" s="7" t="s">
        <v>1162</v>
      </c>
      <c r="F525" s="5"/>
      <c r="G525" s="22" t="s">
        <v>1158</v>
      </c>
    </row>
    <row r="526" spans="1:7" ht="20.25" customHeight="1">
      <c r="A526" s="10">
        <v>11468</v>
      </c>
      <c r="B526" s="10">
        <v>15468</v>
      </c>
      <c r="C526" s="10">
        <f t="shared" si="8"/>
        <v>11468</v>
      </c>
      <c r="D526" s="10" t="s">
        <v>549</v>
      </c>
      <c r="E526" s="7" t="s">
        <v>1163</v>
      </c>
      <c r="F526" s="5"/>
      <c r="G526" s="22"/>
    </row>
    <row r="527" spans="1:7" ht="20.25" customHeight="1">
      <c r="A527" s="10">
        <v>11469</v>
      </c>
      <c r="B527" s="10">
        <v>15469</v>
      </c>
      <c r="C527" s="10">
        <f t="shared" si="8"/>
        <v>11469</v>
      </c>
      <c r="D527" s="10" t="s">
        <v>549</v>
      </c>
      <c r="E527" s="7" t="s">
        <v>1164</v>
      </c>
      <c r="F527" s="5"/>
      <c r="G527" s="22" t="s">
        <v>659</v>
      </c>
    </row>
    <row r="528" spans="1:7" ht="20.25" customHeight="1">
      <c r="A528" s="10">
        <v>11470</v>
      </c>
      <c r="B528" s="10">
        <v>15470</v>
      </c>
      <c r="C528" s="10">
        <f t="shared" si="8"/>
        <v>11470</v>
      </c>
      <c r="D528" s="10" t="s">
        <v>549</v>
      </c>
      <c r="E528" s="7" t="s">
        <v>1165</v>
      </c>
      <c r="F528" s="5"/>
      <c r="G528" s="22" t="s">
        <v>659</v>
      </c>
    </row>
    <row r="529" spans="1:7" ht="20.25" customHeight="1">
      <c r="A529" s="10">
        <v>11471</v>
      </c>
      <c r="B529" s="10">
        <v>15471</v>
      </c>
      <c r="C529" s="10">
        <f t="shared" si="8"/>
        <v>11471</v>
      </c>
      <c r="D529" s="10" t="s">
        <v>567</v>
      </c>
      <c r="E529" s="7" t="s">
        <v>1166</v>
      </c>
      <c r="F529" s="5"/>
      <c r="G529" s="22"/>
    </row>
    <row r="530" spans="1:7" ht="20.25" customHeight="1">
      <c r="A530" s="10">
        <v>11472</v>
      </c>
      <c r="B530" s="10">
        <v>15472</v>
      </c>
      <c r="C530" s="10">
        <f t="shared" si="8"/>
        <v>21472</v>
      </c>
      <c r="D530" s="10" t="s">
        <v>567</v>
      </c>
      <c r="E530" s="7" t="s">
        <v>1167</v>
      </c>
      <c r="F530" s="5" t="s">
        <v>619</v>
      </c>
      <c r="G530" s="22"/>
    </row>
    <row r="531" spans="1:7" ht="20.25" customHeight="1">
      <c r="A531" s="10">
        <v>11473</v>
      </c>
      <c r="B531" s="10">
        <v>15473</v>
      </c>
      <c r="C531" s="10">
        <f t="shared" si="8"/>
        <v>21473</v>
      </c>
      <c r="D531" s="10" t="s">
        <v>567</v>
      </c>
      <c r="E531" s="7" t="s">
        <v>1168</v>
      </c>
      <c r="F531" s="5" t="s">
        <v>619</v>
      </c>
      <c r="G531" s="22"/>
    </row>
    <row r="532" spans="1:7" ht="20.25" customHeight="1">
      <c r="A532" s="10">
        <v>11474</v>
      </c>
      <c r="B532" s="10">
        <v>15474</v>
      </c>
      <c r="C532" s="10">
        <f t="shared" si="8"/>
        <v>21474</v>
      </c>
      <c r="D532" s="10" t="s">
        <v>567</v>
      </c>
      <c r="E532" s="7" t="s">
        <v>1169</v>
      </c>
      <c r="F532" s="5" t="s">
        <v>619</v>
      </c>
      <c r="G532" s="22"/>
    </row>
    <row r="533" spans="1:7" ht="20.25" customHeight="1">
      <c r="A533" s="10">
        <v>11475</v>
      </c>
      <c r="B533" s="10">
        <v>15475</v>
      </c>
      <c r="C533" s="10">
        <f t="shared" si="8"/>
        <v>21475</v>
      </c>
      <c r="D533" s="10" t="s">
        <v>567</v>
      </c>
      <c r="E533" s="7" t="s">
        <v>1170</v>
      </c>
      <c r="F533" s="5" t="s">
        <v>619</v>
      </c>
      <c r="G533" s="22"/>
    </row>
    <row r="534" spans="1:7" ht="20.25" customHeight="1">
      <c r="A534" s="10">
        <v>11476</v>
      </c>
      <c r="B534" s="10">
        <v>15476</v>
      </c>
      <c r="C534" s="10">
        <f t="shared" si="8"/>
        <v>11476</v>
      </c>
      <c r="D534" s="10" t="s">
        <v>567</v>
      </c>
      <c r="E534" s="7" t="s">
        <v>1171</v>
      </c>
      <c r="F534" s="5"/>
      <c r="G534" s="22"/>
    </row>
    <row r="535" spans="1:7" ht="20.25" customHeight="1">
      <c r="A535" s="10">
        <v>11477</v>
      </c>
      <c r="B535" s="10">
        <v>15477</v>
      </c>
      <c r="C535" s="10">
        <f t="shared" si="8"/>
        <v>11477</v>
      </c>
      <c r="D535" s="10" t="s">
        <v>67</v>
      </c>
      <c r="E535" s="7" t="s">
        <v>1172</v>
      </c>
      <c r="F535" s="5"/>
      <c r="G535" s="22">
        <v>93386300</v>
      </c>
    </row>
    <row r="536" spans="1:7" ht="20.25" customHeight="1">
      <c r="A536" s="10">
        <v>11478</v>
      </c>
      <c r="B536" s="10">
        <v>15478</v>
      </c>
      <c r="C536" s="10">
        <f t="shared" si="8"/>
        <v>11478</v>
      </c>
      <c r="D536" s="10" t="s">
        <v>67</v>
      </c>
      <c r="E536" s="7" t="s">
        <v>1173</v>
      </c>
      <c r="F536" s="5"/>
      <c r="G536" s="22">
        <v>93386300</v>
      </c>
    </row>
    <row r="537" spans="1:7" ht="20.25" customHeight="1">
      <c r="A537" s="10">
        <v>11479</v>
      </c>
      <c r="B537" s="10">
        <v>15479</v>
      </c>
      <c r="C537" s="10">
        <f t="shared" si="8"/>
        <v>11479</v>
      </c>
      <c r="D537" s="10" t="s">
        <v>67</v>
      </c>
      <c r="E537" s="7" t="s">
        <v>1174</v>
      </c>
      <c r="F537" s="5"/>
      <c r="G537" s="22">
        <v>93386300</v>
      </c>
    </row>
    <row r="538" spans="1:7" ht="20.25" customHeight="1">
      <c r="A538" s="10">
        <v>11480</v>
      </c>
      <c r="B538" s="10">
        <v>15480</v>
      </c>
      <c r="C538" s="10">
        <f t="shared" si="8"/>
        <v>11480</v>
      </c>
      <c r="D538" s="10" t="s">
        <v>67</v>
      </c>
      <c r="E538" s="7" t="s">
        <v>1175</v>
      </c>
      <c r="F538" s="5"/>
      <c r="G538" s="22">
        <v>93386300</v>
      </c>
    </row>
    <row r="539" spans="1:7" ht="20.25" customHeight="1">
      <c r="A539" s="10">
        <v>11481</v>
      </c>
      <c r="B539" s="10">
        <v>15481</v>
      </c>
      <c r="C539" s="10">
        <f t="shared" si="8"/>
        <v>11481</v>
      </c>
      <c r="D539" s="10" t="s">
        <v>549</v>
      </c>
      <c r="E539" s="7" t="s">
        <v>1176</v>
      </c>
      <c r="F539" s="5"/>
      <c r="G539" s="22"/>
    </row>
    <row r="540" spans="1:7" ht="20.25" customHeight="1">
      <c r="A540" s="10">
        <v>11482</v>
      </c>
      <c r="B540" s="10">
        <v>15482</v>
      </c>
      <c r="C540" s="10">
        <f t="shared" si="8"/>
        <v>11482</v>
      </c>
      <c r="D540" s="10" t="s">
        <v>567</v>
      </c>
      <c r="E540" s="7" t="s">
        <v>1177</v>
      </c>
      <c r="F540" s="5"/>
      <c r="G540" s="22"/>
    </row>
    <row r="541" spans="1:7" ht="20.25" customHeight="1">
      <c r="A541" s="10">
        <v>11483</v>
      </c>
      <c r="B541" s="10">
        <v>15483</v>
      </c>
      <c r="C541" s="10">
        <f t="shared" si="8"/>
        <v>21483</v>
      </c>
      <c r="D541" s="10" t="s">
        <v>567</v>
      </c>
      <c r="E541" s="7" t="s">
        <v>1178</v>
      </c>
      <c r="F541" s="5"/>
      <c r="G541" s="22"/>
    </row>
    <row r="542" spans="1:7" ht="20.25" customHeight="1">
      <c r="A542" s="10">
        <v>11484</v>
      </c>
      <c r="B542" s="10">
        <v>15484</v>
      </c>
      <c r="C542" s="10">
        <f t="shared" si="8"/>
        <v>11484</v>
      </c>
      <c r="D542" s="10" t="s">
        <v>549</v>
      </c>
      <c r="E542" s="7" t="s">
        <v>1179</v>
      </c>
      <c r="F542" s="5"/>
      <c r="G542" s="22" t="s">
        <v>1180</v>
      </c>
    </row>
    <row r="543" spans="1:7" ht="20.25" customHeight="1">
      <c r="A543" s="10">
        <v>11485</v>
      </c>
      <c r="B543" s="10">
        <v>15485</v>
      </c>
      <c r="C543" s="10">
        <f t="shared" si="8"/>
        <v>11485</v>
      </c>
      <c r="D543" s="10"/>
      <c r="E543" s="7" t="s">
        <v>1181</v>
      </c>
      <c r="F543" s="5" t="s">
        <v>1182</v>
      </c>
      <c r="G543" s="22"/>
    </row>
    <row r="544" spans="1:7" ht="20.25" customHeight="1">
      <c r="A544" s="10">
        <v>11486</v>
      </c>
      <c r="B544" s="10">
        <v>15486</v>
      </c>
      <c r="C544" s="10">
        <f t="shared" si="8"/>
        <v>11486</v>
      </c>
      <c r="D544" s="10" t="s">
        <v>67</v>
      </c>
      <c r="E544" s="7" t="s">
        <v>1183</v>
      </c>
      <c r="F544" s="5"/>
      <c r="G544" s="22"/>
    </row>
    <row r="545" spans="1:7" ht="20.25" customHeight="1">
      <c r="A545" s="10">
        <v>11487</v>
      </c>
      <c r="B545" s="10">
        <v>15487</v>
      </c>
      <c r="C545" s="10">
        <f t="shared" si="8"/>
        <v>11487</v>
      </c>
      <c r="D545" s="10" t="s">
        <v>549</v>
      </c>
      <c r="E545" s="7" t="s">
        <v>1184</v>
      </c>
      <c r="F545" s="5"/>
      <c r="G545" s="22"/>
    </row>
    <row r="546" spans="1:7" ht="20.25" customHeight="1">
      <c r="A546" s="10">
        <v>11488</v>
      </c>
      <c r="B546" s="10">
        <v>15488</v>
      </c>
      <c r="C546" s="10">
        <f t="shared" si="8"/>
        <v>11488</v>
      </c>
      <c r="D546" s="10" t="s">
        <v>549</v>
      </c>
      <c r="E546" s="7" t="s">
        <v>1185</v>
      </c>
      <c r="F546" s="5"/>
      <c r="G546" s="22"/>
    </row>
    <row r="547" spans="1:7" ht="20.25" customHeight="1">
      <c r="A547" s="10">
        <v>11489</v>
      </c>
      <c r="B547" s="10">
        <v>15489</v>
      </c>
      <c r="C547" s="10">
        <f t="shared" si="8"/>
        <v>11489</v>
      </c>
      <c r="D547" s="10" t="s">
        <v>549</v>
      </c>
      <c r="E547" s="7" t="s">
        <v>1186</v>
      </c>
      <c r="F547" s="5"/>
      <c r="G547" s="22"/>
    </row>
    <row r="548" spans="1:7" ht="20.25" customHeight="1">
      <c r="A548" s="10">
        <v>11490</v>
      </c>
      <c r="B548" s="10">
        <v>15490</v>
      </c>
      <c r="C548" s="10">
        <f t="shared" si="8"/>
        <v>11490</v>
      </c>
      <c r="D548" s="10" t="s">
        <v>549</v>
      </c>
      <c r="E548" s="7" t="s">
        <v>1187</v>
      </c>
      <c r="F548" s="5"/>
      <c r="G548" s="22"/>
    </row>
    <row r="549" spans="1:7" ht="20.25" customHeight="1">
      <c r="A549" s="10">
        <v>11491</v>
      </c>
      <c r="B549" s="10">
        <v>15491</v>
      </c>
      <c r="C549" s="10">
        <f t="shared" si="8"/>
        <v>11491</v>
      </c>
      <c r="D549" s="10" t="s">
        <v>549</v>
      </c>
      <c r="E549" s="7" t="s">
        <v>1188</v>
      </c>
      <c r="F549" s="5"/>
      <c r="G549" s="22"/>
    </row>
    <row r="550" spans="1:7" ht="20.25" customHeight="1">
      <c r="A550" s="10">
        <v>11492</v>
      </c>
      <c r="B550" s="10">
        <v>15492</v>
      </c>
      <c r="C550" s="10">
        <f t="shared" si="8"/>
        <v>11492</v>
      </c>
      <c r="D550" s="10" t="s">
        <v>549</v>
      </c>
      <c r="E550" s="8" t="s">
        <v>1189</v>
      </c>
      <c r="F550" s="5"/>
      <c r="G550" s="22">
        <v>20583602</v>
      </c>
    </row>
    <row r="551" spans="1:7" ht="20.25" customHeight="1">
      <c r="A551" s="10">
        <v>11493</v>
      </c>
      <c r="B551" s="10">
        <v>15493</v>
      </c>
      <c r="C551" s="10">
        <f t="shared" si="8"/>
        <v>11493</v>
      </c>
      <c r="D551" s="10" t="s">
        <v>549</v>
      </c>
      <c r="E551" s="8" t="s">
        <v>1190</v>
      </c>
      <c r="F551" s="5"/>
      <c r="G551" s="22">
        <v>20583602</v>
      </c>
    </row>
    <row r="552" spans="1:7" ht="20.25" customHeight="1">
      <c r="A552" s="10">
        <v>11494</v>
      </c>
      <c r="B552" s="10">
        <v>15494</v>
      </c>
      <c r="C552" s="10">
        <f t="shared" si="8"/>
        <v>11494</v>
      </c>
      <c r="D552" s="10" t="s">
        <v>549</v>
      </c>
      <c r="E552" s="7" t="s">
        <v>1191</v>
      </c>
      <c r="F552" s="5"/>
      <c r="G552" s="22"/>
    </row>
    <row r="553" spans="1:7" ht="20.25" customHeight="1">
      <c r="A553" s="10">
        <v>11495</v>
      </c>
      <c r="B553" s="10">
        <v>15495</v>
      </c>
      <c r="C553" s="10">
        <f t="shared" si="8"/>
        <v>11495</v>
      </c>
      <c r="D553" s="10" t="s">
        <v>549</v>
      </c>
      <c r="E553" s="7" t="s">
        <v>1192</v>
      </c>
      <c r="F553" s="5"/>
      <c r="G553" s="22"/>
    </row>
    <row r="554" spans="1:7" ht="20.25" customHeight="1">
      <c r="A554" s="10">
        <v>11496</v>
      </c>
      <c r="B554" s="10">
        <v>15496</v>
      </c>
      <c r="C554" s="10">
        <f t="shared" si="8"/>
        <v>11496</v>
      </c>
      <c r="D554" s="10" t="s">
        <v>549</v>
      </c>
      <c r="E554" s="7" t="s">
        <v>1193</v>
      </c>
      <c r="F554" s="5"/>
      <c r="G554" s="22"/>
    </row>
    <row r="555" spans="1:7" ht="20.25" customHeight="1">
      <c r="A555" s="10">
        <v>11497</v>
      </c>
      <c r="B555" s="10">
        <v>15497</v>
      </c>
      <c r="C555" s="10">
        <f t="shared" si="8"/>
        <v>11497</v>
      </c>
      <c r="D555" s="10" t="s">
        <v>549</v>
      </c>
      <c r="E555" s="212"/>
      <c r="F555" s="5" t="s">
        <v>643</v>
      </c>
      <c r="G555" s="22"/>
    </row>
    <row r="556" spans="1:7" ht="20.25" customHeight="1">
      <c r="A556" s="10">
        <v>11498</v>
      </c>
      <c r="B556" s="10">
        <v>15498</v>
      </c>
      <c r="C556" s="10">
        <f t="shared" si="8"/>
        <v>11498</v>
      </c>
      <c r="D556" s="10" t="s">
        <v>549</v>
      </c>
      <c r="E556" s="7" t="s">
        <v>1194</v>
      </c>
      <c r="F556" s="5"/>
      <c r="G556" s="22"/>
    </row>
    <row r="557" spans="1:7" ht="20.25" customHeight="1">
      <c r="A557" s="10">
        <v>11499</v>
      </c>
      <c r="B557" s="10">
        <v>15499</v>
      </c>
      <c r="C557" s="10">
        <f t="shared" si="8"/>
        <v>11499</v>
      </c>
      <c r="D557" s="10" t="s">
        <v>549</v>
      </c>
      <c r="E557" s="7" t="s">
        <v>1195</v>
      </c>
      <c r="F557" s="5"/>
      <c r="G557" s="22"/>
    </row>
    <row r="558" spans="1:7" ht="20.25" customHeight="1">
      <c r="A558" s="10">
        <v>11500</v>
      </c>
      <c r="B558" s="10">
        <v>15500</v>
      </c>
      <c r="C558" s="10">
        <f t="shared" si="8"/>
        <v>11500</v>
      </c>
      <c r="D558" s="10" t="s">
        <v>549</v>
      </c>
      <c r="E558" s="7" t="s">
        <v>1196</v>
      </c>
      <c r="F558" s="5"/>
      <c r="G558" s="22"/>
    </row>
    <row r="559" spans="1:7" ht="20.25" customHeight="1">
      <c r="A559" s="10">
        <v>11501</v>
      </c>
      <c r="B559" s="10">
        <v>15501</v>
      </c>
      <c r="C559" s="10">
        <f t="shared" si="8"/>
        <v>11501</v>
      </c>
      <c r="D559" s="10" t="s">
        <v>549</v>
      </c>
      <c r="E559" s="7"/>
      <c r="F559" s="5" t="s">
        <v>643</v>
      </c>
      <c r="G559" s="22"/>
    </row>
    <row r="560" spans="1:7" ht="20.25" customHeight="1">
      <c r="A560" s="10">
        <v>11502</v>
      </c>
      <c r="B560" s="10">
        <v>15502</v>
      </c>
      <c r="C560" s="10">
        <f t="shared" si="8"/>
        <v>11502</v>
      </c>
      <c r="D560" s="10" t="s">
        <v>549</v>
      </c>
      <c r="E560" s="7"/>
      <c r="F560" s="5" t="s">
        <v>643</v>
      </c>
      <c r="G560" s="22"/>
    </row>
    <row r="561" spans="1:7" ht="20.25" customHeight="1">
      <c r="A561" s="10">
        <v>11503</v>
      </c>
      <c r="B561" s="10">
        <v>15503</v>
      </c>
      <c r="C561" s="10">
        <f t="shared" si="8"/>
        <v>11503</v>
      </c>
      <c r="D561" s="10" t="s">
        <v>549</v>
      </c>
      <c r="E561" s="7"/>
      <c r="F561" s="5" t="s">
        <v>643</v>
      </c>
      <c r="G561" s="22"/>
    </row>
    <row r="562" spans="1:7" ht="20.25" customHeight="1">
      <c r="A562" s="10">
        <v>11504</v>
      </c>
      <c r="B562" s="10">
        <v>15504</v>
      </c>
      <c r="C562" s="10">
        <f t="shared" si="8"/>
        <v>11504</v>
      </c>
      <c r="D562" s="10" t="s">
        <v>549</v>
      </c>
      <c r="E562" s="7"/>
      <c r="F562" s="5" t="s">
        <v>643</v>
      </c>
      <c r="G562" s="22"/>
    </row>
    <row r="563" spans="1:7" ht="20.25" customHeight="1">
      <c r="A563" s="10">
        <v>11505</v>
      </c>
      <c r="B563" s="10">
        <v>15505</v>
      </c>
      <c r="C563" s="10">
        <f t="shared" si="8"/>
        <v>11505</v>
      </c>
      <c r="D563" s="10" t="s">
        <v>549</v>
      </c>
      <c r="E563" s="7"/>
      <c r="F563" s="5" t="s">
        <v>643</v>
      </c>
      <c r="G563" s="22"/>
    </row>
    <row r="564" spans="1:7" ht="20.25" customHeight="1">
      <c r="A564" s="10">
        <v>11506</v>
      </c>
      <c r="B564" s="10">
        <v>15506</v>
      </c>
      <c r="C564" s="10">
        <f t="shared" si="8"/>
        <v>11506</v>
      </c>
      <c r="D564" s="10" t="s">
        <v>549</v>
      </c>
      <c r="E564" s="7" t="s">
        <v>1197</v>
      </c>
      <c r="F564" s="5"/>
      <c r="G564" s="22"/>
    </row>
    <row r="565" spans="1:7" ht="20.25" customHeight="1">
      <c r="A565" s="10">
        <v>11507</v>
      </c>
      <c r="B565" s="10">
        <v>15507</v>
      </c>
      <c r="C565" s="10">
        <f t="shared" si="8"/>
        <v>11507</v>
      </c>
      <c r="D565" s="10" t="s">
        <v>549</v>
      </c>
      <c r="E565" s="7"/>
      <c r="F565" s="5" t="s">
        <v>643</v>
      </c>
      <c r="G565" s="22"/>
    </row>
    <row r="566" spans="1:7" ht="20.25" customHeight="1">
      <c r="A566" s="10">
        <v>11508</v>
      </c>
      <c r="B566" s="10">
        <v>15508</v>
      </c>
      <c r="C566" s="10">
        <f t="shared" si="8"/>
        <v>11508</v>
      </c>
      <c r="D566" s="10" t="s">
        <v>549</v>
      </c>
      <c r="E566" s="7" t="s">
        <v>1198</v>
      </c>
      <c r="F566" s="5"/>
      <c r="G566" s="22"/>
    </row>
    <row r="567" spans="1:7" ht="20.25" customHeight="1">
      <c r="A567" s="10">
        <v>11509</v>
      </c>
      <c r="B567" s="10">
        <v>15509</v>
      </c>
      <c r="C567" s="10">
        <f t="shared" si="8"/>
        <v>11509</v>
      </c>
      <c r="D567" s="10" t="s">
        <v>549</v>
      </c>
      <c r="E567" s="7"/>
      <c r="F567" s="5" t="s">
        <v>643</v>
      </c>
      <c r="G567" s="22"/>
    </row>
    <row r="568" spans="1:7" ht="20.25" customHeight="1">
      <c r="A568" s="10">
        <v>11510</v>
      </c>
      <c r="B568" s="10">
        <v>15510</v>
      </c>
      <c r="C568" s="10">
        <f t="shared" si="8"/>
        <v>11510</v>
      </c>
      <c r="D568" s="10" t="s">
        <v>549</v>
      </c>
      <c r="E568" s="7"/>
      <c r="F568" s="5" t="s">
        <v>643</v>
      </c>
      <c r="G568" s="22"/>
    </row>
    <row r="569" spans="1:7" ht="20.25" customHeight="1">
      <c r="A569" s="10">
        <v>11511</v>
      </c>
      <c r="B569" s="10">
        <v>15511</v>
      </c>
      <c r="C569" s="10">
        <f t="shared" si="8"/>
        <v>11511</v>
      </c>
      <c r="D569" s="10" t="s">
        <v>549</v>
      </c>
      <c r="E569" s="7"/>
      <c r="F569" s="5" t="s">
        <v>643</v>
      </c>
      <c r="G569" s="22"/>
    </row>
    <row r="570" spans="1:7" ht="20.25" customHeight="1">
      <c r="A570" s="10">
        <v>11512</v>
      </c>
      <c r="B570" s="10">
        <v>15512</v>
      </c>
      <c r="C570" s="10">
        <f t="shared" si="8"/>
        <v>11512</v>
      </c>
      <c r="D570" s="10" t="s">
        <v>549</v>
      </c>
      <c r="E570" s="7"/>
      <c r="F570" s="5" t="s">
        <v>643</v>
      </c>
      <c r="G570" s="22"/>
    </row>
    <row r="571" spans="1:7" ht="20.25" customHeight="1">
      <c r="A571" s="10">
        <v>11513</v>
      </c>
      <c r="B571" s="10">
        <v>15513</v>
      </c>
      <c r="C571" s="10">
        <f t="shared" si="8"/>
        <v>11513</v>
      </c>
      <c r="D571" s="10" t="s">
        <v>549</v>
      </c>
      <c r="E571" s="7"/>
      <c r="F571" s="5" t="s">
        <v>643</v>
      </c>
      <c r="G571" s="22"/>
    </row>
    <row r="572" spans="1:7" ht="20.25" customHeight="1">
      <c r="A572" s="10">
        <v>11514</v>
      </c>
      <c r="B572" s="10">
        <v>15514</v>
      </c>
      <c r="C572" s="10">
        <f t="shared" si="8"/>
        <v>11514</v>
      </c>
      <c r="D572" s="10" t="s">
        <v>549</v>
      </c>
      <c r="E572" s="7"/>
      <c r="F572" s="5" t="s">
        <v>643</v>
      </c>
      <c r="G572" s="22"/>
    </row>
    <row r="573" spans="1:7" ht="20.25" customHeight="1">
      <c r="A573" s="10">
        <v>11515</v>
      </c>
      <c r="B573" s="10">
        <v>15515</v>
      </c>
      <c r="C573" s="10">
        <f t="shared" si="8"/>
        <v>11515</v>
      </c>
      <c r="D573" s="10" t="s">
        <v>549</v>
      </c>
      <c r="E573" s="7"/>
      <c r="F573" s="5" t="s">
        <v>643</v>
      </c>
      <c r="G573" s="22"/>
    </row>
    <row r="574" spans="1:7" ht="20.25" customHeight="1">
      <c r="A574" s="10">
        <v>11516</v>
      </c>
      <c r="B574" s="10">
        <v>15516</v>
      </c>
      <c r="C574" s="10">
        <f t="shared" si="8"/>
        <v>11516</v>
      </c>
      <c r="D574" s="10" t="s">
        <v>549</v>
      </c>
      <c r="E574" s="7"/>
      <c r="F574" s="5" t="s">
        <v>643</v>
      </c>
      <c r="G574" s="22"/>
    </row>
    <row r="575" spans="1:7" ht="20.25" customHeight="1">
      <c r="A575" s="10">
        <v>11517</v>
      </c>
      <c r="B575" s="10">
        <v>15517</v>
      </c>
      <c r="C575" s="10">
        <f t="shared" si="8"/>
        <v>11517</v>
      </c>
      <c r="D575" s="10" t="s">
        <v>549</v>
      </c>
      <c r="E575" s="7"/>
      <c r="F575" s="5" t="s">
        <v>643</v>
      </c>
      <c r="G575" s="22"/>
    </row>
    <row r="576" spans="1:7" ht="20.25" customHeight="1">
      <c r="A576" s="10">
        <v>11518</v>
      </c>
      <c r="B576" s="10">
        <v>15518</v>
      </c>
      <c r="C576" s="10">
        <f t="shared" si="8"/>
        <v>11518</v>
      </c>
      <c r="D576" s="10" t="s">
        <v>549</v>
      </c>
      <c r="E576" s="7"/>
      <c r="F576" s="5" t="s">
        <v>643</v>
      </c>
      <c r="G576" s="22"/>
    </row>
    <row r="577" spans="1:7" ht="20.25" customHeight="1">
      <c r="A577" s="10">
        <v>11519</v>
      </c>
      <c r="B577" s="10">
        <v>15519</v>
      </c>
      <c r="C577" s="10">
        <f t="shared" si="8"/>
        <v>11519</v>
      </c>
      <c r="D577" s="10" t="s">
        <v>549</v>
      </c>
      <c r="E577" s="7"/>
      <c r="F577" s="5" t="s">
        <v>643</v>
      </c>
      <c r="G577" s="22"/>
    </row>
    <row r="578" spans="1:7" ht="20.25" customHeight="1">
      <c r="A578" s="10">
        <v>11520</v>
      </c>
      <c r="B578" s="10">
        <v>15520</v>
      </c>
      <c r="C578" s="10">
        <f t="shared" si="8"/>
        <v>11520</v>
      </c>
      <c r="D578" s="10" t="s">
        <v>549</v>
      </c>
      <c r="E578" s="7"/>
      <c r="F578" s="5" t="s">
        <v>643</v>
      </c>
      <c r="G578" s="22"/>
    </row>
    <row r="579" spans="1:7" ht="20.25" customHeight="1">
      <c r="A579" s="10">
        <v>11521</v>
      </c>
      <c r="B579" s="10">
        <v>15521</v>
      </c>
      <c r="C579" s="10">
        <f t="shared" si="8"/>
        <v>11521</v>
      </c>
      <c r="D579" s="10" t="s">
        <v>67</v>
      </c>
      <c r="E579" s="7" t="s">
        <v>1199</v>
      </c>
      <c r="F579" s="5"/>
      <c r="G579" s="22" t="s">
        <v>1200</v>
      </c>
    </row>
    <row r="580" spans="1:7" ht="20.25" customHeight="1">
      <c r="A580" s="10">
        <v>11522</v>
      </c>
      <c r="B580" s="10">
        <v>15522</v>
      </c>
      <c r="C580" s="10">
        <f t="shared" si="8"/>
        <v>11522</v>
      </c>
      <c r="D580" s="10" t="s">
        <v>549</v>
      </c>
      <c r="E580" s="7"/>
      <c r="F580" s="5" t="s">
        <v>643</v>
      </c>
      <c r="G580" s="22"/>
    </row>
    <row r="581" spans="1:7" ht="20.25" customHeight="1">
      <c r="A581" s="10">
        <v>11523</v>
      </c>
      <c r="B581" s="10">
        <v>15523</v>
      </c>
      <c r="C581" s="10">
        <f t="shared" ref="C581:C644" si="9">IF(ISERROR(FIND("B_Epic",E581)),A581,A581+10000)</f>
        <v>11523</v>
      </c>
      <c r="D581" s="10" t="s">
        <v>549</v>
      </c>
      <c r="E581" s="7"/>
      <c r="F581" s="5" t="s">
        <v>643</v>
      </c>
      <c r="G581" s="22"/>
    </row>
    <row r="582" spans="1:7" ht="20.25" customHeight="1">
      <c r="A582" s="10">
        <v>11524</v>
      </c>
      <c r="B582" s="10">
        <v>15524</v>
      </c>
      <c r="C582" s="10">
        <f t="shared" si="9"/>
        <v>11524</v>
      </c>
      <c r="D582" s="10" t="s">
        <v>549</v>
      </c>
      <c r="E582" s="7"/>
      <c r="F582" s="5" t="s">
        <v>643</v>
      </c>
      <c r="G582" s="22"/>
    </row>
    <row r="583" spans="1:7" ht="20.25" customHeight="1">
      <c r="A583" s="10">
        <v>11525</v>
      </c>
      <c r="B583" s="10">
        <v>15525</v>
      </c>
      <c r="C583" s="10">
        <f t="shared" si="9"/>
        <v>11525</v>
      </c>
      <c r="D583" s="10" t="s">
        <v>549</v>
      </c>
      <c r="E583" s="7"/>
      <c r="F583" s="5" t="s">
        <v>643</v>
      </c>
      <c r="G583" s="22"/>
    </row>
    <row r="584" spans="1:7" ht="20.25" customHeight="1">
      <c r="A584" s="10">
        <v>11526</v>
      </c>
      <c r="B584" s="10">
        <v>15526</v>
      </c>
      <c r="C584" s="10">
        <f t="shared" si="9"/>
        <v>11526</v>
      </c>
      <c r="D584" s="10" t="s">
        <v>549</v>
      </c>
      <c r="E584" s="7"/>
      <c r="F584" s="5" t="s">
        <v>643</v>
      </c>
      <c r="G584" s="22"/>
    </row>
    <row r="585" spans="1:7" ht="20.25" customHeight="1">
      <c r="A585" s="10">
        <v>11527</v>
      </c>
      <c r="B585" s="10">
        <v>15527</v>
      </c>
      <c r="C585" s="10">
        <f t="shared" si="9"/>
        <v>11527</v>
      </c>
      <c r="D585" s="10" t="s">
        <v>549</v>
      </c>
      <c r="E585" s="7"/>
      <c r="F585" s="5" t="s">
        <v>643</v>
      </c>
      <c r="G585" s="22"/>
    </row>
    <row r="586" spans="1:7" ht="20.25" customHeight="1">
      <c r="A586" s="10">
        <v>11528</v>
      </c>
      <c r="B586" s="10">
        <v>15528</v>
      </c>
      <c r="C586" s="10">
        <f t="shared" si="9"/>
        <v>11528</v>
      </c>
      <c r="D586" s="10" t="s">
        <v>549</v>
      </c>
      <c r="E586" s="7"/>
      <c r="F586" s="5" t="s">
        <v>643</v>
      </c>
      <c r="G586" s="22"/>
    </row>
    <row r="587" spans="1:7" ht="20.25" customHeight="1">
      <c r="A587" s="10">
        <v>11530</v>
      </c>
      <c r="B587" s="10">
        <v>15530</v>
      </c>
      <c r="C587" s="10">
        <f t="shared" si="9"/>
        <v>11530</v>
      </c>
      <c r="D587" s="10" t="s">
        <v>549</v>
      </c>
      <c r="E587" s="7"/>
      <c r="F587" s="5" t="s">
        <v>643</v>
      </c>
      <c r="G587" s="22"/>
    </row>
    <row r="588" spans="1:7" ht="20.25" customHeight="1">
      <c r="A588" s="10">
        <v>11531</v>
      </c>
      <c r="B588" s="10">
        <v>15531</v>
      </c>
      <c r="C588" s="10">
        <f t="shared" si="9"/>
        <v>11531</v>
      </c>
      <c r="D588" s="10" t="s">
        <v>549</v>
      </c>
      <c r="E588" s="7"/>
      <c r="F588" s="5" t="s">
        <v>643</v>
      </c>
      <c r="G588" s="22"/>
    </row>
    <row r="589" spans="1:7" ht="20.25" customHeight="1">
      <c r="A589" s="10">
        <v>11532</v>
      </c>
      <c r="B589" s="10">
        <v>15532</v>
      </c>
      <c r="C589" s="10">
        <f t="shared" si="9"/>
        <v>11532</v>
      </c>
      <c r="D589" s="10" t="s">
        <v>549</v>
      </c>
      <c r="E589" s="7"/>
      <c r="F589" s="5" t="s">
        <v>643</v>
      </c>
      <c r="G589" s="22"/>
    </row>
    <row r="590" spans="1:7" ht="20.25" customHeight="1">
      <c r="A590" s="10">
        <v>11533</v>
      </c>
      <c r="B590" s="10">
        <v>15533</v>
      </c>
      <c r="C590" s="10">
        <f t="shared" si="9"/>
        <v>11533</v>
      </c>
      <c r="D590" s="10" t="s">
        <v>549</v>
      </c>
      <c r="E590" s="7"/>
      <c r="F590" s="5" t="s">
        <v>643</v>
      </c>
      <c r="G590" s="22"/>
    </row>
    <row r="591" spans="1:7" ht="20.25" customHeight="1">
      <c r="A591" s="10">
        <v>11534</v>
      </c>
      <c r="B591" s="10">
        <v>15534</v>
      </c>
      <c r="C591" s="10">
        <f t="shared" si="9"/>
        <v>11534</v>
      </c>
      <c r="D591" s="10" t="s">
        <v>549</v>
      </c>
      <c r="E591" s="7"/>
      <c r="F591" s="5" t="s">
        <v>643</v>
      </c>
      <c r="G591" s="22"/>
    </row>
    <row r="592" spans="1:7" ht="20.25" customHeight="1">
      <c r="A592" s="10">
        <v>11535</v>
      </c>
      <c r="B592" s="10">
        <v>15535</v>
      </c>
      <c r="C592" s="10">
        <f t="shared" si="9"/>
        <v>11535</v>
      </c>
      <c r="D592" s="10" t="s">
        <v>549</v>
      </c>
      <c r="E592" s="7"/>
      <c r="F592" s="5" t="s">
        <v>643</v>
      </c>
      <c r="G592" s="22"/>
    </row>
    <row r="593" spans="1:7" ht="20.25" customHeight="1">
      <c r="A593" s="10">
        <v>11536</v>
      </c>
      <c r="B593" s="10">
        <v>15536</v>
      </c>
      <c r="C593" s="10">
        <f t="shared" si="9"/>
        <v>11536</v>
      </c>
      <c r="D593" s="10" t="s">
        <v>549</v>
      </c>
      <c r="E593" s="7"/>
      <c r="F593" s="5" t="s">
        <v>643</v>
      </c>
      <c r="G593" s="22"/>
    </row>
    <row r="594" spans="1:7" ht="20.25" customHeight="1">
      <c r="A594" s="10">
        <v>11537</v>
      </c>
      <c r="B594" s="10">
        <v>15537</v>
      </c>
      <c r="C594" s="10">
        <f t="shared" si="9"/>
        <v>11537</v>
      </c>
      <c r="D594" s="10" t="s">
        <v>549</v>
      </c>
      <c r="E594" s="7"/>
      <c r="F594" s="5" t="s">
        <v>643</v>
      </c>
      <c r="G594" s="22"/>
    </row>
    <row r="595" spans="1:7" ht="20.25" customHeight="1">
      <c r="A595" s="10">
        <v>11538</v>
      </c>
      <c r="B595" s="10">
        <v>15538</v>
      </c>
      <c r="C595" s="10">
        <f t="shared" si="9"/>
        <v>11538</v>
      </c>
      <c r="D595" s="10" t="s">
        <v>549</v>
      </c>
      <c r="E595" s="7"/>
      <c r="F595" s="5" t="s">
        <v>643</v>
      </c>
      <c r="G595" s="22"/>
    </row>
    <row r="596" spans="1:7" ht="20.25" customHeight="1">
      <c r="A596" s="10">
        <v>11539</v>
      </c>
      <c r="B596" s="10">
        <v>15539</v>
      </c>
      <c r="C596" s="10">
        <f t="shared" si="9"/>
        <v>11539</v>
      </c>
      <c r="D596" s="10" t="s">
        <v>549</v>
      </c>
      <c r="E596" s="7" t="s">
        <v>1201</v>
      </c>
      <c r="F596" s="5"/>
      <c r="G596" s="22"/>
    </row>
    <row r="597" spans="1:7" ht="20.25" customHeight="1">
      <c r="A597" s="10">
        <v>11540</v>
      </c>
      <c r="B597" s="10">
        <v>15540</v>
      </c>
      <c r="C597" s="10">
        <f t="shared" si="9"/>
        <v>11540</v>
      </c>
      <c r="D597" s="10" t="s">
        <v>549</v>
      </c>
      <c r="E597" s="7"/>
      <c r="F597" s="5" t="s">
        <v>643</v>
      </c>
      <c r="G597" s="22"/>
    </row>
    <row r="598" spans="1:7" ht="20.25" customHeight="1">
      <c r="A598" s="10">
        <v>11541</v>
      </c>
      <c r="B598" s="10">
        <v>15541</v>
      </c>
      <c r="C598" s="10">
        <f t="shared" si="9"/>
        <v>11541</v>
      </c>
      <c r="D598" s="10" t="s">
        <v>549</v>
      </c>
      <c r="E598" s="7"/>
      <c r="F598" s="5" t="s">
        <v>643</v>
      </c>
      <c r="G598" s="22"/>
    </row>
    <row r="599" spans="1:7" ht="20.25" customHeight="1">
      <c r="A599" s="10">
        <v>11542</v>
      </c>
      <c r="B599" s="10">
        <v>15542</v>
      </c>
      <c r="C599" s="10">
        <f t="shared" si="9"/>
        <v>11542</v>
      </c>
      <c r="D599" s="10" t="s">
        <v>549</v>
      </c>
      <c r="E599" s="7" t="s">
        <v>1202</v>
      </c>
      <c r="F599" s="5"/>
      <c r="G599" s="22" t="s">
        <v>1203</v>
      </c>
    </row>
    <row r="600" spans="1:7" ht="20.25" customHeight="1">
      <c r="A600" s="10">
        <v>11543</v>
      </c>
      <c r="B600" s="10">
        <v>15543</v>
      </c>
      <c r="C600" s="10">
        <f t="shared" si="9"/>
        <v>11543</v>
      </c>
      <c r="D600" s="10" t="s">
        <v>549</v>
      </c>
      <c r="E600" s="7"/>
      <c r="F600" s="5" t="s">
        <v>643</v>
      </c>
      <c r="G600" s="22"/>
    </row>
    <row r="601" spans="1:7" ht="20.25" customHeight="1">
      <c r="A601" s="10">
        <v>11544</v>
      </c>
      <c r="B601" s="10">
        <v>15544</v>
      </c>
      <c r="C601" s="10">
        <f t="shared" si="9"/>
        <v>11544</v>
      </c>
      <c r="D601" s="10" t="s">
        <v>549</v>
      </c>
      <c r="E601" s="15" t="s">
        <v>1204</v>
      </c>
      <c r="F601" s="5"/>
      <c r="G601" s="22" t="s">
        <v>1203</v>
      </c>
    </row>
    <row r="602" spans="1:7" ht="20.25" customHeight="1">
      <c r="A602" s="10">
        <v>11545</v>
      </c>
      <c r="B602" s="10">
        <v>15545</v>
      </c>
      <c r="C602" s="10">
        <f t="shared" si="9"/>
        <v>11545</v>
      </c>
      <c r="D602" s="10" t="s">
        <v>549</v>
      </c>
      <c r="E602" s="7" t="s">
        <v>1205</v>
      </c>
      <c r="F602" s="5"/>
      <c r="G602" s="22"/>
    </row>
    <row r="603" spans="1:7" ht="20.25" customHeight="1">
      <c r="A603" s="10">
        <v>11546</v>
      </c>
      <c r="B603" s="10">
        <v>15546</v>
      </c>
      <c r="C603" s="10">
        <f t="shared" si="9"/>
        <v>11546</v>
      </c>
      <c r="D603" s="10" t="s">
        <v>549</v>
      </c>
      <c r="E603" s="7" t="s">
        <v>1206</v>
      </c>
      <c r="F603" s="5"/>
      <c r="G603" s="22"/>
    </row>
    <row r="604" spans="1:7" ht="20.25" customHeight="1">
      <c r="A604" s="10">
        <v>11547</v>
      </c>
      <c r="B604" s="10">
        <v>15547</v>
      </c>
      <c r="C604" s="10">
        <f t="shared" si="9"/>
        <v>11547</v>
      </c>
      <c r="D604" s="10" t="s">
        <v>549</v>
      </c>
      <c r="E604" s="7"/>
      <c r="F604" s="5" t="s">
        <v>643</v>
      </c>
      <c r="G604" s="22"/>
    </row>
    <row r="605" spans="1:7" ht="20.25" customHeight="1">
      <c r="A605" s="10">
        <v>11548</v>
      </c>
      <c r="B605" s="10">
        <v>15548</v>
      </c>
      <c r="C605" s="10">
        <f t="shared" si="9"/>
        <v>11548</v>
      </c>
      <c r="D605" s="10" t="s">
        <v>549</v>
      </c>
      <c r="E605" s="7"/>
      <c r="F605" s="5" t="s">
        <v>643</v>
      </c>
      <c r="G605" s="22"/>
    </row>
    <row r="606" spans="1:7" ht="20.25" customHeight="1">
      <c r="A606" s="10">
        <v>11549</v>
      </c>
      <c r="B606" s="10">
        <v>15549</v>
      </c>
      <c r="C606" s="10">
        <f t="shared" si="9"/>
        <v>11549</v>
      </c>
      <c r="D606" s="10" t="s">
        <v>549</v>
      </c>
      <c r="E606" s="7"/>
      <c r="F606" s="5" t="s">
        <v>643</v>
      </c>
      <c r="G606" s="22"/>
    </row>
    <row r="607" spans="1:7" ht="20.25" customHeight="1">
      <c r="A607" s="10">
        <v>11550</v>
      </c>
      <c r="B607" s="10">
        <v>15550</v>
      </c>
      <c r="C607" s="10">
        <f t="shared" si="9"/>
        <v>11550</v>
      </c>
      <c r="D607" s="10" t="s">
        <v>549</v>
      </c>
      <c r="E607" s="7"/>
      <c r="F607" s="5" t="s">
        <v>643</v>
      </c>
      <c r="G607" s="22"/>
    </row>
    <row r="608" spans="1:7" ht="20.25" customHeight="1">
      <c r="A608" s="10">
        <v>11551</v>
      </c>
      <c r="B608" s="10">
        <v>15551</v>
      </c>
      <c r="C608" s="10">
        <f t="shared" si="9"/>
        <v>11551</v>
      </c>
      <c r="D608" s="10" t="s">
        <v>549</v>
      </c>
      <c r="E608" s="7"/>
      <c r="F608" s="5" t="s">
        <v>643</v>
      </c>
      <c r="G608" s="22"/>
    </row>
    <row r="609" spans="1:7" ht="20.25" customHeight="1">
      <c r="A609" s="10">
        <v>11552</v>
      </c>
      <c r="B609" s="10">
        <v>15552</v>
      </c>
      <c r="C609" s="10">
        <f t="shared" si="9"/>
        <v>11552</v>
      </c>
      <c r="D609" s="10" t="s">
        <v>67</v>
      </c>
      <c r="E609" s="7" t="s">
        <v>1207</v>
      </c>
      <c r="F609" s="5"/>
      <c r="G609" s="22"/>
    </row>
    <row r="610" spans="1:7" ht="20.25" customHeight="1">
      <c r="A610" s="10">
        <v>11553</v>
      </c>
      <c r="B610" s="10">
        <v>15553</v>
      </c>
      <c r="C610" s="10">
        <f t="shared" si="9"/>
        <v>11553</v>
      </c>
      <c r="D610" s="10" t="s">
        <v>549</v>
      </c>
      <c r="E610" s="7"/>
      <c r="F610" s="5" t="s">
        <v>643</v>
      </c>
      <c r="G610" s="22"/>
    </row>
    <row r="611" spans="1:7" ht="20.25" customHeight="1">
      <c r="A611" s="10">
        <v>11554</v>
      </c>
      <c r="B611" s="10">
        <v>15554</v>
      </c>
      <c r="C611" s="10">
        <f t="shared" si="9"/>
        <v>11554</v>
      </c>
      <c r="D611" s="10" t="s">
        <v>549</v>
      </c>
      <c r="E611" s="7"/>
      <c r="F611" s="5" t="s">
        <v>643</v>
      </c>
      <c r="G611" s="22"/>
    </row>
    <row r="612" spans="1:7" ht="20.25" customHeight="1">
      <c r="A612" s="10">
        <v>11555</v>
      </c>
      <c r="B612" s="10">
        <v>15555</v>
      </c>
      <c r="C612" s="10">
        <f t="shared" si="9"/>
        <v>11555</v>
      </c>
      <c r="D612" s="10" t="s">
        <v>549</v>
      </c>
      <c r="E612" s="7" t="s">
        <v>1208</v>
      </c>
      <c r="F612" s="5"/>
      <c r="G612" s="22"/>
    </row>
    <row r="613" spans="1:7" ht="20.25" customHeight="1">
      <c r="A613" s="10">
        <v>11556</v>
      </c>
      <c r="B613" s="10">
        <v>15556</v>
      </c>
      <c r="C613" s="10">
        <f t="shared" si="9"/>
        <v>21556</v>
      </c>
      <c r="D613" s="10" t="s">
        <v>567</v>
      </c>
      <c r="E613" s="7" t="s">
        <v>1209</v>
      </c>
      <c r="F613" s="5" t="s">
        <v>619</v>
      </c>
      <c r="G613" s="22"/>
    </row>
    <row r="614" spans="1:7" ht="20.25" customHeight="1">
      <c r="A614" s="10">
        <v>11557</v>
      </c>
      <c r="B614" s="10">
        <v>15557</v>
      </c>
      <c r="C614" s="10">
        <f t="shared" si="9"/>
        <v>11557</v>
      </c>
      <c r="D614" s="10" t="s">
        <v>549</v>
      </c>
      <c r="E614" s="7" t="s">
        <v>1210</v>
      </c>
      <c r="F614" s="5"/>
      <c r="G614" s="22"/>
    </row>
    <row r="615" spans="1:7" ht="20.25" customHeight="1">
      <c r="A615" s="10">
        <v>11558</v>
      </c>
      <c r="B615" s="10">
        <v>15558</v>
      </c>
      <c r="C615" s="10">
        <f t="shared" si="9"/>
        <v>11558</v>
      </c>
      <c r="D615" s="10" t="s">
        <v>549</v>
      </c>
      <c r="E615" s="7" t="s">
        <v>1211</v>
      </c>
      <c r="F615" s="5"/>
      <c r="G615" s="22"/>
    </row>
    <row r="616" spans="1:7" ht="20.25" customHeight="1">
      <c r="A616" s="10">
        <v>11559</v>
      </c>
      <c r="B616" s="10">
        <v>15559</v>
      </c>
      <c r="C616" s="10">
        <f t="shared" si="9"/>
        <v>11559</v>
      </c>
      <c r="D616" s="10" t="s">
        <v>549</v>
      </c>
      <c r="E616" s="7" t="s">
        <v>1212</v>
      </c>
      <c r="F616" s="5"/>
      <c r="G616" s="22"/>
    </row>
    <row r="617" spans="1:7" ht="20.25" customHeight="1">
      <c r="A617" s="10">
        <v>11560</v>
      </c>
      <c r="B617" s="10">
        <v>15560</v>
      </c>
      <c r="C617" s="10">
        <f t="shared" si="9"/>
        <v>11560</v>
      </c>
      <c r="D617" s="10" t="s">
        <v>549</v>
      </c>
      <c r="E617" s="7" t="s">
        <v>1213</v>
      </c>
      <c r="F617" s="5"/>
      <c r="G617" s="22"/>
    </row>
    <row r="618" spans="1:7" ht="20.25" customHeight="1">
      <c r="A618" s="10">
        <v>11561</v>
      </c>
      <c r="B618" s="10">
        <v>15561</v>
      </c>
      <c r="C618" s="10">
        <f t="shared" si="9"/>
        <v>11561</v>
      </c>
      <c r="D618" s="10" t="s">
        <v>549</v>
      </c>
      <c r="E618" s="7"/>
      <c r="F618" s="5" t="s">
        <v>643</v>
      </c>
      <c r="G618" s="22"/>
    </row>
    <row r="619" spans="1:7" ht="20.25" customHeight="1">
      <c r="A619" s="10">
        <v>11562</v>
      </c>
      <c r="B619" s="10">
        <v>15562</v>
      </c>
      <c r="C619" s="10">
        <f t="shared" si="9"/>
        <v>11562</v>
      </c>
      <c r="D619" s="10" t="s">
        <v>549</v>
      </c>
      <c r="E619" s="7" t="s">
        <v>1214</v>
      </c>
      <c r="F619" s="5"/>
      <c r="G619" s="22"/>
    </row>
    <row r="620" spans="1:7" ht="20.25" customHeight="1">
      <c r="A620" s="10">
        <v>11563</v>
      </c>
      <c r="B620" s="10">
        <v>15563</v>
      </c>
      <c r="C620" s="10">
        <f t="shared" si="9"/>
        <v>11563</v>
      </c>
      <c r="D620" s="10" t="s">
        <v>549</v>
      </c>
      <c r="E620" s="7"/>
      <c r="F620" s="5" t="s">
        <v>643</v>
      </c>
      <c r="G620" s="22"/>
    </row>
    <row r="621" spans="1:7" ht="20.25" customHeight="1">
      <c r="A621" s="10">
        <v>11564</v>
      </c>
      <c r="B621" s="10">
        <v>15564</v>
      </c>
      <c r="C621" s="10">
        <f t="shared" si="9"/>
        <v>11564</v>
      </c>
      <c r="D621" s="10" t="s">
        <v>549</v>
      </c>
      <c r="E621" s="7"/>
      <c r="F621" s="5" t="s">
        <v>643</v>
      </c>
      <c r="G621" s="22"/>
    </row>
    <row r="622" spans="1:7" ht="20.25" customHeight="1">
      <c r="A622" s="10">
        <v>11565</v>
      </c>
      <c r="B622" s="10">
        <v>15565</v>
      </c>
      <c r="C622" s="10">
        <f t="shared" si="9"/>
        <v>11565</v>
      </c>
      <c r="D622" s="10" t="s">
        <v>549</v>
      </c>
      <c r="E622" s="7"/>
      <c r="F622" s="5" t="s">
        <v>643</v>
      </c>
      <c r="G622" s="22"/>
    </row>
    <row r="623" spans="1:7" ht="20.25" customHeight="1">
      <c r="A623" s="10">
        <v>11566</v>
      </c>
      <c r="B623" s="10">
        <v>15566</v>
      </c>
      <c r="C623" s="10">
        <f t="shared" si="9"/>
        <v>11566</v>
      </c>
      <c r="D623" s="10" t="s">
        <v>549</v>
      </c>
      <c r="E623" s="7"/>
      <c r="F623" s="5" t="s">
        <v>643</v>
      </c>
      <c r="G623" s="22"/>
    </row>
    <row r="624" spans="1:7" ht="20.25" customHeight="1">
      <c r="A624" s="10">
        <v>11567</v>
      </c>
      <c r="B624" s="10">
        <v>15567</v>
      </c>
      <c r="C624" s="10">
        <f t="shared" si="9"/>
        <v>11567</v>
      </c>
      <c r="D624" s="10" t="s">
        <v>549</v>
      </c>
      <c r="E624" s="7"/>
      <c r="F624" s="5" t="s">
        <v>643</v>
      </c>
      <c r="G624" s="22"/>
    </row>
    <row r="625" spans="1:7" ht="20.25" customHeight="1">
      <c r="A625" s="10">
        <v>11568</v>
      </c>
      <c r="B625" s="10">
        <v>15568</v>
      </c>
      <c r="C625" s="10">
        <f t="shared" si="9"/>
        <v>11568</v>
      </c>
      <c r="D625" s="10" t="s">
        <v>549</v>
      </c>
      <c r="E625" s="7"/>
      <c r="F625" s="5" t="s">
        <v>643</v>
      </c>
      <c r="G625" s="22"/>
    </row>
    <row r="626" spans="1:7" ht="20.25" customHeight="1">
      <c r="A626" s="10">
        <v>11569</v>
      </c>
      <c r="B626" s="10">
        <v>15569</v>
      </c>
      <c r="C626" s="10">
        <f t="shared" si="9"/>
        <v>11569</v>
      </c>
      <c r="D626" s="10" t="s">
        <v>549</v>
      </c>
      <c r="E626" s="7"/>
      <c r="F626" s="5" t="s">
        <v>643</v>
      </c>
      <c r="G626" s="22"/>
    </row>
    <row r="627" spans="1:7" ht="20.25" customHeight="1">
      <c r="A627" s="10">
        <v>11570</v>
      </c>
      <c r="B627" s="10">
        <v>15570</v>
      </c>
      <c r="C627" s="10">
        <f t="shared" si="9"/>
        <v>11570</v>
      </c>
      <c r="D627" s="10" t="s">
        <v>549</v>
      </c>
      <c r="E627" s="7"/>
      <c r="F627" s="5" t="s">
        <v>643</v>
      </c>
      <c r="G627" s="22"/>
    </row>
    <row r="628" spans="1:7" ht="20.25" customHeight="1">
      <c r="A628" s="10">
        <v>11571</v>
      </c>
      <c r="B628" s="10">
        <v>15571</v>
      </c>
      <c r="C628" s="10">
        <f t="shared" si="9"/>
        <v>11571</v>
      </c>
      <c r="D628" s="10" t="s">
        <v>549</v>
      </c>
      <c r="E628" s="7"/>
      <c r="F628" s="5" t="s">
        <v>643</v>
      </c>
      <c r="G628" s="22"/>
    </row>
    <row r="629" spans="1:7" ht="20.25" customHeight="1">
      <c r="A629" s="10">
        <v>11572</v>
      </c>
      <c r="B629" s="10">
        <v>15572</v>
      </c>
      <c r="C629" s="10">
        <f t="shared" si="9"/>
        <v>11572</v>
      </c>
      <c r="D629" s="10" t="s">
        <v>67</v>
      </c>
      <c r="E629" s="7" t="s">
        <v>1215</v>
      </c>
      <c r="F629" s="5"/>
      <c r="G629" s="22"/>
    </row>
    <row r="630" spans="1:7" ht="20.25" customHeight="1">
      <c r="A630" s="10">
        <v>11573</v>
      </c>
      <c r="B630" s="10">
        <v>15573</v>
      </c>
      <c r="C630" s="10">
        <f t="shared" si="9"/>
        <v>11573</v>
      </c>
      <c r="D630" s="10" t="s">
        <v>549</v>
      </c>
      <c r="E630" s="7"/>
      <c r="F630" s="5" t="s">
        <v>643</v>
      </c>
      <c r="G630" s="22"/>
    </row>
    <row r="631" spans="1:7" ht="20.25" customHeight="1">
      <c r="A631" s="10">
        <v>11574</v>
      </c>
      <c r="B631" s="10">
        <v>15574</v>
      </c>
      <c r="C631" s="10">
        <f t="shared" si="9"/>
        <v>11574</v>
      </c>
      <c r="D631" s="10" t="s">
        <v>549</v>
      </c>
      <c r="E631" s="7" t="s">
        <v>1216</v>
      </c>
      <c r="F631" s="5"/>
      <c r="G631" s="22"/>
    </row>
    <row r="632" spans="1:7" ht="20.25" customHeight="1">
      <c r="A632" s="10">
        <v>11575</v>
      </c>
      <c r="B632" s="10">
        <v>15575</v>
      </c>
      <c r="C632" s="10">
        <f t="shared" si="9"/>
        <v>11575</v>
      </c>
      <c r="D632" s="10" t="s">
        <v>549</v>
      </c>
      <c r="E632" s="7"/>
      <c r="F632" s="5" t="s">
        <v>643</v>
      </c>
      <c r="G632" s="22"/>
    </row>
    <row r="633" spans="1:7" ht="20.25" customHeight="1">
      <c r="A633" s="10">
        <v>11576</v>
      </c>
      <c r="B633" s="10">
        <v>15576</v>
      </c>
      <c r="C633" s="10">
        <f t="shared" si="9"/>
        <v>11576</v>
      </c>
      <c r="D633" s="10" t="s">
        <v>549</v>
      </c>
      <c r="E633" s="7"/>
      <c r="F633" s="5" t="s">
        <v>643</v>
      </c>
      <c r="G633" s="22"/>
    </row>
    <row r="634" spans="1:7" ht="20.25" customHeight="1">
      <c r="A634" s="10">
        <v>11577</v>
      </c>
      <c r="B634" s="10">
        <v>15577</v>
      </c>
      <c r="C634" s="10">
        <f t="shared" si="9"/>
        <v>11577</v>
      </c>
      <c r="D634" s="10" t="s">
        <v>549</v>
      </c>
      <c r="E634" s="7" t="s">
        <v>255</v>
      </c>
      <c r="F634" s="5" t="s">
        <v>256</v>
      </c>
      <c r="G634" s="22"/>
    </row>
    <row r="635" spans="1:7" ht="20.25" customHeight="1">
      <c r="A635" s="10">
        <v>11578</v>
      </c>
      <c r="B635" s="10">
        <v>15578</v>
      </c>
      <c r="C635" s="10">
        <f t="shared" si="9"/>
        <v>11578</v>
      </c>
      <c r="D635" s="10" t="s">
        <v>549</v>
      </c>
      <c r="E635" s="7"/>
      <c r="F635" s="5" t="s">
        <v>643</v>
      </c>
      <c r="G635" s="22"/>
    </row>
    <row r="636" spans="1:7" ht="20.25" customHeight="1">
      <c r="A636" s="10">
        <v>11580</v>
      </c>
      <c r="B636" s="10">
        <v>15580</v>
      </c>
      <c r="C636" s="10">
        <f t="shared" si="9"/>
        <v>11580</v>
      </c>
      <c r="D636" s="10" t="s">
        <v>549</v>
      </c>
      <c r="E636" s="7"/>
      <c r="F636" s="5" t="s">
        <v>643</v>
      </c>
      <c r="G636" s="22"/>
    </row>
    <row r="637" spans="1:7" ht="20.25" customHeight="1">
      <c r="A637" s="10">
        <v>11581</v>
      </c>
      <c r="B637" s="10">
        <v>15581</v>
      </c>
      <c r="C637" s="10">
        <f t="shared" si="9"/>
        <v>11581</v>
      </c>
      <c r="D637" s="10" t="s">
        <v>549</v>
      </c>
      <c r="E637" s="7"/>
      <c r="F637" s="5" t="s">
        <v>643</v>
      </c>
      <c r="G637" s="22"/>
    </row>
    <row r="638" spans="1:7" ht="20.25" customHeight="1">
      <c r="A638" s="10">
        <v>11582</v>
      </c>
      <c r="B638" s="10">
        <v>15582</v>
      </c>
      <c r="C638" s="10">
        <f t="shared" si="9"/>
        <v>11582</v>
      </c>
      <c r="D638" s="10" t="s">
        <v>549</v>
      </c>
      <c r="E638" s="7"/>
      <c r="F638" s="5" t="s">
        <v>643</v>
      </c>
      <c r="G638" s="22"/>
    </row>
    <row r="639" spans="1:7" ht="20.25" customHeight="1">
      <c r="A639" s="10">
        <v>11583</v>
      </c>
      <c r="B639" s="10">
        <v>15583</v>
      </c>
      <c r="C639" s="10">
        <f t="shared" si="9"/>
        <v>11583</v>
      </c>
      <c r="D639" s="10" t="s">
        <v>549</v>
      </c>
      <c r="E639" s="7"/>
      <c r="F639" s="5" t="s">
        <v>643</v>
      </c>
      <c r="G639" s="22"/>
    </row>
    <row r="640" spans="1:7" ht="20.25" customHeight="1">
      <c r="A640" s="10">
        <v>11584</v>
      </c>
      <c r="B640" s="10">
        <v>15584</v>
      </c>
      <c r="C640" s="10">
        <f t="shared" si="9"/>
        <v>11584</v>
      </c>
      <c r="D640" s="10" t="s">
        <v>549</v>
      </c>
      <c r="E640" s="7"/>
      <c r="F640" s="5" t="s">
        <v>643</v>
      </c>
      <c r="G640" s="22"/>
    </row>
    <row r="641" spans="1:7" ht="20.25" customHeight="1">
      <c r="A641" s="10">
        <v>11585</v>
      </c>
      <c r="B641" s="10">
        <v>15585</v>
      </c>
      <c r="C641" s="10">
        <f t="shared" si="9"/>
        <v>11585</v>
      </c>
      <c r="D641" s="10" t="s">
        <v>549</v>
      </c>
      <c r="E641" s="9"/>
      <c r="F641" s="5"/>
      <c r="G641" s="22"/>
    </row>
    <row r="642" spans="1:7" ht="20.25" customHeight="1">
      <c r="A642" s="10">
        <v>11586</v>
      </c>
      <c r="B642" s="10">
        <v>15586</v>
      </c>
      <c r="C642" s="10">
        <f t="shared" si="9"/>
        <v>11586</v>
      </c>
      <c r="D642" s="10" t="s">
        <v>549</v>
      </c>
      <c r="E642" s="12"/>
      <c r="F642" s="5"/>
      <c r="G642" s="22"/>
    </row>
    <row r="643" spans="1:7" ht="20.25" customHeight="1">
      <c r="A643" s="10">
        <v>11587</v>
      </c>
      <c r="B643" s="10">
        <v>15587</v>
      </c>
      <c r="C643" s="10">
        <f t="shared" si="9"/>
        <v>11587</v>
      </c>
      <c r="D643" s="10" t="s">
        <v>549</v>
      </c>
      <c r="E643" s="12"/>
      <c r="F643" s="5" t="s">
        <v>643</v>
      </c>
      <c r="G643" s="22"/>
    </row>
    <row r="644" spans="1:7" ht="20.25" customHeight="1">
      <c r="A644" s="10">
        <v>11588</v>
      </c>
      <c r="B644" s="10">
        <v>15588</v>
      </c>
      <c r="C644" s="10">
        <f t="shared" si="9"/>
        <v>11588</v>
      </c>
      <c r="D644" s="10" t="s">
        <v>549</v>
      </c>
      <c r="E644" s="11" t="s">
        <v>1217</v>
      </c>
      <c r="F644" s="5"/>
      <c r="G644" s="22"/>
    </row>
    <row r="645" spans="1:7" ht="20.25" customHeight="1">
      <c r="A645" s="10">
        <v>11589</v>
      </c>
      <c r="B645" s="10">
        <v>15589</v>
      </c>
      <c r="C645" s="10">
        <f t="shared" ref="C645:C708" si="10">IF(ISERROR(FIND("B_Epic",E645)),A645,A645+10000)</f>
        <v>11589</v>
      </c>
      <c r="D645" s="10" t="s">
        <v>549</v>
      </c>
      <c r="E645" s="9" t="s">
        <v>1218</v>
      </c>
      <c r="F645" s="5"/>
      <c r="G645" s="22"/>
    </row>
    <row r="646" spans="1:7" ht="20.25" customHeight="1">
      <c r="A646" s="10">
        <v>11590</v>
      </c>
      <c r="B646" s="10">
        <v>15590</v>
      </c>
      <c r="C646" s="10">
        <f t="shared" si="10"/>
        <v>21590</v>
      </c>
      <c r="D646" s="10" t="s">
        <v>567</v>
      </c>
      <c r="E646" s="9" t="s">
        <v>1219</v>
      </c>
      <c r="F646" s="5" t="s">
        <v>619</v>
      </c>
      <c r="G646" s="22"/>
    </row>
    <row r="647" spans="1:7" ht="20.25" customHeight="1">
      <c r="A647" s="10">
        <v>11591</v>
      </c>
      <c r="B647" s="10">
        <v>15591</v>
      </c>
      <c r="C647" s="10">
        <f t="shared" si="10"/>
        <v>21591</v>
      </c>
      <c r="D647" s="10" t="s">
        <v>567</v>
      </c>
      <c r="E647" s="9" t="s">
        <v>1220</v>
      </c>
      <c r="F647" s="5" t="s">
        <v>619</v>
      </c>
      <c r="G647" s="22"/>
    </row>
    <row r="648" spans="1:7" ht="20.25" customHeight="1">
      <c r="A648" s="10">
        <v>11592</v>
      </c>
      <c r="B648" s="10">
        <v>15592</v>
      </c>
      <c r="C648" s="10">
        <f t="shared" si="10"/>
        <v>21592</v>
      </c>
      <c r="D648" s="10" t="s">
        <v>567</v>
      </c>
      <c r="E648" s="9" t="s">
        <v>1221</v>
      </c>
      <c r="F648" s="5" t="s">
        <v>619</v>
      </c>
      <c r="G648" s="22"/>
    </row>
    <row r="649" spans="1:7" ht="20.25" customHeight="1">
      <c r="A649" s="10">
        <v>11593</v>
      </c>
      <c r="B649" s="10">
        <v>15593</v>
      </c>
      <c r="C649" s="10">
        <f t="shared" si="10"/>
        <v>11593</v>
      </c>
      <c r="D649" s="10" t="s">
        <v>67</v>
      </c>
      <c r="E649" s="7" t="s">
        <v>1222</v>
      </c>
      <c r="F649" s="5"/>
      <c r="G649" s="22"/>
    </row>
    <row r="650" spans="1:7" ht="20.25" customHeight="1">
      <c r="A650" s="10">
        <v>11594</v>
      </c>
      <c r="B650" s="10">
        <v>15594</v>
      </c>
      <c r="C650" s="10">
        <f t="shared" si="10"/>
        <v>11594</v>
      </c>
      <c r="D650" s="10" t="s">
        <v>549</v>
      </c>
      <c r="E650" s="7" t="s">
        <v>1223</v>
      </c>
      <c r="F650" s="5"/>
      <c r="G650" s="22"/>
    </row>
    <row r="651" spans="1:7" ht="20.25" customHeight="1">
      <c r="A651" s="10">
        <v>11595</v>
      </c>
      <c r="B651" s="10">
        <v>15595</v>
      </c>
      <c r="C651" s="10">
        <f t="shared" si="10"/>
        <v>11595</v>
      </c>
      <c r="D651" s="10" t="s">
        <v>549</v>
      </c>
      <c r="E651" s="7" t="s">
        <v>1224</v>
      </c>
      <c r="F651" s="5"/>
      <c r="G651" s="22"/>
    </row>
    <row r="652" spans="1:7" ht="20.25" customHeight="1">
      <c r="A652" s="10">
        <v>11596</v>
      </c>
      <c r="B652" s="10">
        <v>15596</v>
      </c>
      <c r="C652" s="10">
        <f t="shared" si="10"/>
        <v>11596</v>
      </c>
      <c r="D652" s="10" t="s">
        <v>567</v>
      </c>
      <c r="E652" s="7" t="s">
        <v>1225</v>
      </c>
      <c r="F652" s="5"/>
      <c r="G652" s="22"/>
    </row>
    <row r="653" spans="1:7" ht="20.25" customHeight="1">
      <c r="A653" s="10">
        <v>11597</v>
      </c>
      <c r="B653" s="10">
        <v>15597</v>
      </c>
      <c r="C653" s="10">
        <f t="shared" si="10"/>
        <v>11597</v>
      </c>
      <c r="D653" s="10" t="s">
        <v>567</v>
      </c>
      <c r="E653" s="7" t="s">
        <v>1226</v>
      </c>
      <c r="F653" s="5"/>
      <c r="G653" s="22"/>
    </row>
    <row r="654" spans="1:7" ht="20.25" customHeight="1">
      <c r="A654" s="10">
        <v>11598</v>
      </c>
      <c r="B654" s="10">
        <v>15598</v>
      </c>
      <c r="C654" s="10">
        <f t="shared" si="10"/>
        <v>11598</v>
      </c>
      <c r="D654" s="10" t="s">
        <v>567</v>
      </c>
      <c r="E654" s="7" t="s">
        <v>1227</v>
      </c>
      <c r="F654" s="5"/>
      <c r="G654" s="22"/>
    </row>
    <row r="655" spans="1:7" ht="20.25" customHeight="1">
      <c r="A655" s="10">
        <v>11599</v>
      </c>
      <c r="B655" s="10">
        <v>15599</v>
      </c>
      <c r="C655" s="10">
        <f t="shared" si="10"/>
        <v>11599</v>
      </c>
      <c r="D655" s="10" t="s">
        <v>549</v>
      </c>
      <c r="E655" s="7"/>
      <c r="F655" s="5" t="s">
        <v>643</v>
      </c>
      <c r="G655" s="22"/>
    </row>
    <row r="656" spans="1:7" ht="20.25" customHeight="1">
      <c r="A656" s="10">
        <v>11600</v>
      </c>
      <c r="B656" s="10">
        <v>15600</v>
      </c>
      <c r="C656" s="10">
        <f t="shared" si="10"/>
        <v>11600</v>
      </c>
      <c r="D656" s="10" t="s">
        <v>549</v>
      </c>
      <c r="E656" s="7"/>
      <c r="F656" s="5" t="s">
        <v>643</v>
      </c>
      <c r="G656" s="22"/>
    </row>
    <row r="657" spans="1:7" ht="20.25" customHeight="1">
      <c r="A657" s="10">
        <v>11601</v>
      </c>
      <c r="B657" s="10">
        <v>15601</v>
      </c>
      <c r="C657" s="10">
        <f t="shared" si="10"/>
        <v>11601</v>
      </c>
      <c r="D657" s="10" t="s">
        <v>549</v>
      </c>
      <c r="E657" s="7"/>
      <c r="F657" s="5" t="s">
        <v>643</v>
      </c>
      <c r="G657" s="22"/>
    </row>
    <row r="658" spans="1:7" ht="20.25" customHeight="1">
      <c r="A658" s="10">
        <v>11602</v>
      </c>
      <c r="B658" s="10">
        <v>15602</v>
      </c>
      <c r="C658" s="10">
        <f t="shared" si="10"/>
        <v>11602</v>
      </c>
      <c r="D658" s="10" t="s">
        <v>549</v>
      </c>
      <c r="E658" s="7"/>
      <c r="F658" s="5" t="s">
        <v>643</v>
      </c>
      <c r="G658" s="22"/>
    </row>
    <row r="659" spans="1:7" ht="20.25" customHeight="1">
      <c r="A659" s="10">
        <v>11603</v>
      </c>
      <c r="B659" s="10">
        <v>15603</v>
      </c>
      <c r="C659" s="10">
        <f t="shared" si="10"/>
        <v>11603</v>
      </c>
      <c r="D659" s="10" t="s">
        <v>549</v>
      </c>
      <c r="E659" s="7"/>
      <c r="F659" s="5" t="s">
        <v>643</v>
      </c>
      <c r="G659" s="22"/>
    </row>
    <row r="660" spans="1:7" ht="20.25" customHeight="1">
      <c r="A660" s="10">
        <v>11604</v>
      </c>
      <c r="B660" s="10">
        <v>15604</v>
      </c>
      <c r="C660" s="10">
        <f t="shared" si="10"/>
        <v>11604</v>
      </c>
      <c r="D660" s="10" t="s">
        <v>549</v>
      </c>
      <c r="E660" s="7"/>
      <c r="F660" s="5" t="s">
        <v>643</v>
      </c>
      <c r="G660" s="22"/>
    </row>
    <row r="661" spans="1:7" ht="20.25" customHeight="1">
      <c r="A661" s="10">
        <v>11605</v>
      </c>
      <c r="B661" s="10">
        <v>15605</v>
      </c>
      <c r="C661" s="10">
        <f t="shared" si="10"/>
        <v>11605</v>
      </c>
      <c r="D661" s="10" t="s">
        <v>549</v>
      </c>
      <c r="E661" s="7"/>
      <c r="F661" s="5" t="s">
        <v>643</v>
      </c>
      <c r="G661" s="22"/>
    </row>
    <row r="662" spans="1:7" ht="20.25" customHeight="1">
      <c r="A662" s="10">
        <v>11606</v>
      </c>
      <c r="B662" s="10">
        <v>15606</v>
      </c>
      <c r="C662" s="10">
        <f t="shared" si="10"/>
        <v>11606</v>
      </c>
      <c r="D662" s="10" t="s">
        <v>549</v>
      </c>
      <c r="E662" s="7"/>
      <c r="F662" s="5" t="s">
        <v>643</v>
      </c>
      <c r="G662" s="22"/>
    </row>
    <row r="663" spans="1:7" ht="20.25" customHeight="1">
      <c r="A663" s="10">
        <v>11607</v>
      </c>
      <c r="B663" s="10">
        <v>15607</v>
      </c>
      <c r="C663" s="10">
        <f t="shared" si="10"/>
        <v>11607</v>
      </c>
      <c r="D663" s="10" t="s">
        <v>549</v>
      </c>
      <c r="E663" s="7"/>
      <c r="F663" s="5" t="s">
        <v>643</v>
      </c>
      <c r="G663" s="22"/>
    </row>
    <row r="664" spans="1:7" ht="20.25" customHeight="1">
      <c r="A664" s="10">
        <v>11608</v>
      </c>
      <c r="B664" s="10">
        <v>15608</v>
      </c>
      <c r="C664" s="10">
        <f t="shared" si="10"/>
        <v>11608</v>
      </c>
      <c r="D664" s="10" t="s">
        <v>549</v>
      </c>
      <c r="E664" s="7"/>
      <c r="F664" s="5" t="s">
        <v>643</v>
      </c>
      <c r="G664" s="22"/>
    </row>
    <row r="665" spans="1:7" ht="20.25" customHeight="1">
      <c r="A665" s="10">
        <v>11609</v>
      </c>
      <c r="B665" s="10">
        <v>15609</v>
      </c>
      <c r="C665" s="10">
        <f t="shared" si="10"/>
        <v>11609</v>
      </c>
      <c r="D665" s="10" t="s">
        <v>549</v>
      </c>
      <c r="E665" s="7"/>
      <c r="F665" s="5" t="s">
        <v>643</v>
      </c>
      <c r="G665" s="22"/>
    </row>
    <row r="666" spans="1:7" ht="20.25" customHeight="1">
      <c r="A666" s="10">
        <v>11610</v>
      </c>
      <c r="B666" s="10">
        <v>15610</v>
      </c>
      <c r="C666" s="10">
        <f t="shared" si="10"/>
        <v>11610</v>
      </c>
      <c r="D666" s="10" t="s">
        <v>549</v>
      </c>
      <c r="E666" s="7"/>
      <c r="F666" s="5" t="s">
        <v>643</v>
      </c>
      <c r="G666" s="22"/>
    </row>
    <row r="667" spans="1:7" ht="20.25" customHeight="1">
      <c r="A667" s="10">
        <v>11611</v>
      </c>
      <c r="B667" s="10">
        <v>15611</v>
      </c>
      <c r="C667" s="10">
        <f t="shared" si="10"/>
        <v>11611</v>
      </c>
      <c r="D667" s="10" t="s">
        <v>549</v>
      </c>
      <c r="E667" s="7"/>
      <c r="F667" s="5" t="s">
        <v>643</v>
      </c>
      <c r="G667" s="22"/>
    </row>
    <row r="668" spans="1:7" ht="20.25" customHeight="1">
      <c r="A668" s="10">
        <v>11612</v>
      </c>
      <c r="B668" s="10">
        <v>15612</v>
      </c>
      <c r="C668" s="10">
        <f t="shared" si="10"/>
        <v>11612</v>
      </c>
      <c r="D668" s="10" t="s">
        <v>549</v>
      </c>
      <c r="E668" s="7"/>
      <c r="F668" s="5" t="s">
        <v>643</v>
      </c>
      <c r="G668" s="22"/>
    </row>
    <row r="669" spans="1:7" ht="20.25" customHeight="1">
      <c r="A669" s="10">
        <v>11613</v>
      </c>
      <c r="B669" s="10">
        <v>15613</v>
      </c>
      <c r="C669" s="10">
        <f t="shared" si="10"/>
        <v>11613</v>
      </c>
      <c r="D669" s="10" t="s">
        <v>549</v>
      </c>
      <c r="E669" s="7"/>
      <c r="F669" s="5" t="s">
        <v>643</v>
      </c>
      <c r="G669" s="22"/>
    </row>
    <row r="670" spans="1:7" ht="20.25" customHeight="1">
      <c r="A670" s="10">
        <v>11614</v>
      </c>
      <c r="B670" s="10">
        <v>15614</v>
      </c>
      <c r="C670" s="10">
        <f t="shared" si="10"/>
        <v>11614</v>
      </c>
      <c r="D670" s="10" t="s">
        <v>549</v>
      </c>
      <c r="E670" s="7"/>
      <c r="F670" s="5" t="s">
        <v>643</v>
      </c>
      <c r="G670" s="22"/>
    </row>
    <row r="671" spans="1:7" ht="20.25" customHeight="1">
      <c r="A671" s="10">
        <v>11615</v>
      </c>
      <c r="B671" s="10">
        <v>15615</v>
      </c>
      <c r="C671" s="10">
        <f t="shared" si="10"/>
        <v>11615</v>
      </c>
      <c r="D671" s="10" t="s">
        <v>549</v>
      </c>
      <c r="E671" s="7"/>
      <c r="F671" s="5" t="s">
        <v>643</v>
      </c>
      <c r="G671" s="22"/>
    </row>
    <row r="672" spans="1:7" ht="20.25" customHeight="1">
      <c r="A672" s="10">
        <v>11616</v>
      </c>
      <c r="B672" s="10">
        <v>15616</v>
      </c>
      <c r="C672" s="10">
        <f t="shared" si="10"/>
        <v>11616</v>
      </c>
      <c r="D672" s="10" t="s">
        <v>549</v>
      </c>
      <c r="E672" s="7"/>
      <c r="F672" s="5" t="s">
        <v>643</v>
      </c>
      <c r="G672" s="22"/>
    </row>
    <row r="673" spans="1:7" ht="20.25" customHeight="1">
      <c r="A673" s="10">
        <v>11617</v>
      </c>
      <c r="B673" s="10">
        <v>15617</v>
      </c>
      <c r="C673" s="10">
        <f t="shared" si="10"/>
        <v>11617</v>
      </c>
      <c r="D673" s="10" t="s">
        <v>549</v>
      </c>
      <c r="E673" s="7"/>
      <c r="F673" s="5" t="s">
        <v>643</v>
      </c>
      <c r="G673" s="22"/>
    </row>
    <row r="674" spans="1:7" ht="20.25" customHeight="1">
      <c r="A674" s="10">
        <v>11618</v>
      </c>
      <c r="B674" s="10">
        <v>15618</v>
      </c>
      <c r="C674" s="10">
        <f t="shared" si="10"/>
        <v>11618</v>
      </c>
      <c r="D674" s="10" t="s">
        <v>549</v>
      </c>
      <c r="E674" s="7"/>
      <c r="F674" s="5" t="s">
        <v>643</v>
      </c>
      <c r="G674" s="22"/>
    </row>
    <row r="675" spans="1:7" ht="20.25" customHeight="1">
      <c r="A675" s="10">
        <v>11619</v>
      </c>
      <c r="B675" s="10">
        <v>15619</v>
      </c>
      <c r="C675" s="10">
        <f t="shared" si="10"/>
        <v>11619</v>
      </c>
      <c r="D675" s="10" t="s">
        <v>549</v>
      </c>
      <c r="E675" s="7"/>
      <c r="F675" s="5" t="s">
        <v>643</v>
      </c>
      <c r="G675" s="22"/>
    </row>
    <row r="676" spans="1:7" ht="20.25" customHeight="1">
      <c r="A676" s="10">
        <v>11620</v>
      </c>
      <c r="B676" s="10">
        <v>15620</v>
      </c>
      <c r="C676" s="10">
        <f t="shared" si="10"/>
        <v>11620</v>
      </c>
      <c r="D676" s="10" t="s">
        <v>549</v>
      </c>
      <c r="E676" s="7"/>
      <c r="F676" s="5" t="s">
        <v>643</v>
      </c>
      <c r="G676" s="22"/>
    </row>
    <row r="677" spans="1:7" ht="20.25" customHeight="1">
      <c r="A677" s="10">
        <v>11621</v>
      </c>
      <c r="B677" s="10">
        <v>15621</v>
      </c>
      <c r="C677" s="10">
        <f t="shared" si="10"/>
        <v>11621</v>
      </c>
      <c r="D677" s="10" t="s">
        <v>549</v>
      </c>
      <c r="E677" s="7"/>
      <c r="F677" s="5" t="s">
        <v>643</v>
      </c>
      <c r="G677" s="22"/>
    </row>
    <row r="678" spans="1:7" ht="20.25" customHeight="1">
      <c r="A678" s="10">
        <v>11622</v>
      </c>
      <c r="B678" s="10">
        <v>15622</v>
      </c>
      <c r="C678" s="10">
        <f t="shared" si="10"/>
        <v>11622</v>
      </c>
      <c r="D678" s="10" t="s">
        <v>549</v>
      </c>
      <c r="E678" s="7"/>
      <c r="F678" s="5" t="s">
        <v>643</v>
      </c>
      <c r="G678" s="22"/>
    </row>
    <row r="679" spans="1:7" ht="20.25" customHeight="1">
      <c r="A679" s="10">
        <v>11623</v>
      </c>
      <c r="B679" s="10">
        <v>15623</v>
      </c>
      <c r="C679" s="10">
        <f t="shared" si="10"/>
        <v>11623</v>
      </c>
      <c r="D679" s="10" t="s">
        <v>549</v>
      </c>
      <c r="E679" s="7"/>
      <c r="F679" s="5" t="s">
        <v>643</v>
      </c>
      <c r="G679" s="22"/>
    </row>
    <row r="680" spans="1:7" ht="20.25" customHeight="1">
      <c r="A680" s="10">
        <v>11624</v>
      </c>
      <c r="B680" s="10">
        <v>15624</v>
      </c>
      <c r="C680" s="10">
        <f t="shared" si="10"/>
        <v>11624</v>
      </c>
      <c r="D680" s="10" t="s">
        <v>549</v>
      </c>
      <c r="E680" s="7"/>
      <c r="F680" s="5" t="s">
        <v>643</v>
      </c>
      <c r="G680" s="22"/>
    </row>
    <row r="681" spans="1:7" ht="20.25" customHeight="1">
      <c r="A681" s="10">
        <v>11625</v>
      </c>
      <c r="B681" s="10">
        <v>15625</v>
      </c>
      <c r="C681" s="10">
        <f t="shared" si="10"/>
        <v>11625</v>
      </c>
      <c r="D681" s="10" t="s">
        <v>549</v>
      </c>
      <c r="E681" s="7"/>
      <c r="F681" s="5" t="s">
        <v>643</v>
      </c>
      <c r="G681" s="22"/>
    </row>
    <row r="682" spans="1:7" ht="20.25" customHeight="1">
      <c r="A682" s="10">
        <v>11626</v>
      </c>
      <c r="B682" s="10">
        <v>15626</v>
      </c>
      <c r="C682" s="10">
        <f t="shared" si="10"/>
        <v>11626</v>
      </c>
      <c r="D682" s="10" t="s">
        <v>549</v>
      </c>
      <c r="E682" s="7"/>
      <c r="F682" s="5" t="s">
        <v>643</v>
      </c>
      <c r="G682" s="22"/>
    </row>
    <row r="683" spans="1:7" ht="20.25" customHeight="1">
      <c r="A683" s="10">
        <v>11627</v>
      </c>
      <c r="B683" s="10">
        <v>15627</v>
      </c>
      <c r="C683" s="10">
        <f t="shared" si="10"/>
        <v>11627</v>
      </c>
      <c r="D683" s="10" t="s">
        <v>549</v>
      </c>
      <c r="E683" s="7"/>
      <c r="F683" s="5" t="s">
        <v>643</v>
      </c>
      <c r="G683" s="22"/>
    </row>
    <row r="684" spans="1:7" ht="20.25" customHeight="1">
      <c r="A684" s="10">
        <v>11628</v>
      </c>
      <c r="B684" s="10">
        <v>15628</v>
      </c>
      <c r="C684" s="10">
        <f t="shared" si="10"/>
        <v>11628</v>
      </c>
      <c r="D684" s="10" t="s">
        <v>549</v>
      </c>
      <c r="E684" s="7"/>
      <c r="F684" s="5" t="s">
        <v>643</v>
      </c>
      <c r="G684" s="22"/>
    </row>
    <row r="685" spans="1:7" ht="20.25" customHeight="1">
      <c r="A685" s="10">
        <v>11629</v>
      </c>
      <c r="B685" s="10">
        <v>15629</v>
      </c>
      <c r="C685" s="10">
        <f t="shared" si="10"/>
        <v>11629</v>
      </c>
      <c r="D685" s="10" t="s">
        <v>549</v>
      </c>
      <c r="E685" s="7"/>
      <c r="F685" s="5" t="s">
        <v>643</v>
      </c>
      <c r="G685" s="22"/>
    </row>
    <row r="686" spans="1:7" ht="20.25" customHeight="1">
      <c r="A686" s="10">
        <v>11630</v>
      </c>
      <c r="B686" s="10">
        <v>15630</v>
      </c>
      <c r="C686" s="10">
        <f t="shared" si="10"/>
        <v>11630</v>
      </c>
      <c r="D686" s="10" t="s">
        <v>549</v>
      </c>
      <c r="E686" s="7"/>
      <c r="F686" s="5" t="s">
        <v>643</v>
      </c>
      <c r="G686" s="22"/>
    </row>
    <row r="687" spans="1:7" ht="20.25" customHeight="1">
      <c r="A687" s="10">
        <v>11631</v>
      </c>
      <c r="B687" s="10">
        <v>15631</v>
      </c>
      <c r="C687" s="10">
        <f t="shared" si="10"/>
        <v>11631</v>
      </c>
      <c r="D687" s="10" t="s">
        <v>549</v>
      </c>
      <c r="E687" s="7"/>
      <c r="F687" s="5" t="s">
        <v>643</v>
      </c>
      <c r="G687" s="22"/>
    </row>
    <row r="688" spans="1:7" ht="20.25" customHeight="1">
      <c r="A688" s="10">
        <v>11632</v>
      </c>
      <c r="B688" s="10">
        <v>15632</v>
      </c>
      <c r="C688" s="10">
        <f t="shared" si="10"/>
        <v>11632</v>
      </c>
      <c r="D688" s="10" t="s">
        <v>549</v>
      </c>
      <c r="E688" s="7"/>
      <c r="F688" s="5" t="s">
        <v>643</v>
      </c>
      <c r="G688" s="22"/>
    </row>
    <row r="689" spans="1:7" ht="20.25" customHeight="1">
      <c r="A689" s="10">
        <v>11633</v>
      </c>
      <c r="B689" s="10">
        <v>15633</v>
      </c>
      <c r="C689" s="10">
        <f t="shared" si="10"/>
        <v>11633</v>
      </c>
      <c r="D689" s="10" t="s">
        <v>549</v>
      </c>
      <c r="E689" s="7"/>
      <c r="F689" s="5" t="s">
        <v>643</v>
      </c>
      <c r="G689" s="22"/>
    </row>
    <row r="690" spans="1:7" ht="20.25" customHeight="1">
      <c r="A690" s="10">
        <v>11634</v>
      </c>
      <c r="B690" s="10">
        <v>15634</v>
      </c>
      <c r="C690" s="10">
        <f t="shared" si="10"/>
        <v>11634</v>
      </c>
      <c r="D690" s="10" t="s">
        <v>549</v>
      </c>
      <c r="E690" s="7"/>
      <c r="F690" s="5" t="s">
        <v>643</v>
      </c>
      <c r="G690" s="22"/>
    </row>
    <row r="691" spans="1:7" ht="20.25" customHeight="1">
      <c r="A691" s="10">
        <v>11635</v>
      </c>
      <c r="B691" s="10">
        <v>15635</v>
      </c>
      <c r="C691" s="10">
        <f t="shared" si="10"/>
        <v>11635</v>
      </c>
      <c r="D691" s="10" t="s">
        <v>549</v>
      </c>
      <c r="E691" s="7"/>
      <c r="F691" s="5" t="s">
        <v>643</v>
      </c>
      <c r="G691" s="22"/>
    </row>
    <row r="692" spans="1:7" ht="20.25" customHeight="1">
      <c r="A692" s="10">
        <v>11636</v>
      </c>
      <c r="B692" s="10">
        <v>15636</v>
      </c>
      <c r="C692" s="10">
        <f t="shared" si="10"/>
        <v>11636</v>
      </c>
      <c r="D692" s="10" t="s">
        <v>549</v>
      </c>
      <c r="E692" s="7"/>
      <c r="F692" s="5" t="s">
        <v>643</v>
      </c>
      <c r="G692" s="22"/>
    </row>
    <row r="693" spans="1:7" ht="20.25" customHeight="1">
      <c r="A693" s="10">
        <v>11637</v>
      </c>
      <c r="B693" s="10">
        <v>15637</v>
      </c>
      <c r="C693" s="10">
        <f t="shared" si="10"/>
        <v>11637</v>
      </c>
      <c r="D693" s="10" t="s">
        <v>549</v>
      </c>
      <c r="E693" s="7"/>
      <c r="F693" s="5" t="s">
        <v>643</v>
      </c>
      <c r="G693" s="22"/>
    </row>
    <row r="694" spans="1:7" ht="20.25" customHeight="1">
      <c r="A694" s="10">
        <v>11638</v>
      </c>
      <c r="B694" s="10">
        <v>15638</v>
      </c>
      <c r="C694" s="10">
        <f t="shared" si="10"/>
        <v>11638</v>
      </c>
      <c r="D694" s="10" t="s">
        <v>549</v>
      </c>
      <c r="E694" s="7"/>
      <c r="F694" s="5" t="s">
        <v>643</v>
      </c>
      <c r="G694" s="22"/>
    </row>
    <row r="695" spans="1:7" ht="20.25" customHeight="1">
      <c r="A695" s="10">
        <v>11639</v>
      </c>
      <c r="B695" s="10">
        <v>15639</v>
      </c>
      <c r="C695" s="10">
        <f t="shared" si="10"/>
        <v>11639</v>
      </c>
      <c r="D695" s="10" t="s">
        <v>549</v>
      </c>
      <c r="E695" s="7"/>
      <c r="F695" s="5" t="s">
        <v>643</v>
      </c>
      <c r="G695" s="22"/>
    </row>
    <row r="696" spans="1:7" ht="20.25" customHeight="1">
      <c r="A696" s="10">
        <v>11640</v>
      </c>
      <c r="B696" s="10">
        <v>15640</v>
      </c>
      <c r="C696" s="10">
        <f t="shared" si="10"/>
        <v>11640</v>
      </c>
      <c r="D696" s="10" t="s">
        <v>549</v>
      </c>
      <c r="E696" s="7"/>
      <c r="F696" s="5" t="s">
        <v>643</v>
      </c>
      <c r="G696" s="22"/>
    </row>
    <row r="697" spans="1:7" ht="20.25" customHeight="1">
      <c r="A697" s="10">
        <v>11641</v>
      </c>
      <c r="B697" s="10">
        <v>15641</v>
      </c>
      <c r="C697" s="10">
        <f t="shared" si="10"/>
        <v>11641</v>
      </c>
      <c r="D697" s="10" t="s">
        <v>549</v>
      </c>
      <c r="E697" s="7"/>
      <c r="F697" s="5" t="s">
        <v>643</v>
      </c>
      <c r="G697" s="22"/>
    </row>
    <row r="698" spans="1:7" ht="20.25" customHeight="1">
      <c r="A698" s="10">
        <v>11642</v>
      </c>
      <c r="B698" s="10">
        <v>15642</v>
      </c>
      <c r="C698" s="10">
        <f t="shared" si="10"/>
        <v>11642</v>
      </c>
      <c r="D698" s="10" t="s">
        <v>549</v>
      </c>
      <c r="E698" s="7"/>
      <c r="F698" s="5" t="s">
        <v>643</v>
      </c>
      <c r="G698" s="22"/>
    </row>
    <row r="699" spans="1:7" ht="20.25" customHeight="1">
      <c r="A699" s="10">
        <v>11643</v>
      </c>
      <c r="B699" s="10">
        <v>15643</v>
      </c>
      <c r="C699" s="10">
        <f t="shared" si="10"/>
        <v>11643</v>
      </c>
      <c r="D699" s="10" t="s">
        <v>549</v>
      </c>
      <c r="E699" s="7"/>
      <c r="F699" s="5" t="s">
        <v>643</v>
      </c>
      <c r="G699" s="22"/>
    </row>
    <row r="700" spans="1:7" ht="20.25" customHeight="1">
      <c r="A700" s="10">
        <v>11644</v>
      </c>
      <c r="B700" s="10">
        <v>15644</v>
      </c>
      <c r="C700" s="10">
        <f t="shared" si="10"/>
        <v>11644</v>
      </c>
      <c r="D700" s="10" t="s">
        <v>549</v>
      </c>
      <c r="E700" s="7"/>
      <c r="F700" s="5" t="s">
        <v>643</v>
      </c>
      <c r="G700" s="22"/>
    </row>
    <row r="701" spans="1:7" ht="20.25" customHeight="1">
      <c r="A701" s="10">
        <v>11645</v>
      </c>
      <c r="B701" s="10">
        <v>15645</v>
      </c>
      <c r="C701" s="10">
        <f t="shared" si="10"/>
        <v>11645</v>
      </c>
      <c r="D701" s="10" t="s">
        <v>549</v>
      </c>
      <c r="E701" s="7"/>
      <c r="F701" s="5" t="s">
        <v>643</v>
      </c>
      <c r="G701" s="22"/>
    </row>
    <row r="702" spans="1:7" ht="20.25" customHeight="1">
      <c r="A702" s="10">
        <v>11646</v>
      </c>
      <c r="B702" s="10">
        <v>15646</v>
      </c>
      <c r="C702" s="10">
        <f t="shared" si="10"/>
        <v>11646</v>
      </c>
      <c r="D702" s="10" t="s">
        <v>549</v>
      </c>
      <c r="E702" s="7"/>
      <c r="F702" s="5" t="s">
        <v>643</v>
      </c>
      <c r="G702" s="22"/>
    </row>
    <row r="703" spans="1:7" ht="20.25" customHeight="1">
      <c r="A703" s="10">
        <v>11647</v>
      </c>
      <c r="B703" s="10">
        <v>15647</v>
      </c>
      <c r="C703" s="10">
        <f t="shared" si="10"/>
        <v>11647</v>
      </c>
      <c r="D703" s="10" t="s">
        <v>549</v>
      </c>
      <c r="E703" s="7"/>
      <c r="F703" s="5" t="s">
        <v>643</v>
      </c>
      <c r="G703" s="22"/>
    </row>
    <row r="704" spans="1:7" ht="20.25" customHeight="1">
      <c r="A704" s="10">
        <v>11648</v>
      </c>
      <c r="B704" s="10">
        <v>15648</v>
      </c>
      <c r="C704" s="10">
        <f t="shared" si="10"/>
        <v>11648</v>
      </c>
      <c r="D704" s="10" t="s">
        <v>549</v>
      </c>
      <c r="E704" s="7"/>
      <c r="F704" s="5" t="s">
        <v>643</v>
      </c>
      <c r="G704" s="22"/>
    </row>
    <row r="705" spans="1:7" ht="20.25" customHeight="1">
      <c r="A705" s="10">
        <v>11649</v>
      </c>
      <c r="B705" s="10">
        <v>15649</v>
      </c>
      <c r="C705" s="10">
        <f t="shared" si="10"/>
        <v>11649</v>
      </c>
      <c r="D705" s="10" t="s">
        <v>549</v>
      </c>
      <c r="E705" s="7"/>
      <c r="F705" s="5" t="s">
        <v>643</v>
      </c>
      <c r="G705" s="22"/>
    </row>
    <row r="706" spans="1:7" ht="20.25" customHeight="1">
      <c r="A706" s="10">
        <v>11650</v>
      </c>
      <c r="B706" s="10">
        <v>15650</v>
      </c>
      <c r="C706" s="10">
        <f t="shared" si="10"/>
        <v>11650</v>
      </c>
      <c r="D706" s="10" t="s">
        <v>549</v>
      </c>
      <c r="E706" s="7"/>
      <c r="F706" s="5" t="s">
        <v>643</v>
      </c>
      <c r="G706" s="22"/>
    </row>
    <row r="707" spans="1:7" ht="20.25" customHeight="1">
      <c r="A707" s="10">
        <v>11651</v>
      </c>
      <c r="B707" s="10">
        <v>15651</v>
      </c>
      <c r="C707" s="10">
        <f t="shared" si="10"/>
        <v>11651</v>
      </c>
      <c r="D707" s="10" t="s">
        <v>549</v>
      </c>
      <c r="E707" s="7"/>
      <c r="F707" s="5" t="s">
        <v>643</v>
      </c>
      <c r="G707" s="22"/>
    </row>
    <row r="708" spans="1:7" ht="20.25" customHeight="1">
      <c r="A708" s="10">
        <v>11652</v>
      </c>
      <c r="B708" s="10">
        <v>15652</v>
      </c>
      <c r="C708" s="10">
        <f t="shared" si="10"/>
        <v>11652</v>
      </c>
      <c r="D708" s="10" t="s">
        <v>549</v>
      </c>
      <c r="E708" s="7"/>
      <c r="F708" s="5" t="s">
        <v>643</v>
      </c>
      <c r="G708" s="22"/>
    </row>
    <row r="709" spans="1:7" ht="20.25" customHeight="1">
      <c r="A709" s="10">
        <v>11653</v>
      </c>
      <c r="B709" s="10">
        <v>15653</v>
      </c>
      <c r="C709" s="10">
        <f t="shared" ref="C709:C772" si="11">IF(ISERROR(FIND("B_Epic",E709)),A709,A709+10000)</f>
        <v>11653</v>
      </c>
      <c r="D709" s="10" t="s">
        <v>549</v>
      </c>
      <c r="E709" s="7"/>
      <c r="F709" s="5" t="s">
        <v>643</v>
      </c>
      <c r="G709" s="22"/>
    </row>
    <row r="710" spans="1:7" ht="20.25" customHeight="1">
      <c r="A710" s="10">
        <v>11654</v>
      </c>
      <c r="B710" s="10">
        <v>15654</v>
      </c>
      <c r="C710" s="10">
        <f t="shared" si="11"/>
        <v>11654</v>
      </c>
      <c r="D710" s="10" t="s">
        <v>549</v>
      </c>
      <c r="E710" s="7"/>
      <c r="F710" s="5" t="s">
        <v>643</v>
      </c>
      <c r="G710" s="22"/>
    </row>
    <row r="711" spans="1:7" ht="20.25" customHeight="1">
      <c r="A711" s="10">
        <v>11655</v>
      </c>
      <c r="B711" s="10">
        <v>15655</v>
      </c>
      <c r="C711" s="10">
        <f t="shared" si="11"/>
        <v>11655</v>
      </c>
      <c r="D711" s="10" t="s">
        <v>549</v>
      </c>
      <c r="E711" s="7"/>
      <c r="F711" s="5" t="s">
        <v>643</v>
      </c>
      <c r="G711" s="22"/>
    </row>
    <row r="712" spans="1:7" ht="20.25" customHeight="1">
      <c r="A712" s="10">
        <v>11656</v>
      </c>
      <c r="B712" s="10">
        <v>15656</v>
      </c>
      <c r="C712" s="10">
        <f t="shared" si="11"/>
        <v>11656</v>
      </c>
      <c r="D712" s="10" t="s">
        <v>549</v>
      </c>
      <c r="E712" s="7"/>
      <c r="F712" s="5" t="s">
        <v>643</v>
      </c>
      <c r="G712" s="22"/>
    </row>
    <row r="713" spans="1:7" ht="20.25" customHeight="1">
      <c r="A713" s="10">
        <v>11657</v>
      </c>
      <c r="B713" s="10">
        <v>15657</v>
      </c>
      <c r="C713" s="10">
        <f t="shared" si="11"/>
        <v>11657</v>
      </c>
      <c r="D713" s="10" t="s">
        <v>549</v>
      </c>
      <c r="E713" s="7"/>
      <c r="F713" s="5" t="s">
        <v>643</v>
      </c>
      <c r="G713" s="22"/>
    </row>
    <row r="714" spans="1:7" ht="20.25" customHeight="1">
      <c r="A714" s="10">
        <v>11658</v>
      </c>
      <c r="B714" s="10">
        <v>15658</v>
      </c>
      <c r="C714" s="10">
        <f t="shared" si="11"/>
        <v>11658</v>
      </c>
      <c r="D714" s="10" t="s">
        <v>549</v>
      </c>
      <c r="E714" s="7"/>
      <c r="F714" s="5" t="s">
        <v>643</v>
      </c>
      <c r="G714" s="22"/>
    </row>
    <row r="715" spans="1:7" ht="20.25" customHeight="1">
      <c r="A715" s="10">
        <v>11659</v>
      </c>
      <c r="B715" s="10">
        <v>15659</v>
      </c>
      <c r="C715" s="10">
        <f t="shared" si="11"/>
        <v>11659</v>
      </c>
      <c r="D715" s="10" t="s">
        <v>549</v>
      </c>
      <c r="E715" s="7"/>
      <c r="F715" s="5" t="s">
        <v>643</v>
      </c>
      <c r="G715" s="22"/>
    </row>
    <row r="716" spans="1:7" ht="20.25" customHeight="1">
      <c r="A716" s="10">
        <v>11660</v>
      </c>
      <c r="B716" s="10">
        <v>15660</v>
      </c>
      <c r="C716" s="10">
        <f t="shared" si="11"/>
        <v>11660</v>
      </c>
      <c r="D716" s="10" t="s">
        <v>549</v>
      </c>
      <c r="E716" s="7"/>
      <c r="F716" s="5" t="s">
        <v>643</v>
      </c>
      <c r="G716" s="22"/>
    </row>
    <row r="717" spans="1:7" ht="20.25" customHeight="1">
      <c r="A717" s="10">
        <v>11661</v>
      </c>
      <c r="B717" s="10">
        <v>15661</v>
      </c>
      <c r="C717" s="10">
        <f t="shared" si="11"/>
        <v>11661</v>
      </c>
      <c r="D717" s="10" t="s">
        <v>549</v>
      </c>
      <c r="E717" s="7"/>
      <c r="F717" s="5" t="s">
        <v>643</v>
      </c>
      <c r="G717" s="22"/>
    </row>
    <row r="718" spans="1:7" ht="20.25" customHeight="1">
      <c r="A718" s="10">
        <v>11662</v>
      </c>
      <c r="B718" s="10">
        <v>15662</v>
      </c>
      <c r="C718" s="10">
        <f t="shared" si="11"/>
        <v>11662</v>
      </c>
      <c r="D718" s="10" t="s">
        <v>549</v>
      </c>
      <c r="E718" s="7"/>
      <c r="F718" s="5" t="s">
        <v>643</v>
      </c>
      <c r="G718" s="22"/>
    </row>
    <row r="719" spans="1:7" ht="20.25" customHeight="1">
      <c r="A719" s="10">
        <v>11663</v>
      </c>
      <c r="B719" s="10">
        <v>15663</v>
      </c>
      <c r="C719" s="10">
        <f t="shared" si="11"/>
        <v>11663</v>
      </c>
      <c r="D719" s="10" t="s">
        <v>549</v>
      </c>
      <c r="E719" s="7"/>
      <c r="F719" s="5" t="s">
        <v>643</v>
      </c>
      <c r="G719" s="22"/>
    </row>
    <row r="720" spans="1:7" ht="20.25" customHeight="1">
      <c r="A720" s="10">
        <v>11664</v>
      </c>
      <c r="B720" s="10">
        <v>15664</v>
      </c>
      <c r="C720" s="10">
        <f t="shared" si="11"/>
        <v>11664</v>
      </c>
      <c r="D720" s="10" t="s">
        <v>549</v>
      </c>
      <c r="E720" s="7"/>
      <c r="F720" s="5" t="s">
        <v>643</v>
      </c>
      <c r="G720" s="22"/>
    </row>
    <row r="721" spans="1:7" ht="20.25" customHeight="1">
      <c r="A721" s="10">
        <v>11665</v>
      </c>
      <c r="B721" s="10">
        <v>15665</v>
      </c>
      <c r="C721" s="10">
        <f t="shared" si="11"/>
        <v>11665</v>
      </c>
      <c r="D721" s="10" t="s">
        <v>549</v>
      </c>
      <c r="E721" s="7"/>
      <c r="F721" s="5" t="s">
        <v>643</v>
      </c>
      <c r="G721" s="22"/>
    </row>
    <row r="722" spans="1:7" ht="20.25" customHeight="1">
      <c r="A722" s="10">
        <v>11666</v>
      </c>
      <c r="B722" s="10">
        <v>15666</v>
      </c>
      <c r="C722" s="10">
        <f t="shared" si="11"/>
        <v>11666</v>
      </c>
      <c r="D722" s="10" t="s">
        <v>549</v>
      </c>
      <c r="E722" s="7"/>
      <c r="F722" s="5" t="s">
        <v>643</v>
      </c>
      <c r="G722" s="22"/>
    </row>
    <row r="723" spans="1:7" ht="20.25" customHeight="1">
      <c r="A723" s="10">
        <v>11667</v>
      </c>
      <c r="B723" s="10">
        <v>15667</v>
      </c>
      <c r="C723" s="10">
        <f t="shared" si="11"/>
        <v>11667</v>
      </c>
      <c r="D723" s="10" t="s">
        <v>549</v>
      </c>
      <c r="E723" s="7"/>
      <c r="F723" s="5" t="s">
        <v>643</v>
      </c>
      <c r="G723" s="22"/>
    </row>
    <row r="724" spans="1:7" ht="20.25" customHeight="1">
      <c r="A724" s="10">
        <v>11668</v>
      </c>
      <c r="B724" s="10">
        <v>15668</v>
      </c>
      <c r="C724" s="10">
        <f t="shared" si="11"/>
        <v>11668</v>
      </c>
      <c r="D724" s="10" t="s">
        <v>549</v>
      </c>
      <c r="E724" s="7"/>
      <c r="F724" s="5" t="s">
        <v>643</v>
      </c>
      <c r="G724" s="22"/>
    </row>
    <row r="725" spans="1:7" ht="20.25" customHeight="1">
      <c r="A725" s="10">
        <v>11669</v>
      </c>
      <c r="B725" s="10">
        <v>15669</v>
      </c>
      <c r="C725" s="10">
        <f t="shared" si="11"/>
        <v>11669</v>
      </c>
      <c r="D725" s="10" t="s">
        <v>549</v>
      </c>
      <c r="E725" s="7"/>
      <c r="F725" s="5" t="s">
        <v>643</v>
      </c>
      <c r="G725" s="22"/>
    </row>
    <row r="726" spans="1:7" ht="20.25" customHeight="1">
      <c r="A726" s="10">
        <v>11670</v>
      </c>
      <c r="B726" s="10">
        <v>15670</v>
      </c>
      <c r="C726" s="10">
        <f t="shared" si="11"/>
        <v>11670</v>
      </c>
      <c r="D726" s="10" t="s">
        <v>549</v>
      </c>
      <c r="E726" s="7"/>
      <c r="F726" s="5" t="s">
        <v>643</v>
      </c>
      <c r="G726" s="22"/>
    </row>
    <row r="727" spans="1:7" ht="20.25" customHeight="1">
      <c r="A727" s="10">
        <v>11671</v>
      </c>
      <c r="B727" s="10">
        <v>15671</v>
      </c>
      <c r="C727" s="10">
        <f t="shared" si="11"/>
        <v>11671</v>
      </c>
      <c r="D727" s="10" t="s">
        <v>549</v>
      </c>
      <c r="E727" s="7"/>
      <c r="F727" s="5" t="s">
        <v>643</v>
      </c>
      <c r="G727" s="22"/>
    </row>
    <row r="728" spans="1:7" ht="20.25" customHeight="1">
      <c r="A728" s="10">
        <v>11672</v>
      </c>
      <c r="B728" s="10">
        <v>15672</v>
      </c>
      <c r="C728" s="10">
        <f t="shared" si="11"/>
        <v>11672</v>
      </c>
      <c r="D728" s="10" t="s">
        <v>549</v>
      </c>
      <c r="E728" s="7"/>
      <c r="F728" s="5" t="s">
        <v>643</v>
      </c>
      <c r="G728" s="22"/>
    </row>
    <row r="729" spans="1:7" ht="20.25" customHeight="1">
      <c r="A729" s="10">
        <v>11673</v>
      </c>
      <c r="B729" s="10">
        <v>15673</v>
      </c>
      <c r="C729" s="10">
        <f t="shared" si="11"/>
        <v>11673</v>
      </c>
      <c r="D729" s="10" t="s">
        <v>549</v>
      </c>
      <c r="E729" s="7"/>
      <c r="F729" s="5" t="s">
        <v>643</v>
      </c>
      <c r="G729" s="22"/>
    </row>
    <row r="730" spans="1:7" ht="20.25" customHeight="1">
      <c r="A730" s="10">
        <v>11674</v>
      </c>
      <c r="B730" s="10">
        <v>15674</v>
      </c>
      <c r="C730" s="10">
        <f t="shared" si="11"/>
        <v>11674</v>
      </c>
      <c r="D730" s="10" t="s">
        <v>549</v>
      </c>
      <c r="E730" s="7"/>
      <c r="F730" s="5" t="s">
        <v>643</v>
      </c>
      <c r="G730" s="22"/>
    </row>
    <row r="731" spans="1:7" ht="20.25" customHeight="1">
      <c r="A731" s="10">
        <v>11675</v>
      </c>
      <c r="B731" s="10">
        <v>15675</v>
      </c>
      <c r="C731" s="10">
        <f t="shared" si="11"/>
        <v>11675</v>
      </c>
      <c r="D731" s="10" t="s">
        <v>549</v>
      </c>
      <c r="E731" s="7"/>
      <c r="F731" s="5" t="s">
        <v>643</v>
      </c>
      <c r="G731" s="22"/>
    </row>
    <row r="732" spans="1:7" ht="20.25" customHeight="1">
      <c r="A732" s="10">
        <v>11676</v>
      </c>
      <c r="B732" s="10">
        <v>15676</v>
      </c>
      <c r="C732" s="10">
        <f t="shared" si="11"/>
        <v>11676</v>
      </c>
      <c r="D732" s="10" t="s">
        <v>549</v>
      </c>
      <c r="E732" s="7"/>
      <c r="F732" s="5" t="s">
        <v>643</v>
      </c>
      <c r="G732" s="22"/>
    </row>
    <row r="733" spans="1:7" ht="20.25" customHeight="1">
      <c r="A733" s="10">
        <v>11677</v>
      </c>
      <c r="B733" s="10">
        <v>15677</v>
      </c>
      <c r="C733" s="10">
        <f t="shared" si="11"/>
        <v>11677</v>
      </c>
      <c r="D733" s="10" t="s">
        <v>549</v>
      </c>
      <c r="E733" s="7"/>
      <c r="F733" s="5" t="s">
        <v>643</v>
      </c>
      <c r="G733" s="22"/>
    </row>
    <row r="734" spans="1:7" ht="20.25" customHeight="1">
      <c r="A734" s="10">
        <v>11678</v>
      </c>
      <c r="B734" s="10">
        <v>15678</v>
      </c>
      <c r="C734" s="10">
        <f t="shared" si="11"/>
        <v>11678</v>
      </c>
      <c r="D734" s="10" t="s">
        <v>549</v>
      </c>
      <c r="E734" s="7"/>
      <c r="F734" s="5" t="s">
        <v>643</v>
      </c>
      <c r="G734" s="22"/>
    </row>
    <row r="735" spans="1:7" ht="20.25" customHeight="1">
      <c r="A735" s="10">
        <v>11679</v>
      </c>
      <c r="B735" s="10">
        <v>15679</v>
      </c>
      <c r="C735" s="10">
        <f t="shared" si="11"/>
        <v>11679</v>
      </c>
      <c r="D735" s="10" t="s">
        <v>549</v>
      </c>
      <c r="E735" s="7"/>
      <c r="F735" s="5" t="s">
        <v>643</v>
      </c>
      <c r="G735" s="22"/>
    </row>
    <row r="736" spans="1:7" ht="20.25" customHeight="1">
      <c r="A736" s="10">
        <v>11680</v>
      </c>
      <c r="B736" s="10">
        <v>15680</v>
      </c>
      <c r="C736" s="10">
        <f t="shared" si="11"/>
        <v>11680</v>
      </c>
      <c r="D736" s="10" t="s">
        <v>549</v>
      </c>
      <c r="E736" s="7"/>
      <c r="F736" s="5" t="s">
        <v>643</v>
      </c>
      <c r="G736" s="22"/>
    </row>
    <row r="737" spans="1:7" ht="20.25" customHeight="1">
      <c r="A737" s="10">
        <v>11681</v>
      </c>
      <c r="B737" s="10">
        <v>15681</v>
      </c>
      <c r="C737" s="10">
        <f t="shared" si="11"/>
        <v>11681</v>
      </c>
      <c r="D737" s="10" t="s">
        <v>549</v>
      </c>
      <c r="E737" s="7"/>
      <c r="F737" s="5" t="s">
        <v>643</v>
      </c>
      <c r="G737" s="22"/>
    </row>
    <row r="738" spans="1:7" ht="20.25" customHeight="1">
      <c r="A738" s="10">
        <v>11682</v>
      </c>
      <c r="B738" s="10">
        <v>15682</v>
      </c>
      <c r="C738" s="10">
        <f t="shared" si="11"/>
        <v>11682</v>
      </c>
      <c r="D738" s="10" t="s">
        <v>549</v>
      </c>
      <c r="E738" s="7"/>
      <c r="F738" s="5" t="s">
        <v>643</v>
      </c>
      <c r="G738" s="22"/>
    </row>
    <row r="739" spans="1:7" ht="20.25" customHeight="1">
      <c r="A739" s="10">
        <v>11683</v>
      </c>
      <c r="B739" s="10">
        <v>15683</v>
      </c>
      <c r="C739" s="10">
        <f t="shared" si="11"/>
        <v>11683</v>
      </c>
      <c r="D739" s="10" t="s">
        <v>549</v>
      </c>
      <c r="E739" s="7"/>
      <c r="F739" s="5" t="s">
        <v>643</v>
      </c>
      <c r="G739" s="22"/>
    </row>
    <row r="740" spans="1:7" ht="20.25" customHeight="1">
      <c r="A740" s="10">
        <v>11684</v>
      </c>
      <c r="B740" s="10">
        <v>15684</v>
      </c>
      <c r="C740" s="10">
        <f t="shared" si="11"/>
        <v>11684</v>
      </c>
      <c r="D740" s="10" t="s">
        <v>549</v>
      </c>
      <c r="E740" s="7"/>
      <c r="F740" s="5" t="s">
        <v>643</v>
      </c>
      <c r="G740" s="22"/>
    </row>
    <row r="741" spans="1:7" ht="20.25" customHeight="1">
      <c r="A741" s="10">
        <v>11685</v>
      </c>
      <c r="B741" s="10">
        <v>15685</v>
      </c>
      <c r="C741" s="10">
        <f t="shared" si="11"/>
        <v>11685</v>
      </c>
      <c r="D741" s="10" t="s">
        <v>549</v>
      </c>
      <c r="E741" s="7"/>
      <c r="F741" s="5" t="s">
        <v>643</v>
      </c>
      <c r="G741" s="22"/>
    </row>
    <row r="742" spans="1:7" ht="20.25" customHeight="1">
      <c r="A742" s="10">
        <v>11686</v>
      </c>
      <c r="B742" s="10">
        <v>15686</v>
      </c>
      <c r="C742" s="10">
        <f t="shared" si="11"/>
        <v>11686</v>
      </c>
      <c r="D742" s="10" t="s">
        <v>549</v>
      </c>
      <c r="E742" s="7"/>
      <c r="F742" s="5" t="s">
        <v>643</v>
      </c>
      <c r="G742" s="22"/>
    </row>
    <row r="743" spans="1:7" ht="20.25" customHeight="1">
      <c r="A743" s="10">
        <v>11687</v>
      </c>
      <c r="B743" s="10">
        <v>15687</v>
      </c>
      <c r="C743" s="10">
        <f t="shared" si="11"/>
        <v>11687</v>
      </c>
      <c r="D743" s="10" t="s">
        <v>549</v>
      </c>
      <c r="E743" s="7"/>
      <c r="F743" s="5" t="s">
        <v>643</v>
      </c>
      <c r="G743" s="22"/>
    </row>
    <row r="744" spans="1:7" ht="20.25" customHeight="1">
      <c r="A744" s="10">
        <v>11688</v>
      </c>
      <c r="B744" s="10">
        <v>15688</v>
      </c>
      <c r="C744" s="10">
        <f t="shared" si="11"/>
        <v>11688</v>
      </c>
      <c r="D744" s="10" t="s">
        <v>549</v>
      </c>
      <c r="E744" s="7"/>
      <c r="F744" s="5" t="s">
        <v>643</v>
      </c>
      <c r="G744" s="22"/>
    </row>
    <row r="745" spans="1:7" ht="20.25" customHeight="1">
      <c r="A745" s="10">
        <v>11689</v>
      </c>
      <c r="B745" s="10">
        <v>15689</v>
      </c>
      <c r="C745" s="10">
        <f t="shared" si="11"/>
        <v>11689</v>
      </c>
      <c r="D745" s="10" t="s">
        <v>549</v>
      </c>
      <c r="E745" s="7"/>
      <c r="F745" s="5" t="s">
        <v>643</v>
      </c>
      <c r="G745" s="22"/>
    </row>
    <row r="746" spans="1:7" ht="20.25" customHeight="1">
      <c r="A746" s="10">
        <v>11690</v>
      </c>
      <c r="B746" s="10">
        <v>15690</v>
      </c>
      <c r="C746" s="10">
        <f t="shared" si="11"/>
        <v>11690</v>
      </c>
      <c r="D746" s="10" t="s">
        <v>549</v>
      </c>
      <c r="E746" s="7"/>
      <c r="F746" s="5" t="s">
        <v>643</v>
      </c>
      <c r="G746" s="22"/>
    </row>
    <row r="747" spans="1:7" ht="20.25" customHeight="1">
      <c r="A747" s="10">
        <v>11691</v>
      </c>
      <c r="B747" s="10">
        <v>15691</v>
      </c>
      <c r="C747" s="10">
        <f t="shared" si="11"/>
        <v>11691</v>
      </c>
      <c r="D747" s="10" t="s">
        <v>549</v>
      </c>
      <c r="E747" s="7"/>
      <c r="F747" s="5" t="s">
        <v>643</v>
      </c>
      <c r="G747" s="22"/>
    </row>
    <row r="748" spans="1:7" ht="20.25" customHeight="1">
      <c r="A748" s="10">
        <v>11692</v>
      </c>
      <c r="B748" s="10">
        <v>15692</v>
      </c>
      <c r="C748" s="10">
        <f t="shared" si="11"/>
        <v>11692</v>
      </c>
      <c r="D748" s="10" t="s">
        <v>549</v>
      </c>
      <c r="E748" s="7"/>
      <c r="F748" s="5" t="s">
        <v>643</v>
      </c>
      <c r="G748" s="22"/>
    </row>
    <row r="749" spans="1:7" ht="20.25" customHeight="1">
      <c r="A749" s="10">
        <v>11693</v>
      </c>
      <c r="B749" s="10">
        <v>15693</v>
      </c>
      <c r="C749" s="10">
        <f t="shared" si="11"/>
        <v>11693</v>
      </c>
      <c r="D749" s="10" t="s">
        <v>549</v>
      </c>
      <c r="E749" s="7"/>
      <c r="F749" s="5" t="s">
        <v>643</v>
      </c>
      <c r="G749" s="22"/>
    </row>
    <row r="750" spans="1:7" ht="20.25" customHeight="1">
      <c r="A750" s="10">
        <v>11694</v>
      </c>
      <c r="B750" s="10">
        <v>15694</v>
      </c>
      <c r="C750" s="10">
        <f t="shared" si="11"/>
        <v>11694</v>
      </c>
      <c r="D750" s="10" t="s">
        <v>549</v>
      </c>
      <c r="E750" s="7"/>
      <c r="F750" s="5" t="s">
        <v>643</v>
      </c>
      <c r="G750" s="22"/>
    </row>
    <row r="751" spans="1:7" ht="20.25" customHeight="1">
      <c r="A751" s="10">
        <v>11695</v>
      </c>
      <c r="B751" s="10">
        <v>15695</v>
      </c>
      <c r="C751" s="10">
        <f t="shared" si="11"/>
        <v>11695</v>
      </c>
      <c r="D751" s="10" t="s">
        <v>549</v>
      </c>
      <c r="E751" s="7"/>
      <c r="F751" s="5" t="s">
        <v>643</v>
      </c>
      <c r="G751" s="22"/>
    </row>
    <row r="752" spans="1:7" ht="20.25" customHeight="1">
      <c r="A752" s="10">
        <v>11696</v>
      </c>
      <c r="B752" s="10">
        <v>15696</v>
      </c>
      <c r="C752" s="10">
        <f t="shared" si="11"/>
        <v>11696</v>
      </c>
      <c r="D752" s="10" t="s">
        <v>549</v>
      </c>
      <c r="E752" s="7"/>
      <c r="F752" s="5" t="s">
        <v>643</v>
      </c>
      <c r="G752" s="22"/>
    </row>
    <row r="753" spans="1:7" ht="20.25" customHeight="1">
      <c r="A753" s="10">
        <v>11697</v>
      </c>
      <c r="B753" s="10">
        <v>15697</v>
      </c>
      <c r="C753" s="10">
        <f t="shared" si="11"/>
        <v>11697</v>
      </c>
      <c r="D753" s="10" t="s">
        <v>549</v>
      </c>
      <c r="E753" s="7"/>
      <c r="F753" s="5" t="s">
        <v>643</v>
      </c>
      <c r="G753" s="22"/>
    </row>
    <row r="754" spans="1:7" ht="20.25" customHeight="1">
      <c r="A754" s="10">
        <v>11698</v>
      </c>
      <c r="B754" s="10">
        <v>15698</v>
      </c>
      <c r="C754" s="10">
        <f t="shared" si="11"/>
        <v>11698</v>
      </c>
      <c r="D754" s="10" t="s">
        <v>549</v>
      </c>
      <c r="E754" s="7"/>
      <c r="F754" s="5" t="s">
        <v>643</v>
      </c>
      <c r="G754" s="22"/>
    </row>
    <row r="755" spans="1:7" ht="20.25" customHeight="1">
      <c r="A755" s="10">
        <v>11699</v>
      </c>
      <c r="B755" s="10">
        <v>15699</v>
      </c>
      <c r="C755" s="10">
        <f t="shared" si="11"/>
        <v>11699</v>
      </c>
      <c r="D755" s="10" t="s">
        <v>549</v>
      </c>
      <c r="E755" s="7"/>
      <c r="F755" s="5" t="s">
        <v>643</v>
      </c>
      <c r="G755" s="22"/>
    </row>
    <row r="756" spans="1:7" ht="20.25" customHeight="1">
      <c r="A756" s="10">
        <v>11700</v>
      </c>
      <c r="B756" s="10">
        <v>15700</v>
      </c>
      <c r="C756" s="10">
        <f t="shared" si="11"/>
        <v>11700</v>
      </c>
      <c r="D756" s="10" t="s">
        <v>549</v>
      </c>
      <c r="E756" s="7"/>
      <c r="F756" s="5" t="s">
        <v>643</v>
      </c>
      <c r="G756" s="22"/>
    </row>
    <row r="757" spans="1:7" ht="20.25" customHeight="1">
      <c r="A757" s="10">
        <v>11701</v>
      </c>
      <c r="B757" s="10">
        <v>15701</v>
      </c>
      <c r="C757" s="10">
        <f t="shared" si="11"/>
        <v>11701</v>
      </c>
      <c r="D757" s="10" t="s">
        <v>549</v>
      </c>
      <c r="E757" s="7"/>
      <c r="F757" s="5" t="s">
        <v>643</v>
      </c>
      <c r="G757" s="22"/>
    </row>
    <row r="758" spans="1:7" ht="20.25" customHeight="1">
      <c r="A758" s="10">
        <v>11702</v>
      </c>
      <c r="B758" s="10">
        <v>15702</v>
      </c>
      <c r="C758" s="10">
        <f t="shared" si="11"/>
        <v>11702</v>
      </c>
      <c r="D758" s="10" t="s">
        <v>549</v>
      </c>
      <c r="E758" s="7"/>
      <c r="F758" s="5" t="s">
        <v>643</v>
      </c>
      <c r="G758" s="22"/>
    </row>
    <row r="759" spans="1:7" ht="20.25" customHeight="1">
      <c r="A759" s="10">
        <v>11703</v>
      </c>
      <c r="B759" s="10">
        <v>15703</v>
      </c>
      <c r="C759" s="10">
        <f t="shared" si="11"/>
        <v>11703</v>
      </c>
      <c r="D759" s="10" t="s">
        <v>549</v>
      </c>
      <c r="E759" s="7"/>
      <c r="F759" s="5" t="s">
        <v>643</v>
      </c>
      <c r="G759" s="22"/>
    </row>
    <row r="760" spans="1:7" ht="20.25" customHeight="1">
      <c r="A760" s="10">
        <v>11704</v>
      </c>
      <c r="B760" s="10">
        <v>15704</v>
      </c>
      <c r="C760" s="10">
        <f t="shared" si="11"/>
        <v>11704</v>
      </c>
      <c r="D760" s="10" t="s">
        <v>549</v>
      </c>
      <c r="E760" s="7"/>
      <c r="F760" s="5" t="s">
        <v>643</v>
      </c>
      <c r="G760" s="22"/>
    </row>
    <row r="761" spans="1:7" ht="20.25" customHeight="1">
      <c r="A761" s="10">
        <v>11705</v>
      </c>
      <c r="B761" s="10">
        <v>15705</v>
      </c>
      <c r="C761" s="10">
        <f t="shared" si="11"/>
        <v>11705</v>
      </c>
      <c r="D761" s="10" t="s">
        <v>549</v>
      </c>
      <c r="E761" s="7"/>
      <c r="F761" s="5" t="s">
        <v>643</v>
      </c>
      <c r="G761" s="22"/>
    </row>
    <row r="762" spans="1:7" ht="20.25" customHeight="1">
      <c r="A762" s="10">
        <v>11706</v>
      </c>
      <c r="B762" s="10">
        <v>15706</v>
      </c>
      <c r="C762" s="10">
        <f t="shared" si="11"/>
        <v>11706</v>
      </c>
      <c r="D762" s="10" t="s">
        <v>549</v>
      </c>
      <c r="E762" s="111"/>
      <c r="F762" s="5" t="s">
        <v>643</v>
      </c>
      <c r="G762" s="22"/>
    </row>
    <row r="763" spans="1:7" ht="20.25" customHeight="1">
      <c r="A763" s="10">
        <v>11707</v>
      </c>
      <c r="B763" s="10">
        <v>15707</v>
      </c>
      <c r="C763" s="10">
        <f t="shared" si="11"/>
        <v>11707</v>
      </c>
      <c r="D763" s="10" t="s">
        <v>549</v>
      </c>
      <c r="E763" s="7"/>
      <c r="F763" s="5" t="s">
        <v>643</v>
      </c>
      <c r="G763" s="22"/>
    </row>
    <row r="764" spans="1:7" ht="20.25" customHeight="1">
      <c r="A764" s="10">
        <v>11708</v>
      </c>
      <c r="B764" s="10">
        <v>15708</v>
      </c>
      <c r="C764" s="10">
        <f t="shared" si="11"/>
        <v>11708</v>
      </c>
      <c r="D764" s="10" t="s">
        <v>549</v>
      </c>
      <c r="E764" s="7"/>
      <c r="F764" s="5" t="s">
        <v>643</v>
      </c>
      <c r="G764" s="22"/>
    </row>
    <row r="765" spans="1:7" ht="20.25" customHeight="1">
      <c r="A765" s="10">
        <v>11709</v>
      </c>
      <c r="B765" s="10">
        <v>15709</v>
      </c>
      <c r="C765" s="10">
        <f t="shared" si="11"/>
        <v>11709</v>
      </c>
      <c r="D765" s="10" t="s">
        <v>549</v>
      </c>
      <c r="E765" s="7"/>
      <c r="F765" s="5" t="s">
        <v>643</v>
      </c>
      <c r="G765" s="22"/>
    </row>
    <row r="766" spans="1:7" ht="20.25" customHeight="1">
      <c r="A766" s="10">
        <v>11710</v>
      </c>
      <c r="B766" s="10">
        <v>15710</v>
      </c>
      <c r="C766" s="10">
        <f t="shared" si="11"/>
        <v>11710</v>
      </c>
      <c r="D766" s="10" t="s">
        <v>549</v>
      </c>
      <c r="E766" s="7"/>
      <c r="F766" s="5" t="s">
        <v>643</v>
      </c>
      <c r="G766" s="22"/>
    </row>
    <row r="767" spans="1:7" ht="20.25" customHeight="1">
      <c r="A767" s="10">
        <v>11711</v>
      </c>
      <c r="B767" s="10">
        <v>15711</v>
      </c>
      <c r="C767" s="10">
        <f t="shared" si="11"/>
        <v>11711</v>
      </c>
      <c r="D767" s="10" t="s">
        <v>549</v>
      </c>
      <c r="E767" s="7"/>
      <c r="F767" s="5" t="s">
        <v>643</v>
      </c>
      <c r="G767" s="22"/>
    </row>
    <row r="768" spans="1:7" ht="20.25" customHeight="1">
      <c r="A768" s="10">
        <v>11712</v>
      </c>
      <c r="B768" s="10">
        <v>15712</v>
      </c>
      <c r="C768" s="10">
        <f t="shared" si="11"/>
        <v>11712</v>
      </c>
      <c r="D768" s="10" t="s">
        <v>549</v>
      </c>
      <c r="E768" s="111"/>
      <c r="F768" s="5" t="s">
        <v>643</v>
      </c>
      <c r="G768" s="22"/>
    </row>
    <row r="769" spans="1:7" ht="20.25" customHeight="1">
      <c r="A769" s="10">
        <v>11713</v>
      </c>
      <c r="B769" s="10">
        <v>15713</v>
      </c>
      <c r="C769" s="10">
        <f t="shared" si="11"/>
        <v>11713</v>
      </c>
      <c r="D769" s="10" t="s">
        <v>549</v>
      </c>
      <c r="E769" s="7"/>
      <c r="F769" s="5" t="s">
        <v>643</v>
      </c>
      <c r="G769" s="22"/>
    </row>
    <row r="770" spans="1:7" ht="20.25" customHeight="1">
      <c r="A770" s="10">
        <v>11714</v>
      </c>
      <c r="B770" s="10">
        <v>15714</v>
      </c>
      <c r="C770" s="10">
        <f t="shared" si="11"/>
        <v>11714</v>
      </c>
      <c r="D770" s="10" t="s">
        <v>549</v>
      </c>
      <c r="E770" s="7"/>
      <c r="F770" s="5" t="s">
        <v>643</v>
      </c>
      <c r="G770" s="22"/>
    </row>
    <row r="771" spans="1:7" ht="20.25" customHeight="1">
      <c r="A771" s="10">
        <v>11715</v>
      </c>
      <c r="B771" s="10">
        <v>15715</v>
      </c>
      <c r="C771" s="10">
        <f t="shared" si="11"/>
        <v>11715</v>
      </c>
      <c r="D771" s="10" t="s">
        <v>549</v>
      </c>
      <c r="E771" s="7"/>
      <c r="F771" s="5" t="s">
        <v>643</v>
      </c>
      <c r="G771" s="22"/>
    </row>
    <row r="772" spans="1:7" ht="20.25" customHeight="1">
      <c r="A772" s="10">
        <v>11716</v>
      </c>
      <c r="B772" s="10">
        <v>15716</v>
      </c>
      <c r="C772" s="10">
        <f t="shared" si="11"/>
        <v>11716</v>
      </c>
      <c r="D772" s="10" t="s">
        <v>549</v>
      </c>
      <c r="E772" s="7"/>
      <c r="F772" s="5" t="s">
        <v>643</v>
      </c>
      <c r="G772" s="22"/>
    </row>
    <row r="773" spans="1:7" ht="20.25" customHeight="1">
      <c r="A773" s="10">
        <v>11717</v>
      </c>
      <c r="B773" s="10">
        <v>15717</v>
      </c>
      <c r="C773" s="10">
        <f t="shared" ref="C773:C836" si="12">IF(ISERROR(FIND("B_Epic",E773)),A773,A773+10000)</f>
        <v>11717</v>
      </c>
      <c r="D773" s="10" t="s">
        <v>549</v>
      </c>
      <c r="E773" s="7"/>
      <c r="F773" s="5" t="s">
        <v>643</v>
      </c>
      <c r="G773" s="22"/>
    </row>
    <row r="774" spans="1:7" ht="20.25" customHeight="1">
      <c r="A774" s="10">
        <v>11718</v>
      </c>
      <c r="B774" s="10">
        <v>15718</v>
      </c>
      <c r="C774" s="10">
        <f t="shared" si="12"/>
        <v>11718</v>
      </c>
      <c r="D774" s="10" t="s">
        <v>549</v>
      </c>
      <c r="E774" s="7"/>
      <c r="F774" s="5" t="s">
        <v>643</v>
      </c>
      <c r="G774" s="22"/>
    </row>
    <row r="775" spans="1:7" ht="20.25" customHeight="1">
      <c r="A775" s="10">
        <v>11719</v>
      </c>
      <c r="B775" s="10">
        <v>15719</v>
      </c>
      <c r="C775" s="10">
        <f t="shared" si="12"/>
        <v>11719</v>
      </c>
      <c r="D775" s="10" t="s">
        <v>549</v>
      </c>
      <c r="E775" s="7"/>
      <c r="F775" s="5" t="s">
        <v>643</v>
      </c>
      <c r="G775" s="22"/>
    </row>
    <row r="776" spans="1:7" ht="20.25" customHeight="1">
      <c r="A776" s="10">
        <v>11720</v>
      </c>
      <c r="B776" s="10">
        <v>15720</v>
      </c>
      <c r="C776" s="10">
        <f t="shared" si="12"/>
        <v>11720</v>
      </c>
      <c r="D776" s="10" t="s">
        <v>549</v>
      </c>
      <c r="E776" s="7"/>
      <c r="F776" s="5" t="s">
        <v>643</v>
      </c>
      <c r="G776" s="22"/>
    </row>
    <row r="777" spans="1:7" ht="20.25" customHeight="1">
      <c r="A777" s="10">
        <v>11721</v>
      </c>
      <c r="B777" s="10">
        <v>15721</v>
      </c>
      <c r="C777" s="10">
        <f t="shared" si="12"/>
        <v>11721</v>
      </c>
      <c r="D777" s="10" t="s">
        <v>549</v>
      </c>
      <c r="E777" s="7"/>
      <c r="F777" s="5" t="s">
        <v>643</v>
      </c>
      <c r="G777" s="22"/>
    </row>
    <row r="778" spans="1:7" ht="20.25" customHeight="1">
      <c r="A778" s="10">
        <v>11722</v>
      </c>
      <c r="B778" s="10">
        <v>15722</v>
      </c>
      <c r="C778" s="10">
        <f t="shared" si="12"/>
        <v>11722</v>
      </c>
      <c r="D778" s="10" t="s">
        <v>549</v>
      </c>
      <c r="E778" s="7"/>
      <c r="F778" s="5" t="s">
        <v>643</v>
      </c>
      <c r="G778" s="22"/>
    </row>
    <row r="779" spans="1:7" ht="20.25" customHeight="1">
      <c r="A779" s="10">
        <v>11723</v>
      </c>
      <c r="B779" s="10">
        <v>15723</v>
      </c>
      <c r="C779" s="10">
        <f t="shared" si="12"/>
        <v>11723</v>
      </c>
      <c r="D779" s="10" t="s">
        <v>549</v>
      </c>
      <c r="E779" s="7"/>
      <c r="F779" s="5" t="s">
        <v>643</v>
      </c>
      <c r="G779" s="22"/>
    </row>
    <row r="780" spans="1:7" ht="20.25" customHeight="1">
      <c r="A780" s="10">
        <v>11724</v>
      </c>
      <c r="B780" s="10">
        <v>15724</v>
      </c>
      <c r="C780" s="10">
        <f t="shared" si="12"/>
        <v>11724</v>
      </c>
      <c r="D780" s="10" t="s">
        <v>549</v>
      </c>
      <c r="E780" s="111"/>
      <c r="F780" s="5" t="s">
        <v>643</v>
      </c>
      <c r="G780" s="22"/>
    </row>
    <row r="781" spans="1:7" ht="20.25" customHeight="1">
      <c r="A781" s="10">
        <v>11725</v>
      </c>
      <c r="B781" s="10">
        <v>15725</v>
      </c>
      <c r="C781" s="10">
        <f t="shared" si="12"/>
        <v>11725</v>
      </c>
      <c r="D781" s="10" t="s">
        <v>549</v>
      </c>
      <c r="E781" s="7"/>
      <c r="F781" s="5" t="s">
        <v>643</v>
      </c>
      <c r="G781" s="22"/>
    </row>
    <row r="782" spans="1:7" ht="20.25" customHeight="1">
      <c r="A782" s="10">
        <v>11726</v>
      </c>
      <c r="B782" s="10">
        <v>15726</v>
      </c>
      <c r="C782" s="10">
        <f t="shared" si="12"/>
        <v>11726</v>
      </c>
      <c r="D782" s="10" t="s">
        <v>549</v>
      </c>
      <c r="E782" s="7"/>
      <c r="F782" s="5" t="s">
        <v>643</v>
      </c>
      <c r="G782" s="22"/>
    </row>
    <row r="783" spans="1:7" ht="20.25" customHeight="1">
      <c r="A783" s="10">
        <v>11727</v>
      </c>
      <c r="B783" s="10">
        <v>15727</v>
      </c>
      <c r="C783" s="10">
        <f t="shared" si="12"/>
        <v>11727</v>
      </c>
      <c r="D783" s="10" t="s">
        <v>549</v>
      </c>
      <c r="E783" s="7"/>
      <c r="F783" s="5" t="s">
        <v>643</v>
      </c>
      <c r="G783" s="22"/>
    </row>
    <row r="784" spans="1:7" ht="20.25" customHeight="1">
      <c r="A784" s="10">
        <v>11728</v>
      </c>
      <c r="B784" s="10">
        <v>15728</v>
      </c>
      <c r="C784" s="10">
        <f t="shared" si="12"/>
        <v>11728</v>
      </c>
      <c r="D784" s="10" t="s">
        <v>549</v>
      </c>
      <c r="E784" s="7"/>
      <c r="F784" s="5" t="s">
        <v>643</v>
      </c>
      <c r="G784" s="22"/>
    </row>
    <row r="785" spans="1:7" ht="20.25" customHeight="1">
      <c r="A785" s="10">
        <v>11729</v>
      </c>
      <c r="B785" s="10">
        <v>15729</v>
      </c>
      <c r="C785" s="10">
        <f t="shared" si="12"/>
        <v>11729</v>
      </c>
      <c r="D785" s="10" t="s">
        <v>549</v>
      </c>
      <c r="E785" s="7"/>
      <c r="F785" s="5" t="s">
        <v>643</v>
      </c>
      <c r="G785" s="22"/>
    </row>
    <row r="786" spans="1:7" ht="20.25" customHeight="1">
      <c r="A786" s="10">
        <v>11730</v>
      </c>
      <c r="B786" s="10">
        <v>15730</v>
      </c>
      <c r="C786" s="10">
        <f t="shared" si="12"/>
        <v>11730</v>
      </c>
      <c r="D786" s="10" t="s">
        <v>549</v>
      </c>
      <c r="E786" s="7"/>
      <c r="F786" s="5" t="s">
        <v>643</v>
      </c>
      <c r="G786" s="22"/>
    </row>
    <row r="787" spans="1:7" ht="20.25" customHeight="1">
      <c r="A787" s="10">
        <v>11731</v>
      </c>
      <c r="B787" s="10">
        <v>15731</v>
      </c>
      <c r="C787" s="10">
        <f t="shared" si="12"/>
        <v>11731</v>
      </c>
      <c r="D787" s="10" t="s">
        <v>549</v>
      </c>
      <c r="E787" s="7"/>
      <c r="F787" s="5" t="s">
        <v>643</v>
      </c>
      <c r="G787" s="22"/>
    </row>
    <row r="788" spans="1:7" ht="20.25" customHeight="1">
      <c r="A788" s="10">
        <v>11732</v>
      </c>
      <c r="B788" s="10">
        <v>15732</v>
      </c>
      <c r="C788" s="10">
        <f t="shared" si="12"/>
        <v>11732</v>
      </c>
      <c r="D788" s="10" t="s">
        <v>549</v>
      </c>
      <c r="E788" s="7"/>
      <c r="F788" s="5" t="s">
        <v>643</v>
      </c>
      <c r="G788" s="22"/>
    </row>
    <row r="789" spans="1:7" ht="20.25" customHeight="1">
      <c r="A789" s="10">
        <v>11733</v>
      </c>
      <c r="B789" s="10">
        <v>15733</v>
      </c>
      <c r="C789" s="10">
        <f t="shared" si="12"/>
        <v>11733</v>
      </c>
      <c r="D789" s="10" t="s">
        <v>549</v>
      </c>
      <c r="E789" s="7"/>
      <c r="F789" s="5" t="s">
        <v>643</v>
      </c>
      <c r="G789" s="22"/>
    </row>
    <row r="790" spans="1:7" ht="20.25" customHeight="1">
      <c r="A790" s="10">
        <v>11734</v>
      </c>
      <c r="B790" s="10">
        <v>15734</v>
      </c>
      <c r="C790" s="10">
        <f t="shared" si="12"/>
        <v>11734</v>
      </c>
      <c r="D790" s="10" t="s">
        <v>549</v>
      </c>
      <c r="E790" s="7"/>
      <c r="F790" s="5" t="s">
        <v>643</v>
      </c>
      <c r="G790" s="22"/>
    </row>
    <row r="791" spans="1:7" ht="20.25" customHeight="1">
      <c r="A791" s="10">
        <v>11735</v>
      </c>
      <c r="B791" s="10">
        <v>15735</v>
      </c>
      <c r="C791" s="10">
        <f t="shared" si="12"/>
        <v>11735</v>
      </c>
      <c r="D791" s="10" t="s">
        <v>549</v>
      </c>
      <c r="E791" s="7"/>
      <c r="F791" s="5" t="s">
        <v>643</v>
      </c>
      <c r="G791" s="22"/>
    </row>
    <row r="792" spans="1:7" ht="20.25" customHeight="1">
      <c r="A792" s="10">
        <v>11736</v>
      </c>
      <c r="B792" s="10">
        <v>15736</v>
      </c>
      <c r="C792" s="10">
        <f t="shared" si="12"/>
        <v>11736</v>
      </c>
      <c r="D792" s="10" t="s">
        <v>549</v>
      </c>
      <c r="E792" s="7"/>
      <c r="F792" s="5" t="s">
        <v>643</v>
      </c>
      <c r="G792" s="22"/>
    </row>
    <row r="793" spans="1:7" ht="20.25" customHeight="1">
      <c r="A793" s="10">
        <v>11737</v>
      </c>
      <c r="B793" s="10">
        <v>15737</v>
      </c>
      <c r="C793" s="10">
        <f t="shared" si="12"/>
        <v>11737</v>
      </c>
      <c r="D793" s="10" t="s">
        <v>549</v>
      </c>
      <c r="E793" s="7"/>
      <c r="F793" s="5" t="s">
        <v>643</v>
      </c>
      <c r="G793" s="22"/>
    </row>
    <row r="794" spans="1:7" ht="20.25" customHeight="1">
      <c r="A794" s="10">
        <v>11738</v>
      </c>
      <c r="B794" s="10">
        <v>15738</v>
      </c>
      <c r="C794" s="10">
        <f t="shared" si="12"/>
        <v>11738</v>
      </c>
      <c r="D794" s="10" t="s">
        <v>549</v>
      </c>
      <c r="E794" s="7"/>
      <c r="F794" s="5" t="s">
        <v>643</v>
      </c>
      <c r="G794" s="22"/>
    </row>
    <row r="795" spans="1:7" ht="20.25" customHeight="1">
      <c r="A795" s="10">
        <v>11739</v>
      </c>
      <c r="B795" s="10">
        <v>15739</v>
      </c>
      <c r="C795" s="10">
        <f t="shared" si="12"/>
        <v>11739</v>
      </c>
      <c r="D795" s="10" t="s">
        <v>549</v>
      </c>
      <c r="E795" s="7"/>
      <c r="F795" s="5" t="s">
        <v>643</v>
      </c>
      <c r="G795" s="22"/>
    </row>
    <row r="796" spans="1:7" ht="20.25" customHeight="1">
      <c r="A796" s="10">
        <v>11740</v>
      </c>
      <c r="B796" s="10">
        <v>15740</v>
      </c>
      <c r="C796" s="10">
        <f t="shared" si="12"/>
        <v>11740</v>
      </c>
      <c r="D796" s="10" t="s">
        <v>549</v>
      </c>
      <c r="E796" s="7"/>
      <c r="F796" s="5" t="s">
        <v>643</v>
      </c>
      <c r="G796" s="22"/>
    </row>
    <row r="797" spans="1:7" ht="20.25" customHeight="1">
      <c r="A797" s="10">
        <v>11741</v>
      </c>
      <c r="B797" s="10">
        <v>15741</v>
      </c>
      <c r="C797" s="10">
        <f t="shared" si="12"/>
        <v>11741</v>
      </c>
      <c r="D797" s="10" t="s">
        <v>549</v>
      </c>
      <c r="E797" s="7"/>
      <c r="F797" s="5" t="s">
        <v>643</v>
      </c>
      <c r="G797" s="22"/>
    </row>
    <row r="798" spans="1:7" ht="20.25" customHeight="1">
      <c r="A798" s="10">
        <v>11742</v>
      </c>
      <c r="B798" s="10">
        <v>15742</v>
      </c>
      <c r="C798" s="10">
        <f t="shared" si="12"/>
        <v>11742</v>
      </c>
      <c r="D798" s="10" t="s">
        <v>549</v>
      </c>
      <c r="E798" s="7"/>
      <c r="F798" s="5" t="s">
        <v>643</v>
      </c>
      <c r="G798" s="22"/>
    </row>
    <row r="799" spans="1:7" ht="20.25" customHeight="1">
      <c r="A799" s="10">
        <v>11743</v>
      </c>
      <c r="B799" s="10">
        <v>15743</v>
      </c>
      <c r="C799" s="10">
        <f t="shared" si="12"/>
        <v>11743</v>
      </c>
      <c r="D799" s="10" t="s">
        <v>549</v>
      </c>
      <c r="E799" s="7"/>
      <c r="F799" s="5" t="s">
        <v>643</v>
      </c>
      <c r="G799" s="22"/>
    </row>
    <row r="800" spans="1:7" ht="20.25" customHeight="1">
      <c r="A800" s="10">
        <v>11744</v>
      </c>
      <c r="B800" s="10">
        <v>15744</v>
      </c>
      <c r="C800" s="10">
        <f t="shared" si="12"/>
        <v>11744</v>
      </c>
      <c r="D800" s="10" t="s">
        <v>549</v>
      </c>
      <c r="E800" s="7"/>
      <c r="F800" s="5" t="s">
        <v>643</v>
      </c>
      <c r="G800" s="22"/>
    </row>
    <row r="801" spans="1:7" ht="20.25" customHeight="1">
      <c r="A801" s="10">
        <v>11745</v>
      </c>
      <c r="B801" s="10">
        <v>15745</v>
      </c>
      <c r="C801" s="10">
        <f t="shared" si="12"/>
        <v>11745</v>
      </c>
      <c r="D801" s="10" t="s">
        <v>549</v>
      </c>
      <c r="E801" s="7"/>
      <c r="F801" s="5" t="s">
        <v>643</v>
      </c>
      <c r="G801" s="22"/>
    </row>
    <row r="802" spans="1:7" ht="20.25" customHeight="1">
      <c r="A802" s="10">
        <v>11746</v>
      </c>
      <c r="B802" s="10">
        <v>15746</v>
      </c>
      <c r="C802" s="10">
        <f t="shared" si="12"/>
        <v>11746</v>
      </c>
      <c r="D802" s="10" t="s">
        <v>549</v>
      </c>
      <c r="E802" s="7"/>
      <c r="F802" s="5" t="s">
        <v>643</v>
      </c>
      <c r="G802" s="22"/>
    </row>
    <row r="803" spans="1:7" ht="20.25" customHeight="1">
      <c r="A803" s="10">
        <v>11747</v>
      </c>
      <c r="B803" s="10">
        <v>15747</v>
      </c>
      <c r="C803" s="10">
        <f t="shared" si="12"/>
        <v>11747</v>
      </c>
      <c r="D803" s="10" t="s">
        <v>549</v>
      </c>
      <c r="E803" s="7"/>
      <c r="F803" s="5" t="s">
        <v>643</v>
      </c>
      <c r="G803" s="22"/>
    </row>
    <row r="804" spans="1:7" ht="20.25" customHeight="1">
      <c r="A804" s="10">
        <v>11748</v>
      </c>
      <c r="B804" s="10">
        <v>15748</v>
      </c>
      <c r="C804" s="10">
        <f t="shared" si="12"/>
        <v>11748</v>
      </c>
      <c r="D804" s="10" t="s">
        <v>549</v>
      </c>
      <c r="E804" s="7"/>
      <c r="F804" s="5" t="s">
        <v>643</v>
      </c>
      <c r="G804" s="22"/>
    </row>
    <row r="805" spans="1:7" ht="20.25" customHeight="1">
      <c r="A805" s="10">
        <v>11749</v>
      </c>
      <c r="B805" s="10">
        <v>15749</v>
      </c>
      <c r="C805" s="10">
        <f t="shared" si="12"/>
        <v>11749</v>
      </c>
      <c r="D805" s="10" t="s">
        <v>549</v>
      </c>
      <c r="E805" s="7"/>
      <c r="F805" s="5" t="s">
        <v>643</v>
      </c>
      <c r="G805" s="22"/>
    </row>
    <row r="806" spans="1:7" ht="20.25" customHeight="1">
      <c r="A806" s="10">
        <v>11750</v>
      </c>
      <c r="B806" s="10">
        <v>15750</v>
      </c>
      <c r="C806" s="10">
        <f t="shared" si="12"/>
        <v>11750</v>
      </c>
      <c r="D806" s="10" t="s">
        <v>549</v>
      </c>
      <c r="E806" s="7"/>
      <c r="F806" s="5" t="s">
        <v>643</v>
      </c>
      <c r="G806" s="22"/>
    </row>
    <row r="807" spans="1:7" ht="20.25" customHeight="1">
      <c r="A807" s="10">
        <v>11751</v>
      </c>
      <c r="B807" s="10">
        <v>15751</v>
      </c>
      <c r="C807" s="10">
        <f t="shared" si="12"/>
        <v>11751</v>
      </c>
      <c r="D807" s="10" t="s">
        <v>549</v>
      </c>
      <c r="E807" s="7" t="s">
        <v>1228</v>
      </c>
      <c r="F807" s="5"/>
      <c r="G807" s="22"/>
    </row>
    <row r="808" spans="1:7" ht="20.25" customHeight="1">
      <c r="A808" s="10">
        <v>11752</v>
      </c>
      <c r="B808" s="10">
        <v>15752</v>
      </c>
      <c r="C808" s="10">
        <f t="shared" si="12"/>
        <v>11752</v>
      </c>
      <c r="D808" s="10" t="s">
        <v>549</v>
      </c>
      <c r="E808" s="7" t="s">
        <v>1229</v>
      </c>
      <c r="F808" s="5"/>
      <c r="G808" s="22"/>
    </row>
    <row r="809" spans="1:7" ht="20.25" customHeight="1">
      <c r="A809" s="10">
        <v>11753</v>
      </c>
      <c r="B809" s="10">
        <v>15753</v>
      </c>
      <c r="C809" s="10">
        <f t="shared" si="12"/>
        <v>11753</v>
      </c>
      <c r="D809" s="10" t="s">
        <v>549</v>
      </c>
      <c r="E809" s="7"/>
      <c r="F809" s="5" t="s">
        <v>643</v>
      </c>
      <c r="G809" s="22"/>
    </row>
    <row r="810" spans="1:7" ht="20.25" customHeight="1">
      <c r="A810" s="10">
        <v>11754</v>
      </c>
      <c r="B810" s="10">
        <v>15754</v>
      </c>
      <c r="C810" s="10">
        <f t="shared" si="12"/>
        <v>11754</v>
      </c>
      <c r="D810" s="10" t="s">
        <v>549</v>
      </c>
      <c r="E810" s="7"/>
      <c r="F810" s="5" t="s">
        <v>643</v>
      </c>
      <c r="G810" s="22"/>
    </row>
    <row r="811" spans="1:7" ht="20.25" customHeight="1">
      <c r="A811" s="10">
        <v>11755</v>
      </c>
      <c r="B811" s="10">
        <v>15755</v>
      </c>
      <c r="C811" s="10">
        <f t="shared" si="12"/>
        <v>11755</v>
      </c>
      <c r="D811" s="10" t="s">
        <v>549</v>
      </c>
      <c r="E811" s="7"/>
      <c r="F811" s="5" t="s">
        <v>643</v>
      </c>
      <c r="G811" s="22"/>
    </row>
    <row r="812" spans="1:7" ht="20.25" customHeight="1">
      <c r="A812" s="10">
        <v>11756</v>
      </c>
      <c r="B812" s="10">
        <v>15756</v>
      </c>
      <c r="C812" s="10">
        <f t="shared" si="12"/>
        <v>11756</v>
      </c>
      <c r="D812" s="10" t="s">
        <v>549</v>
      </c>
      <c r="E812" s="7"/>
      <c r="F812" s="5" t="s">
        <v>643</v>
      </c>
      <c r="G812" s="22"/>
    </row>
    <row r="813" spans="1:7" ht="20.25" customHeight="1">
      <c r="A813" s="10">
        <v>11757</v>
      </c>
      <c r="B813" s="10">
        <v>15757</v>
      </c>
      <c r="C813" s="10">
        <f t="shared" si="12"/>
        <v>11757</v>
      </c>
      <c r="D813" s="10" t="s">
        <v>549</v>
      </c>
      <c r="E813" s="7"/>
      <c r="F813" s="5" t="s">
        <v>643</v>
      </c>
      <c r="G813" s="22"/>
    </row>
    <row r="814" spans="1:7" ht="20.25" customHeight="1">
      <c r="A814" s="10">
        <v>11758</v>
      </c>
      <c r="B814" s="10">
        <v>15758</v>
      </c>
      <c r="C814" s="10">
        <f t="shared" si="12"/>
        <v>11758</v>
      </c>
      <c r="D814" s="10" t="s">
        <v>549</v>
      </c>
      <c r="E814" s="7" t="s">
        <v>1230</v>
      </c>
      <c r="F814" s="5"/>
      <c r="G814" s="22"/>
    </row>
    <row r="815" spans="1:7" ht="20.25" customHeight="1">
      <c r="A815" s="10">
        <v>11759</v>
      </c>
      <c r="B815" s="10">
        <v>15759</v>
      </c>
      <c r="C815" s="10">
        <f t="shared" si="12"/>
        <v>11759</v>
      </c>
      <c r="D815" s="10" t="s">
        <v>549</v>
      </c>
      <c r="E815" s="7" t="s">
        <v>1231</v>
      </c>
      <c r="F815" s="5"/>
      <c r="G815" s="22"/>
    </row>
    <row r="816" spans="1:7" ht="20.25" customHeight="1">
      <c r="A816" s="10">
        <v>11760</v>
      </c>
      <c r="B816" s="10">
        <v>15760</v>
      </c>
      <c r="C816" s="10">
        <f t="shared" si="12"/>
        <v>11760</v>
      </c>
      <c r="D816" s="10" t="s">
        <v>549</v>
      </c>
      <c r="E816" s="111" t="s">
        <v>1232</v>
      </c>
      <c r="F816" s="5"/>
      <c r="G816" s="22"/>
    </row>
    <row r="817" spans="1:7" ht="20.25" customHeight="1">
      <c r="A817" s="10">
        <v>11761</v>
      </c>
      <c r="B817" s="10">
        <v>15761</v>
      </c>
      <c r="C817" s="10">
        <f t="shared" si="12"/>
        <v>11761</v>
      </c>
      <c r="D817" s="10" t="s">
        <v>549</v>
      </c>
      <c r="E817" s="7" t="s">
        <v>1233</v>
      </c>
      <c r="F817" s="5"/>
      <c r="G817" s="22"/>
    </row>
    <row r="818" spans="1:7" ht="20.25" customHeight="1">
      <c r="A818" s="10">
        <v>11762</v>
      </c>
      <c r="B818" s="10">
        <v>15762</v>
      </c>
      <c r="C818" s="10">
        <f t="shared" si="12"/>
        <v>11762</v>
      </c>
      <c r="D818" s="10" t="s">
        <v>549</v>
      </c>
      <c r="E818" s="7" t="s">
        <v>1234</v>
      </c>
      <c r="F818" s="5"/>
      <c r="G818" s="22"/>
    </row>
    <row r="819" spans="1:7" ht="20.25" customHeight="1">
      <c r="A819" s="10">
        <v>11763</v>
      </c>
      <c r="B819" s="10">
        <v>15763</v>
      </c>
      <c r="C819" s="10">
        <f t="shared" si="12"/>
        <v>11763</v>
      </c>
      <c r="D819" s="10" t="s">
        <v>549</v>
      </c>
      <c r="E819" s="7" t="s">
        <v>1235</v>
      </c>
      <c r="F819" s="5" t="s">
        <v>1236</v>
      </c>
      <c r="G819" s="22"/>
    </row>
    <row r="820" spans="1:7" ht="20.25" customHeight="1">
      <c r="A820" s="10">
        <v>11764</v>
      </c>
      <c r="B820" s="10">
        <v>15764</v>
      </c>
      <c r="C820" s="10">
        <f t="shared" si="12"/>
        <v>11764</v>
      </c>
      <c r="D820" s="10" t="s">
        <v>549</v>
      </c>
      <c r="E820" s="7" t="s">
        <v>1237</v>
      </c>
      <c r="F820" s="5"/>
      <c r="G820" s="22"/>
    </row>
    <row r="821" spans="1:7" ht="20.25" customHeight="1">
      <c r="A821" s="10">
        <v>11765</v>
      </c>
      <c r="B821" s="10">
        <v>15765</v>
      </c>
      <c r="C821" s="10">
        <f t="shared" si="12"/>
        <v>11765</v>
      </c>
      <c r="D821" s="10" t="s">
        <v>549</v>
      </c>
      <c r="E821" s="7" t="s">
        <v>1238</v>
      </c>
      <c r="F821" s="5"/>
      <c r="G821" s="22"/>
    </row>
    <row r="822" spans="1:7" ht="20.25" customHeight="1">
      <c r="A822" s="10">
        <v>11766</v>
      </c>
      <c r="B822" s="10">
        <v>15766</v>
      </c>
      <c r="C822" s="10">
        <f t="shared" si="12"/>
        <v>11766</v>
      </c>
      <c r="D822" s="10" t="s">
        <v>549</v>
      </c>
      <c r="E822" s="7"/>
      <c r="F822" s="5" t="s">
        <v>643</v>
      </c>
      <c r="G822" s="22"/>
    </row>
    <row r="823" spans="1:7" ht="20.25" customHeight="1">
      <c r="A823" s="10">
        <v>11767</v>
      </c>
      <c r="B823" s="10">
        <v>15767</v>
      </c>
      <c r="C823" s="10">
        <f t="shared" si="12"/>
        <v>11767</v>
      </c>
      <c r="D823" s="10" t="s">
        <v>549</v>
      </c>
      <c r="E823" s="7"/>
      <c r="F823" s="5" t="s">
        <v>643</v>
      </c>
      <c r="G823" s="22"/>
    </row>
    <row r="824" spans="1:7" ht="20.25" customHeight="1">
      <c r="A824" s="10">
        <v>11768</v>
      </c>
      <c r="B824" s="10">
        <v>15768</v>
      </c>
      <c r="C824" s="10">
        <f t="shared" si="12"/>
        <v>11768</v>
      </c>
      <c r="D824" s="10" t="s">
        <v>549</v>
      </c>
      <c r="E824" s="7"/>
      <c r="F824" s="5" t="s">
        <v>643</v>
      </c>
      <c r="G824" s="22"/>
    </row>
    <row r="825" spans="1:7" ht="20.25" customHeight="1">
      <c r="A825" s="10">
        <v>11769</v>
      </c>
      <c r="B825" s="10">
        <v>15769</v>
      </c>
      <c r="C825" s="10">
        <f t="shared" si="12"/>
        <v>11769</v>
      </c>
      <c r="D825" s="10" t="s">
        <v>549</v>
      </c>
      <c r="E825" s="7"/>
      <c r="F825" s="5" t="s">
        <v>643</v>
      </c>
      <c r="G825" s="22"/>
    </row>
    <row r="826" spans="1:7" ht="20.25" customHeight="1">
      <c r="A826" s="10">
        <v>11770</v>
      </c>
      <c r="B826" s="10">
        <v>15770</v>
      </c>
      <c r="C826" s="10">
        <f t="shared" si="12"/>
        <v>11770</v>
      </c>
      <c r="D826" s="10" t="s">
        <v>549</v>
      </c>
      <c r="E826" s="7"/>
      <c r="F826" s="5" t="s">
        <v>643</v>
      </c>
      <c r="G826" s="22"/>
    </row>
    <row r="827" spans="1:7" ht="20.25" customHeight="1">
      <c r="A827" s="10">
        <v>11771</v>
      </c>
      <c r="B827" s="10">
        <v>15771</v>
      </c>
      <c r="C827" s="10">
        <f t="shared" si="12"/>
        <v>11771</v>
      </c>
      <c r="D827" s="10" t="s">
        <v>549</v>
      </c>
      <c r="E827" s="7"/>
      <c r="F827" s="5" t="s">
        <v>643</v>
      </c>
      <c r="G827" s="22"/>
    </row>
    <row r="828" spans="1:7" ht="20.25" customHeight="1">
      <c r="A828" s="10">
        <v>11772</v>
      </c>
      <c r="B828" s="10">
        <v>15772</v>
      </c>
      <c r="C828" s="10">
        <f t="shared" si="12"/>
        <v>11772</v>
      </c>
      <c r="D828" s="10" t="s">
        <v>549</v>
      </c>
      <c r="E828" s="7"/>
      <c r="F828" s="5" t="s">
        <v>643</v>
      </c>
      <c r="G828" s="22"/>
    </row>
    <row r="829" spans="1:7" ht="20.25" customHeight="1">
      <c r="A829" s="10">
        <v>11773</v>
      </c>
      <c r="B829" s="10">
        <v>15773</v>
      </c>
      <c r="C829" s="10">
        <f t="shared" si="12"/>
        <v>11773</v>
      </c>
      <c r="D829" s="10" t="s">
        <v>549</v>
      </c>
      <c r="E829" s="7"/>
      <c r="F829" s="5" t="s">
        <v>643</v>
      </c>
      <c r="G829" s="22"/>
    </row>
    <row r="830" spans="1:7" ht="20.25" customHeight="1">
      <c r="A830" s="10">
        <v>11774</v>
      </c>
      <c r="B830" s="10">
        <v>15774</v>
      </c>
      <c r="C830" s="10">
        <f t="shared" si="12"/>
        <v>11774</v>
      </c>
      <c r="D830" s="10" t="s">
        <v>549</v>
      </c>
      <c r="E830" s="7"/>
      <c r="F830" s="5" t="s">
        <v>643</v>
      </c>
      <c r="G830" s="22"/>
    </row>
    <row r="831" spans="1:7" ht="20.25" customHeight="1">
      <c r="A831" s="10">
        <v>11775</v>
      </c>
      <c r="B831" s="10">
        <v>15775</v>
      </c>
      <c r="C831" s="10">
        <f t="shared" si="12"/>
        <v>11775</v>
      </c>
      <c r="D831" s="10" t="s">
        <v>549</v>
      </c>
      <c r="E831" s="7"/>
      <c r="F831" s="5" t="s">
        <v>643</v>
      </c>
      <c r="G831" s="22"/>
    </row>
    <row r="832" spans="1:7" ht="20.25" customHeight="1">
      <c r="A832" s="10">
        <v>11776</v>
      </c>
      <c r="B832" s="10">
        <v>15776</v>
      </c>
      <c r="C832" s="10">
        <f t="shared" si="12"/>
        <v>11776</v>
      </c>
      <c r="D832" s="10" t="s">
        <v>549</v>
      </c>
      <c r="E832" s="7"/>
      <c r="F832" s="5" t="s">
        <v>643</v>
      </c>
      <c r="G832" s="22"/>
    </row>
    <row r="833" spans="1:7" ht="20.25" customHeight="1">
      <c r="A833" s="10">
        <v>11777</v>
      </c>
      <c r="B833" s="10">
        <v>15777</v>
      </c>
      <c r="C833" s="10">
        <f t="shared" si="12"/>
        <v>11777</v>
      </c>
      <c r="D833" s="10" t="s">
        <v>549</v>
      </c>
      <c r="E833" s="7"/>
      <c r="F833" s="5" t="s">
        <v>643</v>
      </c>
      <c r="G833" s="22"/>
    </row>
    <row r="834" spans="1:7" ht="20.25" customHeight="1">
      <c r="A834" s="10">
        <v>11778</v>
      </c>
      <c r="B834" s="10">
        <v>15778</v>
      </c>
      <c r="C834" s="10">
        <f t="shared" si="12"/>
        <v>11778</v>
      </c>
      <c r="D834" s="10" t="s">
        <v>549</v>
      </c>
      <c r="E834" s="7"/>
      <c r="F834" s="5" t="s">
        <v>643</v>
      </c>
      <c r="G834" s="22"/>
    </row>
    <row r="835" spans="1:7" ht="20.25" customHeight="1">
      <c r="A835" s="10">
        <v>11779</v>
      </c>
      <c r="B835" s="10">
        <v>15779</v>
      </c>
      <c r="C835" s="10">
        <f t="shared" si="12"/>
        <v>11779</v>
      </c>
      <c r="D835" s="10" t="s">
        <v>549</v>
      </c>
      <c r="E835" s="7"/>
      <c r="F835" s="5" t="s">
        <v>643</v>
      </c>
      <c r="G835" s="22"/>
    </row>
    <row r="836" spans="1:7" ht="20.25" customHeight="1">
      <c r="A836" s="10">
        <v>11780</v>
      </c>
      <c r="B836" s="10">
        <v>15780</v>
      </c>
      <c r="C836" s="10">
        <f t="shared" si="12"/>
        <v>11780</v>
      </c>
      <c r="D836" s="10" t="s">
        <v>549</v>
      </c>
      <c r="E836" s="7"/>
      <c r="F836" s="5" t="s">
        <v>643</v>
      </c>
      <c r="G836" s="22"/>
    </row>
    <row r="837" spans="1:7" ht="20.25" customHeight="1">
      <c r="A837" s="10">
        <v>11781</v>
      </c>
      <c r="B837" s="10">
        <v>15781</v>
      </c>
      <c r="C837" s="10">
        <f t="shared" ref="C837:C900" si="13">IF(ISERROR(FIND("B_Epic",E837)),A837,A837+10000)</f>
        <v>11781</v>
      </c>
      <c r="D837" s="10" t="s">
        <v>549</v>
      </c>
      <c r="E837" s="7"/>
      <c r="F837" s="5" t="s">
        <v>643</v>
      </c>
      <c r="G837" s="22"/>
    </row>
    <row r="838" spans="1:7" ht="20.25" customHeight="1">
      <c r="A838" s="10">
        <v>11782</v>
      </c>
      <c r="B838" s="10">
        <v>15782</v>
      </c>
      <c r="C838" s="10">
        <f t="shared" si="13"/>
        <v>11782</v>
      </c>
      <c r="D838" s="10" t="s">
        <v>549</v>
      </c>
      <c r="E838" s="7"/>
      <c r="F838" s="5" t="s">
        <v>643</v>
      </c>
      <c r="G838" s="22"/>
    </row>
    <row r="839" spans="1:7" ht="20.25" customHeight="1">
      <c r="A839" s="10">
        <v>11783</v>
      </c>
      <c r="B839" s="10">
        <v>15783</v>
      </c>
      <c r="C839" s="10">
        <f t="shared" si="13"/>
        <v>11783</v>
      </c>
      <c r="D839" s="10" t="s">
        <v>549</v>
      </c>
      <c r="E839" s="7"/>
      <c r="F839" s="5" t="s">
        <v>643</v>
      </c>
      <c r="G839" s="22"/>
    </row>
    <row r="840" spans="1:7" ht="20.25" customHeight="1">
      <c r="A840" s="10">
        <v>11784</v>
      </c>
      <c r="B840" s="10">
        <v>15784</v>
      </c>
      <c r="C840" s="10">
        <f t="shared" si="13"/>
        <v>11784</v>
      </c>
      <c r="D840" s="10" t="s">
        <v>549</v>
      </c>
      <c r="E840" s="7"/>
      <c r="F840" s="5" t="s">
        <v>643</v>
      </c>
      <c r="G840" s="22"/>
    </row>
    <row r="841" spans="1:7" ht="20.25" customHeight="1">
      <c r="A841" s="10">
        <v>11785</v>
      </c>
      <c r="B841" s="10">
        <v>15785</v>
      </c>
      <c r="C841" s="10">
        <f t="shared" si="13"/>
        <v>11785</v>
      </c>
      <c r="D841" s="10" t="s">
        <v>549</v>
      </c>
      <c r="E841" s="7"/>
      <c r="F841" s="5" t="s">
        <v>643</v>
      </c>
      <c r="G841" s="22"/>
    </row>
    <row r="842" spans="1:7" ht="20.25" customHeight="1">
      <c r="A842" s="10">
        <v>11786</v>
      </c>
      <c r="B842" s="10">
        <v>15786</v>
      </c>
      <c r="C842" s="10">
        <f t="shared" si="13"/>
        <v>11786</v>
      </c>
      <c r="D842" s="10" t="s">
        <v>549</v>
      </c>
      <c r="E842" s="7" t="s">
        <v>1239</v>
      </c>
      <c r="F842" s="5"/>
      <c r="G842" s="22"/>
    </row>
    <row r="843" spans="1:7" ht="20.25" customHeight="1">
      <c r="A843" s="10">
        <v>11787</v>
      </c>
      <c r="B843" s="10">
        <v>15787</v>
      </c>
      <c r="C843" s="10">
        <f t="shared" si="13"/>
        <v>11787</v>
      </c>
      <c r="D843" s="10" t="s">
        <v>549</v>
      </c>
      <c r="E843" s="7" t="s">
        <v>1240</v>
      </c>
      <c r="F843" s="5"/>
      <c r="G843" s="22"/>
    </row>
    <row r="844" spans="1:7" ht="20.25" customHeight="1">
      <c r="A844" s="10">
        <v>11788</v>
      </c>
      <c r="B844" s="10">
        <v>15788</v>
      </c>
      <c r="C844" s="10">
        <f t="shared" si="13"/>
        <v>11788</v>
      </c>
      <c r="D844" s="10" t="s">
        <v>549</v>
      </c>
      <c r="E844" s="7"/>
      <c r="F844" s="5" t="s">
        <v>643</v>
      </c>
      <c r="G844" s="22"/>
    </row>
    <row r="845" spans="1:7" ht="20.25" customHeight="1">
      <c r="A845" s="10">
        <v>11789</v>
      </c>
      <c r="B845" s="10">
        <v>15789</v>
      </c>
      <c r="C845" s="10">
        <f t="shared" si="13"/>
        <v>11789</v>
      </c>
      <c r="D845" s="10" t="s">
        <v>549</v>
      </c>
      <c r="E845" s="7"/>
      <c r="F845" s="5" t="s">
        <v>643</v>
      </c>
      <c r="G845" s="22"/>
    </row>
    <row r="846" spans="1:7" ht="20.25" customHeight="1">
      <c r="A846" s="10">
        <v>11790</v>
      </c>
      <c r="B846" s="10">
        <v>15790</v>
      </c>
      <c r="C846" s="10">
        <f t="shared" si="13"/>
        <v>11790</v>
      </c>
      <c r="D846" s="10" t="s">
        <v>549</v>
      </c>
      <c r="E846" s="7"/>
      <c r="F846" s="5" t="s">
        <v>643</v>
      </c>
      <c r="G846" s="22"/>
    </row>
    <row r="847" spans="1:7" ht="20.25" customHeight="1">
      <c r="A847" s="10">
        <v>11791</v>
      </c>
      <c r="B847" s="10">
        <v>15791</v>
      </c>
      <c r="C847" s="10">
        <f t="shared" si="13"/>
        <v>11791</v>
      </c>
      <c r="D847" s="10" t="s">
        <v>549</v>
      </c>
      <c r="E847" s="7"/>
      <c r="F847" s="5" t="s">
        <v>643</v>
      </c>
      <c r="G847" s="22"/>
    </row>
    <row r="848" spans="1:7" ht="20.25" customHeight="1">
      <c r="A848" s="10">
        <v>11792</v>
      </c>
      <c r="B848" s="10">
        <v>15792</v>
      </c>
      <c r="C848" s="10">
        <f t="shared" si="13"/>
        <v>11792</v>
      </c>
      <c r="D848" s="10" t="s">
        <v>549</v>
      </c>
      <c r="E848" s="7"/>
      <c r="F848" s="5" t="s">
        <v>643</v>
      </c>
      <c r="G848" s="22"/>
    </row>
    <row r="849" spans="1:7" ht="20.25" customHeight="1">
      <c r="A849" s="10">
        <v>11793</v>
      </c>
      <c r="B849" s="10">
        <v>15793</v>
      </c>
      <c r="C849" s="10">
        <f t="shared" si="13"/>
        <v>11793</v>
      </c>
      <c r="D849" s="10" t="s">
        <v>549</v>
      </c>
      <c r="E849" s="7"/>
      <c r="F849" s="5" t="s">
        <v>643</v>
      </c>
      <c r="G849" s="22"/>
    </row>
    <row r="850" spans="1:7" ht="20.25" customHeight="1">
      <c r="A850" s="10">
        <v>11794</v>
      </c>
      <c r="B850" s="10">
        <v>15794</v>
      </c>
      <c r="C850" s="10">
        <f t="shared" si="13"/>
        <v>11794</v>
      </c>
      <c r="D850" s="10" t="s">
        <v>549</v>
      </c>
      <c r="E850" s="7"/>
      <c r="F850" s="5" t="s">
        <v>643</v>
      </c>
      <c r="G850" s="22"/>
    </row>
    <row r="851" spans="1:7" ht="20.25" customHeight="1">
      <c r="A851" s="10">
        <v>11795</v>
      </c>
      <c r="B851" s="10">
        <v>15795</v>
      </c>
      <c r="C851" s="10">
        <f t="shared" si="13"/>
        <v>11795</v>
      </c>
      <c r="D851" s="10" t="s">
        <v>549</v>
      </c>
      <c r="E851" s="7" t="s">
        <v>1241</v>
      </c>
      <c r="F851" s="5"/>
      <c r="G851" s="22"/>
    </row>
    <row r="852" spans="1:7" ht="20.25" customHeight="1">
      <c r="A852" s="10">
        <v>11796</v>
      </c>
      <c r="B852" s="10">
        <v>15796</v>
      </c>
      <c r="C852" s="10">
        <f t="shared" si="13"/>
        <v>11796</v>
      </c>
      <c r="D852" s="10" t="s">
        <v>549</v>
      </c>
      <c r="E852" s="7" t="s">
        <v>1242</v>
      </c>
      <c r="F852" s="5"/>
      <c r="G852" s="22"/>
    </row>
    <row r="853" spans="1:7" ht="20.25" customHeight="1">
      <c r="A853" s="10">
        <v>11797</v>
      </c>
      <c r="B853" s="10">
        <v>15797</v>
      </c>
      <c r="C853" s="10">
        <f t="shared" si="13"/>
        <v>11797</v>
      </c>
      <c r="D853" s="10" t="s">
        <v>549</v>
      </c>
      <c r="E853" s="7" t="s">
        <v>1243</v>
      </c>
      <c r="F853" s="5"/>
      <c r="G853" s="22"/>
    </row>
    <row r="854" spans="1:7" ht="20.25" customHeight="1">
      <c r="A854" s="10">
        <v>11798</v>
      </c>
      <c r="B854" s="10">
        <v>15798</v>
      </c>
      <c r="C854" s="10">
        <f t="shared" si="13"/>
        <v>11798</v>
      </c>
      <c r="D854" s="10" t="s">
        <v>549</v>
      </c>
      <c r="E854" s="7"/>
      <c r="F854" s="5" t="s">
        <v>643</v>
      </c>
      <c r="G854" s="22"/>
    </row>
    <row r="855" spans="1:7" ht="20.25" customHeight="1">
      <c r="A855" s="10">
        <v>11799</v>
      </c>
      <c r="B855" s="10">
        <v>15799</v>
      </c>
      <c r="C855" s="10">
        <f t="shared" si="13"/>
        <v>11799</v>
      </c>
      <c r="D855" s="10" t="s">
        <v>549</v>
      </c>
      <c r="E855" s="7" t="s">
        <v>1244</v>
      </c>
      <c r="F855" s="5" t="s">
        <v>572</v>
      </c>
      <c r="G855" s="22"/>
    </row>
    <row r="856" spans="1:7" ht="20.25" customHeight="1">
      <c r="A856" s="10">
        <v>11800</v>
      </c>
      <c r="B856" s="10">
        <v>15800</v>
      </c>
      <c r="C856" s="10">
        <f t="shared" si="13"/>
        <v>11800</v>
      </c>
      <c r="D856" s="10" t="s">
        <v>549</v>
      </c>
      <c r="E856" s="7" t="s">
        <v>1245</v>
      </c>
      <c r="F856" s="5"/>
      <c r="G856" s="22"/>
    </row>
    <row r="857" spans="1:7" ht="20.25" customHeight="1">
      <c r="A857" s="10">
        <v>11801</v>
      </c>
      <c r="B857" s="10">
        <v>15801</v>
      </c>
      <c r="C857" s="10">
        <f t="shared" si="13"/>
        <v>11801</v>
      </c>
      <c r="D857" s="10" t="s">
        <v>549</v>
      </c>
      <c r="E857" s="7" t="s">
        <v>1246</v>
      </c>
      <c r="F857" s="5"/>
      <c r="G857" s="22"/>
    </row>
    <row r="858" spans="1:7" ht="20.25" customHeight="1">
      <c r="A858" s="10">
        <v>11802</v>
      </c>
      <c r="B858" s="10">
        <v>15802</v>
      </c>
      <c r="C858" s="10">
        <f t="shared" si="13"/>
        <v>11802</v>
      </c>
      <c r="D858" s="10" t="s">
        <v>549</v>
      </c>
      <c r="E858" s="7" t="s">
        <v>1247</v>
      </c>
      <c r="F858" s="5"/>
      <c r="G858" s="22"/>
    </row>
    <row r="859" spans="1:7" ht="20.25" customHeight="1">
      <c r="A859" s="10">
        <v>11803</v>
      </c>
      <c r="B859" s="10">
        <v>15803</v>
      </c>
      <c r="C859" s="10">
        <f t="shared" si="13"/>
        <v>11803</v>
      </c>
      <c r="D859" s="10" t="s">
        <v>549</v>
      </c>
      <c r="E859" s="7"/>
      <c r="F859" s="5" t="s">
        <v>643</v>
      </c>
      <c r="G859" s="22"/>
    </row>
    <row r="860" spans="1:7" ht="20.25" customHeight="1">
      <c r="A860" s="10">
        <v>11804</v>
      </c>
      <c r="B860" s="10">
        <v>15804</v>
      </c>
      <c r="C860" s="10">
        <f t="shared" si="13"/>
        <v>11804</v>
      </c>
      <c r="D860" s="10" t="s">
        <v>549</v>
      </c>
      <c r="E860" s="7"/>
      <c r="F860" s="5" t="s">
        <v>643</v>
      </c>
      <c r="G860" s="22"/>
    </row>
    <row r="861" spans="1:7" ht="20.25" customHeight="1">
      <c r="A861" s="10">
        <v>11805</v>
      </c>
      <c r="B861" s="10">
        <v>15805</v>
      </c>
      <c r="C861" s="10">
        <f t="shared" si="13"/>
        <v>11805</v>
      </c>
      <c r="D861" s="10" t="s">
        <v>549</v>
      </c>
      <c r="E861" s="7"/>
      <c r="F861" s="5" t="s">
        <v>643</v>
      </c>
      <c r="G861" s="22"/>
    </row>
    <row r="862" spans="1:7" ht="20.25" customHeight="1">
      <c r="A862" s="10">
        <v>11806</v>
      </c>
      <c r="B862" s="10">
        <v>15806</v>
      </c>
      <c r="C862" s="10">
        <f t="shared" si="13"/>
        <v>11806</v>
      </c>
      <c r="D862" s="10" t="s">
        <v>549</v>
      </c>
      <c r="E862" s="9"/>
      <c r="F862" s="5" t="s">
        <v>643</v>
      </c>
      <c r="G862" s="22"/>
    </row>
    <row r="863" spans="1:7" ht="20.25" customHeight="1">
      <c r="A863" s="10">
        <v>11807</v>
      </c>
      <c r="B863" s="10">
        <v>15807</v>
      </c>
      <c r="C863" s="10">
        <f t="shared" si="13"/>
        <v>11807</v>
      </c>
      <c r="D863" s="10" t="s">
        <v>549</v>
      </c>
      <c r="E863" s="111"/>
      <c r="F863" s="5" t="s">
        <v>643</v>
      </c>
      <c r="G863" s="22"/>
    </row>
    <row r="864" spans="1:7" ht="20.25" customHeight="1">
      <c r="A864" s="10">
        <v>11808</v>
      </c>
      <c r="B864" s="10">
        <v>15808</v>
      </c>
      <c r="C864" s="10">
        <f t="shared" si="13"/>
        <v>11808</v>
      </c>
      <c r="D864" s="10" t="s">
        <v>549</v>
      </c>
      <c r="E864" s="7" t="s">
        <v>1248</v>
      </c>
      <c r="F864" s="5"/>
      <c r="G864" s="22"/>
    </row>
    <row r="865" spans="1:7" ht="20.25" customHeight="1">
      <c r="A865" s="10">
        <v>11809</v>
      </c>
      <c r="B865" s="10">
        <v>15809</v>
      </c>
      <c r="C865" s="10">
        <f t="shared" si="13"/>
        <v>11809</v>
      </c>
      <c r="D865" s="10" t="s">
        <v>549</v>
      </c>
      <c r="E865" s="7" t="s">
        <v>1249</v>
      </c>
      <c r="F865" s="5"/>
      <c r="G865" s="22"/>
    </row>
    <row r="866" spans="1:7" ht="20.25" customHeight="1">
      <c r="A866" s="10">
        <v>11810</v>
      </c>
      <c r="B866" s="10">
        <v>15810</v>
      </c>
      <c r="C866" s="10">
        <f t="shared" si="13"/>
        <v>11810</v>
      </c>
      <c r="D866" s="10" t="s">
        <v>549</v>
      </c>
      <c r="E866" s="7" t="s">
        <v>1250</v>
      </c>
      <c r="F866" s="5"/>
      <c r="G866" s="22"/>
    </row>
    <row r="867" spans="1:7" ht="20.25" customHeight="1">
      <c r="A867" s="10">
        <v>11811</v>
      </c>
      <c r="B867" s="10">
        <v>15811</v>
      </c>
      <c r="C867" s="10">
        <f t="shared" si="13"/>
        <v>11811</v>
      </c>
      <c r="D867" s="10" t="s">
        <v>549</v>
      </c>
      <c r="E867" s="7"/>
      <c r="F867" s="5" t="s">
        <v>643</v>
      </c>
      <c r="G867" s="22"/>
    </row>
    <row r="868" spans="1:7" ht="20.25" customHeight="1">
      <c r="A868" s="10">
        <v>11812</v>
      </c>
      <c r="B868" s="10">
        <v>15812</v>
      </c>
      <c r="C868" s="10">
        <f t="shared" si="13"/>
        <v>11812</v>
      </c>
      <c r="D868" s="10" t="s">
        <v>549</v>
      </c>
      <c r="E868" s="7"/>
      <c r="F868" s="5" t="s">
        <v>643</v>
      </c>
      <c r="G868" s="22"/>
    </row>
    <row r="869" spans="1:7" ht="20.25" customHeight="1">
      <c r="A869" s="10">
        <v>11813</v>
      </c>
      <c r="B869" s="10">
        <v>15813</v>
      </c>
      <c r="C869" s="10">
        <f t="shared" si="13"/>
        <v>11813</v>
      </c>
      <c r="D869" s="10" t="s">
        <v>549</v>
      </c>
      <c r="E869" s="7"/>
      <c r="F869" s="5" t="s">
        <v>643</v>
      </c>
      <c r="G869" s="22"/>
    </row>
    <row r="870" spans="1:7" ht="20.25" customHeight="1">
      <c r="A870" s="10">
        <v>11814</v>
      </c>
      <c r="B870" s="10">
        <v>15814</v>
      </c>
      <c r="C870" s="10">
        <f t="shared" si="13"/>
        <v>11814</v>
      </c>
      <c r="D870" s="10" t="s">
        <v>67</v>
      </c>
      <c r="E870" s="7" t="s">
        <v>1251</v>
      </c>
      <c r="F870" s="5"/>
      <c r="G870" s="22"/>
    </row>
    <row r="871" spans="1:7" ht="20.25" customHeight="1">
      <c r="A871" s="10">
        <v>11815</v>
      </c>
      <c r="B871" s="10">
        <v>15815</v>
      </c>
      <c r="C871" s="10">
        <f t="shared" si="13"/>
        <v>11815</v>
      </c>
      <c r="D871" s="10" t="s">
        <v>567</v>
      </c>
      <c r="E871" s="111" t="s">
        <v>1252</v>
      </c>
      <c r="F871" s="5"/>
      <c r="G871" s="22"/>
    </row>
    <row r="872" spans="1:7" ht="20.25" customHeight="1">
      <c r="A872" s="10">
        <v>11816</v>
      </c>
      <c r="B872" s="10">
        <v>15816</v>
      </c>
      <c r="C872" s="10">
        <f t="shared" si="13"/>
        <v>11816</v>
      </c>
      <c r="D872" s="10" t="s">
        <v>567</v>
      </c>
      <c r="E872" s="7" t="s">
        <v>1253</v>
      </c>
      <c r="F872" s="5"/>
      <c r="G872" s="22"/>
    </row>
    <row r="873" spans="1:7" ht="20.25" customHeight="1">
      <c r="A873" s="10">
        <v>11817</v>
      </c>
      <c r="B873" s="10">
        <v>15817</v>
      </c>
      <c r="C873" s="10">
        <f t="shared" si="13"/>
        <v>11817</v>
      </c>
      <c r="D873" s="10" t="s">
        <v>549</v>
      </c>
      <c r="E873" s="7"/>
      <c r="F873" s="5" t="s">
        <v>643</v>
      </c>
      <c r="G873" s="22"/>
    </row>
    <row r="874" spans="1:7" ht="20.25" customHeight="1">
      <c r="A874" s="10">
        <v>11818</v>
      </c>
      <c r="B874" s="10">
        <v>15818</v>
      </c>
      <c r="C874" s="10">
        <f t="shared" si="13"/>
        <v>11818</v>
      </c>
      <c r="D874" s="10" t="s">
        <v>549</v>
      </c>
      <c r="E874" s="7"/>
      <c r="F874" s="5" t="s">
        <v>643</v>
      </c>
      <c r="G874" s="22"/>
    </row>
    <row r="875" spans="1:7" ht="20.25" customHeight="1">
      <c r="A875" s="10">
        <v>11819</v>
      </c>
      <c r="B875" s="10">
        <v>15819</v>
      </c>
      <c r="C875" s="10">
        <f t="shared" si="13"/>
        <v>11819</v>
      </c>
      <c r="D875" s="10" t="s">
        <v>549</v>
      </c>
      <c r="E875" s="7"/>
      <c r="F875" s="5" t="s">
        <v>643</v>
      </c>
      <c r="G875" s="22"/>
    </row>
    <row r="876" spans="1:7" ht="20.25" customHeight="1">
      <c r="A876" s="10">
        <v>11820</v>
      </c>
      <c r="B876" s="10">
        <v>15820</v>
      </c>
      <c r="C876" s="10">
        <f t="shared" si="13"/>
        <v>11820</v>
      </c>
      <c r="D876" s="10" t="s">
        <v>549</v>
      </c>
      <c r="E876" s="7"/>
      <c r="F876" s="5" t="s">
        <v>643</v>
      </c>
      <c r="G876" s="22"/>
    </row>
    <row r="877" spans="1:7" ht="20.25" customHeight="1">
      <c r="A877" s="10">
        <v>11821</v>
      </c>
      <c r="B877" s="10">
        <v>15821</v>
      </c>
      <c r="C877" s="10">
        <f t="shared" si="13"/>
        <v>11821</v>
      </c>
      <c r="D877" s="10" t="s">
        <v>549</v>
      </c>
      <c r="E877" s="7"/>
      <c r="F877" s="5" t="s">
        <v>643</v>
      </c>
      <c r="G877" s="22"/>
    </row>
    <row r="878" spans="1:7" ht="20.25" customHeight="1">
      <c r="A878" s="10">
        <v>11822</v>
      </c>
      <c r="B878" s="10">
        <v>15822</v>
      </c>
      <c r="C878" s="10">
        <f t="shared" si="13"/>
        <v>11822</v>
      </c>
      <c r="D878" s="10" t="s">
        <v>567</v>
      </c>
      <c r="E878" s="7" t="s">
        <v>1254</v>
      </c>
      <c r="F878" s="5"/>
      <c r="G878" s="22"/>
    </row>
    <row r="879" spans="1:7" ht="20.25" customHeight="1">
      <c r="A879" s="10">
        <v>11823</v>
      </c>
      <c r="B879" s="10">
        <v>15823</v>
      </c>
      <c r="C879" s="10">
        <f t="shared" si="13"/>
        <v>11823</v>
      </c>
      <c r="D879" s="10" t="s">
        <v>567</v>
      </c>
      <c r="E879" s="7" t="s">
        <v>1255</v>
      </c>
      <c r="F879" s="5"/>
      <c r="G879" s="22"/>
    </row>
    <row r="880" spans="1:7" ht="20.25" customHeight="1">
      <c r="A880" s="10">
        <v>11824</v>
      </c>
      <c r="B880" s="10">
        <v>15824</v>
      </c>
      <c r="C880" s="10">
        <f t="shared" si="13"/>
        <v>11824</v>
      </c>
      <c r="D880" s="10" t="s">
        <v>567</v>
      </c>
      <c r="E880" s="7" t="s">
        <v>1256</v>
      </c>
      <c r="F880" s="5"/>
      <c r="G880" s="22"/>
    </row>
    <row r="881" spans="1:7" ht="20.25" customHeight="1">
      <c r="A881" s="10">
        <v>11825</v>
      </c>
      <c r="B881" s="10">
        <v>15825</v>
      </c>
      <c r="C881" s="10">
        <f t="shared" si="13"/>
        <v>11825</v>
      </c>
      <c r="D881" s="10" t="s">
        <v>549</v>
      </c>
      <c r="E881" s="7"/>
      <c r="F881" s="5" t="s">
        <v>643</v>
      </c>
      <c r="G881" s="22"/>
    </row>
    <row r="882" spans="1:7" ht="20.25" customHeight="1">
      <c r="A882" s="10">
        <v>11826</v>
      </c>
      <c r="B882" s="10">
        <v>15826</v>
      </c>
      <c r="C882" s="10">
        <f t="shared" si="13"/>
        <v>11826</v>
      </c>
      <c r="D882" s="10" t="s">
        <v>549</v>
      </c>
      <c r="E882" s="7"/>
      <c r="F882" s="5" t="s">
        <v>643</v>
      </c>
      <c r="G882" s="22"/>
    </row>
    <row r="883" spans="1:7" ht="20.25" customHeight="1">
      <c r="A883" s="10">
        <v>11828</v>
      </c>
      <c r="B883" s="10">
        <v>15828</v>
      </c>
      <c r="C883" s="10">
        <f t="shared" si="13"/>
        <v>11828</v>
      </c>
      <c r="D883" s="10" t="s">
        <v>549</v>
      </c>
      <c r="E883" s="7"/>
      <c r="F883" s="5" t="s">
        <v>643</v>
      </c>
      <c r="G883" s="22"/>
    </row>
    <row r="884" spans="1:7" ht="20.25" customHeight="1">
      <c r="A884" s="10">
        <v>11829</v>
      </c>
      <c r="B884" s="10">
        <v>15829</v>
      </c>
      <c r="C884" s="10">
        <f t="shared" si="13"/>
        <v>11829</v>
      </c>
      <c r="D884" s="10" t="s">
        <v>549</v>
      </c>
      <c r="E884" s="7" t="s">
        <v>1257</v>
      </c>
      <c r="F884" s="5"/>
      <c r="G884" s="22"/>
    </row>
    <row r="885" spans="1:7" ht="20.25" customHeight="1">
      <c r="A885" s="10">
        <v>11829</v>
      </c>
      <c r="B885" s="10">
        <v>15829</v>
      </c>
      <c r="C885" s="10">
        <f t="shared" si="13"/>
        <v>11829</v>
      </c>
      <c r="D885" s="10" t="s">
        <v>498</v>
      </c>
      <c r="E885" s="7" t="s">
        <v>1258</v>
      </c>
      <c r="F885" s="5"/>
      <c r="G885" s="22"/>
    </row>
    <row r="886" spans="1:7" ht="20.25" customHeight="1">
      <c r="A886" s="10">
        <v>11830</v>
      </c>
      <c r="B886" s="10">
        <v>15830</v>
      </c>
      <c r="C886" s="10">
        <f t="shared" si="13"/>
        <v>11830</v>
      </c>
      <c r="D886" s="10" t="s">
        <v>549</v>
      </c>
      <c r="E886" s="7" t="s">
        <v>593</v>
      </c>
      <c r="F886" s="5" t="s">
        <v>609</v>
      </c>
      <c r="G886" s="22"/>
    </row>
    <row r="887" spans="1:7" ht="20.25" customHeight="1">
      <c r="A887" s="10">
        <v>11831</v>
      </c>
      <c r="B887" s="10">
        <v>15831</v>
      </c>
      <c r="C887" s="10">
        <f t="shared" si="13"/>
        <v>11831</v>
      </c>
      <c r="D887" s="10" t="s">
        <v>549</v>
      </c>
      <c r="E887" s="22" t="s">
        <v>1259</v>
      </c>
      <c r="F887" s="5"/>
      <c r="G887" s="22"/>
    </row>
    <row r="888" spans="1:7" ht="20.25" customHeight="1">
      <c r="A888" s="10">
        <v>11832</v>
      </c>
      <c r="B888" s="10">
        <v>15832</v>
      </c>
      <c r="C888" s="10">
        <f t="shared" si="13"/>
        <v>11832</v>
      </c>
      <c r="D888" s="10" t="s">
        <v>549</v>
      </c>
      <c r="E888" s="7" t="s">
        <v>1260</v>
      </c>
      <c r="F888" s="5"/>
      <c r="G888" s="22"/>
    </row>
    <row r="889" spans="1:7" ht="20.25" customHeight="1">
      <c r="A889" s="10">
        <v>11833</v>
      </c>
      <c r="B889" s="10">
        <v>15833</v>
      </c>
      <c r="C889" s="10">
        <f t="shared" si="13"/>
        <v>11833</v>
      </c>
      <c r="D889" s="10" t="s">
        <v>549</v>
      </c>
      <c r="E889" s="7" t="s">
        <v>1261</v>
      </c>
      <c r="F889" s="5"/>
      <c r="G889" s="22"/>
    </row>
    <row r="890" spans="1:7" ht="20.25" customHeight="1">
      <c r="A890" s="10">
        <v>11834</v>
      </c>
      <c r="B890" s="10">
        <v>15834</v>
      </c>
      <c r="C890" s="10">
        <f t="shared" si="13"/>
        <v>11834</v>
      </c>
      <c r="D890" s="10" t="s">
        <v>549</v>
      </c>
      <c r="E890" s="7" t="s">
        <v>1262</v>
      </c>
      <c r="F890" s="5"/>
      <c r="G890" s="22"/>
    </row>
    <row r="891" spans="1:7" ht="20.25" customHeight="1">
      <c r="A891" s="10">
        <v>11835</v>
      </c>
      <c r="B891" s="10">
        <v>15835</v>
      </c>
      <c r="C891" s="10">
        <f t="shared" si="13"/>
        <v>11835</v>
      </c>
      <c r="D891" s="10" t="s">
        <v>549</v>
      </c>
      <c r="E891" s="7" t="s">
        <v>1263</v>
      </c>
      <c r="F891" s="5"/>
      <c r="G891" s="22"/>
    </row>
    <row r="892" spans="1:7" ht="20.25" customHeight="1">
      <c r="A892" s="10">
        <v>11836</v>
      </c>
      <c r="B892" s="10">
        <v>15836</v>
      </c>
      <c r="C892" s="10">
        <f t="shared" si="13"/>
        <v>11836</v>
      </c>
      <c r="D892" s="10" t="s">
        <v>549</v>
      </c>
      <c r="E892" s="7"/>
      <c r="F892" s="5" t="s">
        <v>643</v>
      </c>
      <c r="G892" s="22"/>
    </row>
    <row r="893" spans="1:7" ht="20.25" customHeight="1">
      <c r="A893" s="10">
        <v>11837</v>
      </c>
      <c r="B893" s="10">
        <v>15837</v>
      </c>
      <c r="C893" s="10">
        <f t="shared" si="13"/>
        <v>11837</v>
      </c>
      <c r="D893" s="10" t="s">
        <v>549</v>
      </c>
      <c r="E893" s="7"/>
      <c r="F893" s="5" t="s">
        <v>643</v>
      </c>
      <c r="G893" s="22"/>
    </row>
    <row r="894" spans="1:7" ht="20.25" customHeight="1">
      <c r="A894" s="10">
        <v>11838</v>
      </c>
      <c r="B894" s="10">
        <v>15838</v>
      </c>
      <c r="C894" s="10">
        <f t="shared" si="13"/>
        <v>11838</v>
      </c>
      <c r="D894" s="10" t="s">
        <v>549</v>
      </c>
      <c r="E894" s="7"/>
      <c r="F894" s="5" t="s">
        <v>643</v>
      </c>
      <c r="G894" s="22"/>
    </row>
    <row r="895" spans="1:7" ht="20.25" customHeight="1">
      <c r="A895" s="10">
        <v>11839</v>
      </c>
      <c r="B895" s="10">
        <v>15839</v>
      </c>
      <c r="C895" s="10">
        <f t="shared" si="13"/>
        <v>11839</v>
      </c>
      <c r="D895" s="10" t="s">
        <v>549</v>
      </c>
      <c r="E895" s="7"/>
      <c r="F895" s="5" t="s">
        <v>643</v>
      </c>
      <c r="G895" s="22"/>
    </row>
    <row r="896" spans="1:7" ht="20.25" customHeight="1">
      <c r="A896" s="10">
        <v>11840</v>
      </c>
      <c r="B896" s="10">
        <v>15840</v>
      </c>
      <c r="C896" s="10">
        <f t="shared" si="13"/>
        <v>11840</v>
      </c>
      <c r="D896" s="10" t="s">
        <v>549</v>
      </c>
      <c r="E896" s="7"/>
      <c r="F896" s="5" t="s">
        <v>643</v>
      </c>
      <c r="G896" s="22"/>
    </row>
    <row r="897" spans="1:7" ht="15">
      <c r="A897" s="10">
        <v>11841</v>
      </c>
      <c r="B897" s="10">
        <v>15841</v>
      </c>
      <c r="C897" s="10">
        <f t="shared" si="13"/>
        <v>21841</v>
      </c>
      <c r="D897" s="10" t="s">
        <v>567</v>
      </c>
      <c r="E897" s="7" t="s">
        <v>1264</v>
      </c>
      <c r="F897" s="5"/>
      <c r="G897" s="22"/>
    </row>
    <row r="898" spans="1:7" ht="15">
      <c r="A898" s="10">
        <v>11842</v>
      </c>
      <c r="B898" s="10">
        <v>15842</v>
      </c>
      <c r="C898" s="10">
        <f t="shared" si="13"/>
        <v>21842</v>
      </c>
      <c r="D898" s="10" t="s">
        <v>567</v>
      </c>
      <c r="E898" s="7" t="s">
        <v>1265</v>
      </c>
      <c r="F898" s="5"/>
      <c r="G898" s="22"/>
    </row>
    <row r="899" spans="1:7" ht="20.25" customHeight="1">
      <c r="A899" s="10">
        <v>11843</v>
      </c>
      <c r="B899" s="10">
        <v>15843</v>
      </c>
      <c r="C899" s="10">
        <f t="shared" si="13"/>
        <v>21843</v>
      </c>
      <c r="D899" s="10" t="s">
        <v>567</v>
      </c>
      <c r="E899" s="7" t="s">
        <v>1266</v>
      </c>
      <c r="F899" s="5"/>
      <c r="G899" s="22"/>
    </row>
    <row r="900" spans="1:7" ht="20.25" customHeight="1">
      <c r="A900" s="10">
        <v>11844</v>
      </c>
      <c r="B900" s="10">
        <v>15844</v>
      </c>
      <c r="C900" s="10">
        <f t="shared" si="13"/>
        <v>11844</v>
      </c>
      <c r="D900" s="10" t="s">
        <v>549</v>
      </c>
      <c r="E900" s="7" t="s">
        <v>1267</v>
      </c>
      <c r="F900" s="5"/>
      <c r="G900" s="22"/>
    </row>
    <row r="901" spans="1:7" ht="20.25" customHeight="1">
      <c r="A901" s="10">
        <v>11845</v>
      </c>
      <c r="B901" s="10">
        <v>15845</v>
      </c>
      <c r="C901" s="10">
        <f t="shared" ref="C901:C964" si="14">IF(ISERROR(FIND("B_Epic",E901)),A901,A901+10000)</f>
        <v>21845</v>
      </c>
      <c r="D901" s="10" t="s">
        <v>567</v>
      </c>
      <c r="E901" s="7" t="s">
        <v>1268</v>
      </c>
      <c r="F901" s="5"/>
      <c r="G901" s="22"/>
    </row>
    <row r="902" spans="1:7" ht="20.25" customHeight="1">
      <c r="A902" s="10">
        <v>11846</v>
      </c>
      <c r="B902" s="10">
        <v>15846</v>
      </c>
      <c r="C902" s="10">
        <f t="shared" si="14"/>
        <v>11846</v>
      </c>
      <c r="D902" s="10" t="s">
        <v>567</v>
      </c>
      <c r="E902" s="7" t="s">
        <v>1269</v>
      </c>
      <c r="F902" s="5"/>
      <c r="G902" s="22"/>
    </row>
    <row r="903" spans="1:7" ht="20.25" customHeight="1">
      <c r="A903" s="10">
        <v>11847</v>
      </c>
      <c r="B903" s="10">
        <v>15847</v>
      </c>
      <c r="C903" s="10">
        <f t="shared" si="14"/>
        <v>11847</v>
      </c>
      <c r="D903" s="10" t="s">
        <v>567</v>
      </c>
      <c r="E903" s="7" t="s">
        <v>1270</v>
      </c>
      <c r="F903" s="5"/>
      <c r="G903" s="22"/>
    </row>
    <row r="904" spans="1:7" ht="20.25" customHeight="1">
      <c r="A904" s="10">
        <v>11848</v>
      </c>
      <c r="B904" s="10">
        <v>15848</v>
      </c>
      <c r="C904" s="10">
        <f t="shared" si="14"/>
        <v>11848</v>
      </c>
      <c r="D904" s="10" t="s">
        <v>567</v>
      </c>
      <c r="E904" s="7" t="s">
        <v>1271</v>
      </c>
      <c r="F904" s="5"/>
      <c r="G904" s="22"/>
    </row>
    <row r="905" spans="1:7" ht="20.25" customHeight="1">
      <c r="A905" s="10">
        <v>11849</v>
      </c>
      <c r="B905" s="10">
        <v>15849</v>
      </c>
      <c r="C905" s="10">
        <f t="shared" si="14"/>
        <v>11849</v>
      </c>
      <c r="D905" s="10" t="s">
        <v>549</v>
      </c>
      <c r="E905" s="7" t="s">
        <v>1272</v>
      </c>
      <c r="F905" s="5"/>
      <c r="G905" s="22"/>
    </row>
    <row r="906" spans="1:7" ht="20.25" customHeight="1">
      <c r="A906" s="10">
        <v>11850</v>
      </c>
      <c r="B906" s="10">
        <v>15850</v>
      </c>
      <c r="C906" s="10">
        <f t="shared" si="14"/>
        <v>11850</v>
      </c>
      <c r="D906" s="10" t="s">
        <v>549</v>
      </c>
      <c r="E906" s="107" t="s">
        <v>1273</v>
      </c>
      <c r="F906" s="5"/>
      <c r="G906" s="22"/>
    </row>
    <row r="907" spans="1:7" ht="20.25" customHeight="1">
      <c r="A907" s="10">
        <v>11851</v>
      </c>
      <c r="B907" s="10">
        <v>15851</v>
      </c>
      <c r="C907" s="10">
        <f t="shared" si="14"/>
        <v>11851</v>
      </c>
      <c r="D907" s="10" t="s">
        <v>549</v>
      </c>
      <c r="E907" s="7" t="s">
        <v>1274</v>
      </c>
      <c r="F907" s="5"/>
      <c r="G907" s="22"/>
    </row>
    <row r="908" spans="1:7" ht="20.25" customHeight="1">
      <c r="A908" s="10">
        <v>11852</v>
      </c>
      <c r="B908" s="10">
        <v>15852</v>
      </c>
      <c r="C908" s="10">
        <f t="shared" si="14"/>
        <v>21852</v>
      </c>
      <c r="D908" s="10" t="s">
        <v>67</v>
      </c>
      <c r="E908" s="7" t="s">
        <v>1275</v>
      </c>
      <c r="F908" s="5" t="s">
        <v>635</v>
      </c>
      <c r="G908" s="22"/>
    </row>
    <row r="909" spans="1:7" ht="20.25" customHeight="1">
      <c r="A909" s="10">
        <v>11853</v>
      </c>
      <c r="B909" s="10">
        <v>15853</v>
      </c>
      <c r="C909" s="10">
        <f t="shared" si="14"/>
        <v>11853</v>
      </c>
      <c r="D909" s="10" t="s">
        <v>549</v>
      </c>
      <c r="E909" s="7" t="s">
        <v>1276</v>
      </c>
      <c r="F909" s="5"/>
      <c r="G909" s="22"/>
    </row>
    <row r="910" spans="1:7" ht="20.25" customHeight="1">
      <c r="A910" s="10">
        <v>11853</v>
      </c>
      <c r="B910" s="10">
        <v>15853</v>
      </c>
      <c r="C910" s="10">
        <f t="shared" si="14"/>
        <v>11853</v>
      </c>
      <c r="D910" s="10" t="s">
        <v>67</v>
      </c>
      <c r="E910" s="7" t="s">
        <v>1277</v>
      </c>
      <c r="F910" s="5"/>
      <c r="G910" s="22"/>
    </row>
    <row r="911" spans="1:7" ht="20.25" customHeight="1">
      <c r="A911" s="10">
        <v>11854</v>
      </c>
      <c r="B911" s="10">
        <v>15854</v>
      </c>
      <c r="C911" s="10">
        <f t="shared" si="14"/>
        <v>11854</v>
      </c>
      <c r="D911" s="10" t="s">
        <v>549</v>
      </c>
      <c r="E911" s="7" t="s">
        <v>1278</v>
      </c>
      <c r="F911" s="5"/>
      <c r="G911" s="22" t="s">
        <v>366</v>
      </c>
    </row>
    <row r="912" spans="1:7" ht="20.25" customHeight="1">
      <c r="A912" s="10">
        <v>11855</v>
      </c>
      <c r="B912" s="10">
        <v>15855</v>
      </c>
      <c r="C912" s="10">
        <f t="shared" si="14"/>
        <v>21855</v>
      </c>
      <c r="D912" s="10" t="s">
        <v>567</v>
      </c>
      <c r="E912" s="7" t="s">
        <v>1279</v>
      </c>
      <c r="F912" s="5" t="s">
        <v>619</v>
      </c>
      <c r="G912" s="22"/>
    </row>
    <row r="913" spans="1:7" ht="20.25" customHeight="1">
      <c r="A913" s="10">
        <v>11856</v>
      </c>
      <c r="B913" s="10">
        <v>15856</v>
      </c>
      <c r="C913" s="10">
        <f t="shared" si="14"/>
        <v>21856</v>
      </c>
      <c r="D913" s="10" t="s">
        <v>567</v>
      </c>
      <c r="E913" s="7" t="s">
        <v>1280</v>
      </c>
      <c r="F913" s="5" t="s">
        <v>619</v>
      </c>
      <c r="G913" s="22"/>
    </row>
    <row r="914" spans="1:7" ht="20.25" customHeight="1">
      <c r="A914" s="10">
        <v>11857</v>
      </c>
      <c r="B914" s="10">
        <v>15857</v>
      </c>
      <c r="C914" s="10">
        <f t="shared" si="14"/>
        <v>11857</v>
      </c>
      <c r="D914" s="10" t="s">
        <v>67</v>
      </c>
      <c r="E914" s="7" t="s">
        <v>1281</v>
      </c>
      <c r="F914" s="5"/>
      <c r="G914" s="22"/>
    </row>
    <row r="915" spans="1:7" ht="20.25" customHeight="1">
      <c r="A915" s="10">
        <v>11857</v>
      </c>
      <c r="B915" s="10">
        <v>15857</v>
      </c>
      <c r="C915" s="10">
        <f t="shared" si="14"/>
        <v>11857</v>
      </c>
      <c r="D915" s="10" t="s">
        <v>549</v>
      </c>
      <c r="E915" s="7" t="s">
        <v>1282</v>
      </c>
      <c r="F915" s="5"/>
      <c r="G915" s="22"/>
    </row>
    <row r="916" spans="1:7" ht="20.25" customHeight="1">
      <c r="A916" s="10">
        <v>11858</v>
      </c>
      <c r="B916" s="10">
        <v>15858</v>
      </c>
      <c r="C916" s="10">
        <f t="shared" si="14"/>
        <v>11858</v>
      </c>
      <c r="D916" s="10" t="s">
        <v>567</v>
      </c>
      <c r="E916" s="7" t="s">
        <v>1283</v>
      </c>
      <c r="F916" s="5"/>
      <c r="G916" s="22"/>
    </row>
    <row r="917" spans="1:7" ht="20.25" customHeight="1">
      <c r="A917" s="10">
        <v>11859</v>
      </c>
      <c r="B917" s="10">
        <v>15859</v>
      </c>
      <c r="C917" s="10">
        <f t="shared" si="14"/>
        <v>11859</v>
      </c>
      <c r="D917" s="10" t="s">
        <v>567</v>
      </c>
      <c r="E917" s="7" t="s">
        <v>1284</v>
      </c>
      <c r="F917" s="5"/>
      <c r="G917" s="22"/>
    </row>
    <row r="918" spans="1:7" ht="20.25" customHeight="1">
      <c r="A918" s="10">
        <v>15864</v>
      </c>
      <c r="B918" s="10">
        <v>15860</v>
      </c>
      <c r="C918" s="10">
        <f t="shared" si="14"/>
        <v>15864</v>
      </c>
      <c r="D918" s="10" t="s">
        <v>67</v>
      </c>
      <c r="E918" s="7" t="s">
        <v>1285</v>
      </c>
      <c r="F918" s="5" t="s">
        <v>1286</v>
      </c>
      <c r="G918" s="22"/>
    </row>
    <row r="919" spans="1:7" ht="20.25" customHeight="1">
      <c r="A919" s="10">
        <v>15865</v>
      </c>
      <c r="B919" s="10">
        <v>15861</v>
      </c>
      <c r="C919" s="10">
        <f t="shared" si="14"/>
        <v>15865</v>
      </c>
      <c r="D919" s="10" t="s">
        <v>67</v>
      </c>
      <c r="E919" s="7" t="s">
        <v>1287</v>
      </c>
      <c r="F919" s="5"/>
      <c r="G919" s="22"/>
    </row>
    <row r="920" spans="1:7" ht="20.25" customHeight="1">
      <c r="A920" s="10">
        <v>11862</v>
      </c>
      <c r="B920" s="10">
        <v>15862</v>
      </c>
      <c r="C920" s="10">
        <f t="shared" si="14"/>
        <v>11862</v>
      </c>
      <c r="D920" s="10" t="s">
        <v>549</v>
      </c>
      <c r="E920" s="7" t="s">
        <v>1288</v>
      </c>
      <c r="F920" s="5"/>
      <c r="G920" s="22"/>
    </row>
    <row r="921" spans="1:7" ht="20.25" customHeight="1">
      <c r="A921" s="10">
        <v>11863</v>
      </c>
      <c r="B921" s="10">
        <v>15863</v>
      </c>
      <c r="C921" s="10">
        <f t="shared" si="14"/>
        <v>11863</v>
      </c>
      <c r="D921" s="10" t="s">
        <v>549</v>
      </c>
      <c r="E921" s="7" t="s">
        <v>1289</v>
      </c>
      <c r="F921" s="5"/>
      <c r="G921" s="22"/>
    </row>
    <row r="922" spans="1:7" ht="20.25" customHeight="1">
      <c r="A922" s="10">
        <v>11864</v>
      </c>
      <c r="B922" s="10">
        <v>15864</v>
      </c>
      <c r="C922" s="10">
        <f t="shared" si="14"/>
        <v>11864</v>
      </c>
      <c r="D922" s="10" t="s">
        <v>549</v>
      </c>
      <c r="E922" s="7" t="s">
        <v>1290</v>
      </c>
      <c r="F922" s="5"/>
      <c r="G922" s="22"/>
    </row>
    <row r="923" spans="1:7" ht="20.25" customHeight="1">
      <c r="A923" s="10">
        <v>11865</v>
      </c>
      <c r="B923" s="10">
        <v>15865</v>
      </c>
      <c r="C923" s="10">
        <f t="shared" si="14"/>
        <v>11865</v>
      </c>
      <c r="D923" s="10" t="s">
        <v>549</v>
      </c>
      <c r="E923" s="7" t="s">
        <v>1291</v>
      </c>
      <c r="F923" s="5"/>
      <c r="G923" s="22"/>
    </row>
    <row r="924" spans="1:7" ht="20.25" customHeight="1">
      <c r="A924" s="10">
        <v>11866</v>
      </c>
      <c r="B924" s="10">
        <v>15866</v>
      </c>
      <c r="C924" s="10">
        <f t="shared" si="14"/>
        <v>11866</v>
      </c>
      <c r="D924" s="10" t="s">
        <v>549</v>
      </c>
      <c r="E924" s="7" t="s">
        <v>1292</v>
      </c>
      <c r="F924" s="5"/>
      <c r="G924" s="22"/>
    </row>
    <row r="925" spans="1:7" ht="20.25" customHeight="1">
      <c r="A925" s="10">
        <v>11867</v>
      </c>
      <c r="B925" s="10">
        <v>15867</v>
      </c>
      <c r="C925" s="10">
        <f t="shared" si="14"/>
        <v>11867</v>
      </c>
      <c r="D925" s="10" t="s">
        <v>549</v>
      </c>
      <c r="E925" s="111" t="s">
        <v>1293</v>
      </c>
      <c r="F925" s="5"/>
      <c r="G925" s="22"/>
    </row>
    <row r="926" spans="1:7" ht="20.25" customHeight="1">
      <c r="A926" s="10">
        <v>11868</v>
      </c>
      <c r="B926" s="10">
        <v>15868</v>
      </c>
      <c r="C926" s="10">
        <f t="shared" si="14"/>
        <v>11868</v>
      </c>
      <c r="D926" s="10" t="s">
        <v>549</v>
      </c>
      <c r="E926" s="7" t="s">
        <v>1294</v>
      </c>
      <c r="F926" s="5"/>
      <c r="G926" s="22"/>
    </row>
    <row r="927" spans="1:7" ht="20.25" customHeight="1">
      <c r="A927" s="10">
        <v>11869</v>
      </c>
      <c r="B927" s="10">
        <v>15869</v>
      </c>
      <c r="C927" s="10">
        <f t="shared" si="14"/>
        <v>11869</v>
      </c>
      <c r="D927" s="10" t="s">
        <v>549</v>
      </c>
      <c r="E927" s="7" t="s">
        <v>1295</v>
      </c>
      <c r="F927" s="5"/>
      <c r="G927" s="22" t="s">
        <v>1055</v>
      </c>
    </row>
    <row r="928" spans="1:7" ht="20.25" customHeight="1">
      <c r="A928" s="10">
        <v>11870</v>
      </c>
      <c r="B928" s="10">
        <v>15870</v>
      </c>
      <c r="C928" s="10">
        <f t="shared" si="14"/>
        <v>21870</v>
      </c>
      <c r="D928" s="10" t="s">
        <v>567</v>
      </c>
      <c r="E928" s="111" t="s">
        <v>1296</v>
      </c>
      <c r="F928" s="5" t="s">
        <v>619</v>
      </c>
      <c r="G928" s="22"/>
    </row>
    <row r="929" spans="1:7" ht="20.25" customHeight="1">
      <c r="A929" s="10">
        <v>11871</v>
      </c>
      <c r="B929" s="10">
        <v>15871</v>
      </c>
      <c r="C929" s="10">
        <f t="shared" si="14"/>
        <v>11871</v>
      </c>
      <c r="D929" s="10" t="s">
        <v>549</v>
      </c>
      <c r="E929" s="7" t="s">
        <v>1297</v>
      </c>
      <c r="F929" s="5"/>
      <c r="G929" s="22"/>
    </row>
    <row r="930" spans="1:7" ht="20.25" customHeight="1">
      <c r="A930" s="10">
        <v>11872</v>
      </c>
      <c r="B930" s="10">
        <v>15872</v>
      </c>
      <c r="C930" s="10">
        <f t="shared" si="14"/>
        <v>11872</v>
      </c>
      <c r="D930" s="10" t="s">
        <v>549</v>
      </c>
      <c r="E930" s="7" t="s">
        <v>1298</v>
      </c>
      <c r="F930" s="5"/>
      <c r="G930" s="22"/>
    </row>
    <row r="931" spans="1:7" ht="20.25" customHeight="1">
      <c r="A931" s="10">
        <v>11873</v>
      </c>
      <c r="B931" s="10">
        <v>15873</v>
      </c>
      <c r="C931" s="10">
        <f t="shared" si="14"/>
        <v>11873</v>
      </c>
      <c r="D931" s="10" t="s">
        <v>549</v>
      </c>
      <c r="E931" s="7" t="s">
        <v>1299</v>
      </c>
      <c r="F931" s="5"/>
      <c r="G931" s="22" t="s">
        <v>1055</v>
      </c>
    </row>
    <row r="932" spans="1:7" ht="20.25" customHeight="1">
      <c r="A932" s="10">
        <v>11874</v>
      </c>
      <c r="B932" s="10">
        <v>15874</v>
      </c>
      <c r="C932" s="10">
        <f t="shared" si="14"/>
        <v>11874</v>
      </c>
      <c r="D932" s="10" t="s">
        <v>549</v>
      </c>
      <c r="E932" s="7" t="s">
        <v>1300</v>
      </c>
      <c r="F932" s="5"/>
      <c r="G932" s="22" t="s">
        <v>592</v>
      </c>
    </row>
    <row r="933" spans="1:7" ht="20.25" customHeight="1">
      <c r="A933" s="10">
        <v>11875</v>
      </c>
      <c r="B933" s="10">
        <v>15875</v>
      </c>
      <c r="C933" s="10">
        <f t="shared" si="14"/>
        <v>11875</v>
      </c>
      <c r="D933" s="10" t="s">
        <v>549</v>
      </c>
      <c r="E933" s="7" t="s">
        <v>1301</v>
      </c>
      <c r="F933" s="5"/>
      <c r="G933" s="22" t="s">
        <v>592</v>
      </c>
    </row>
    <row r="934" spans="1:7" ht="20.25" customHeight="1">
      <c r="A934" s="10">
        <v>11876</v>
      </c>
      <c r="B934" s="10">
        <v>15876</v>
      </c>
      <c r="C934" s="10">
        <f t="shared" si="14"/>
        <v>11876</v>
      </c>
      <c r="D934" s="10" t="s">
        <v>549</v>
      </c>
      <c r="E934" s="7" t="s">
        <v>1302</v>
      </c>
      <c r="F934" s="5"/>
      <c r="G934" s="22" t="s">
        <v>1303</v>
      </c>
    </row>
    <row r="935" spans="1:7" ht="20.25" customHeight="1">
      <c r="A935" s="10">
        <v>11877</v>
      </c>
      <c r="B935" s="10">
        <v>15877</v>
      </c>
      <c r="C935" s="10">
        <f t="shared" si="14"/>
        <v>21877</v>
      </c>
      <c r="D935" s="10" t="s">
        <v>567</v>
      </c>
      <c r="E935" s="7" t="s">
        <v>1304</v>
      </c>
      <c r="F935" s="5" t="s">
        <v>619</v>
      </c>
      <c r="G935" s="22"/>
    </row>
    <row r="936" spans="1:7" ht="20.25" customHeight="1">
      <c r="A936" s="10">
        <v>11878</v>
      </c>
      <c r="B936" s="10">
        <v>15878</v>
      </c>
      <c r="C936" s="10">
        <f t="shared" si="14"/>
        <v>11878</v>
      </c>
      <c r="D936" s="10" t="s">
        <v>549</v>
      </c>
      <c r="E936" s="7" t="s">
        <v>1305</v>
      </c>
      <c r="F936" s="5"/>
      <c r="G936" s="22"/>
    </row>
    <row r="937" spans="1:7" ht="20.25" customHeight="1">
      <c r="A937" s="10">
        <v>11879</v>
      </c>
      <c r="B937" s="10">
        <v>15879</v>
      </c>
      <c r="C937" s="10">
        <f t="shared" si="14"/>
        <v>11879</v>
      </c>
      <c r="D937" s="10" t="s">
        <v>549</v>
      </c>
      <c r="E937" s="7" t="s">
        <v>1306</v>
      </c>
      <c r="F937" s="5"/>
      <c r="G937" s="22"/>
    </row>
    <row r="938" spans="1:7" ht="20.25" customHeight="1">
      <c r="A938" s="10">
        <v>11880</v>
      </c>
      <c r="B938" s="10">
        <v>15880</v>
      </c>
      <c r="C938" s="10">
        <f t="shared" si="14"/>
        <v>11880</v>
      </c>
      <c r="D938" s="10" t="s">
        <v>549</v>
      </c>
      <c r="E938" s="7" t="s">
        <v>1307</v>
      </c>
      <c r="F938" s="5"/>
      <c r="G938" s="22"/>
    </row>
    <row r="939" spans="1:7" ht="20.25" customHeight="1">
      <c r="A939" s="10">
        <v>11881</v>
      </c>
      <c r="B939" s="10">
        <v>15881</v>
      </c>
      <c r="C939" s="10">
        <f t="shared" si="14"/>
        <v>11881</v>
      </c>
      <c r="D939" s="10" t="s">
        <v>549</v>
      </c>
      <c r="E939" s="7" t="s">
        <v>1308</v>
      </c>
      <c r="F939" s="5"/>
      <c r="G939" s="22"/>
    </row>
    <row r="940" spans="1:7" ht="20.25" customHeight="1">
      <c r="A940" s="10">
        <v>11882</v>
      </c>
      <c r="B940" s="10">
        <v>15882</v>
      </c>
      <c r="C940" s="10">
        <f t="shared" si="14"/>
        <v>11882</v>
      </c>
      <c r="D940" s="10" t="s">
        <v>549</v>
      </c>
      <c r="E940" s="7" t="s">
        <v>1309</v>
      </c>
      <c r="F940" s="5"/>
      <c r="G940" s="22"/>
    </row>
    <row r="941" spans="1:7" ht="20.25" customHeight="1">
      <c r="A941" s="10">
        <v>11883</v>
      </c>
      <c r="B941" s="10">
        <v>15883</v>
      </c>
      <c r="C941" s="10">
        <f t="shared" si="14"/>
        <v>11883</v>
      </c>
      <c r="D941" s="10" t="s">
        <v>549</v>
      </c>
      <c r="E941" s="7" t="s">
        <v>1310</v>
      </c>
      <c r="F941" s="5"/>
      <c r="G941" s="22"/>
    </row>
    <row r="942" spans="1:7" ht="20.25" customHeight="1">
      <c r="A942" s="10">
        <v>11884</v>
      </c>
      <c r="B942" s="10">
        <v>15884</v>
      </c>
      <c r="C942" s="10">
        <f t="shared" si="14"/>
        <v>11884</v>
      </c>
      <c r="D942" s="10" t="s">
        <v>549</v>
      </c>
      <c r="E942" s="7" t="s">
        <v>1311</v>
      </c>
      <c r="F942" s="5"/>
      <c r="G942" s="22"/>
    </row>
    <row r="943" spans="1:7" ht="20.25" customHeight="1">
      <c r="A943" s="10">
        <v>11885</v>
      </c>
      <c r="B943" s="10">
        <v>15885</v>
      </c>
      <c r="C943" s="10">
        <f t="shared" si="14"/>
        <v>21885</v>
      </c>
      <c r="D943" s="10" t="s">
        <v>567</v>
      </c>
      <c r="E943" s="7" t="s">
        <v>1312</v>
      </c>
      <c r="F943" s="5" t="s">
        <v>619</v>
      </c>
      <c r="G943" s="22"/>
    </row>
    <row r="944" spans="1:7" ht="20.25" customHeight="1">
      <c r="A944" s="10">
        <v>11886</v>
      </c>
      <c r="B944" s="10">
        <v>15886</v>
      </c>
      <c r="C944" s="10">
        <f t="shared" si="14"/>
        <v>11886</v>
      </c>
      <c r="D944" s="10" t="s">
        <v>549</v>
      </c>
      <c r="E944" s="7"/>
      <c r="F944" s="5" t="s">
        <v>643</v>
      </c>
      <c r="G944" s="22"/>
    </row>
    <row r="945" spans="1:7" ht="20.25" customHeight="1">
      <c r="A945" s="10">
        <v>11887</v>
      </c>
      <c r="B945" s="10">
        <v>15887</v>
      </c>
      <c r="C945" s="10">
        <f t="shared" si="14"/>
        <v>11887</v>
      </c>
      <c r="D945" s="10" t="s">
        <v>549</v>
      </c>
      <c r="E945" s="7"/>
      <c r="F945" s="5" t="s">
        <v>643</v>
      </c>
      <c r="G945" s="22"/>
    </row>
    <row r="946" spans="1:7" ht="20.25" customHeight="1">
      <c r="A946" s="10">
        <v>11888</v>
      </c>
      <c r="B946" s="10">
        <v>15888</v>
      </c>
      <c r="C946" s="10">
        <f t="shared" si="14"/>
        <v>11888</v>
      </c>
      <c r="D946" s="10" t="s">
        <v>549</v>
      </c>
      <c r="E946" s="7"/>
      <c r="F946" s="5" t="s">
        <v>643</v>
      </c>
      <c r="G946" s="22"/>
    </row>
    <row r="947" spans="1:7" ht="20.25" customHeight="1">
      <c r="A947" s="10">
        <v>11889</v>
      </c>
      <c r="B947" s="10">
        <v>15889</v>
      </c>
      <c r="C947" s="10">
        <f t="shared" si="14"/>
        <v>11889</v>
      </c>
      <c r="D947" s="10" t="s">
        <v>549</v>
      </c>
      <c r="E947" s="7"/>
      <c r="F947" s="5" t="s">
        <v>643</v>
      </c>
      <c r="G947" s="22"/>
    </row>
    <row r="948" spans="1:7" ht="20.25" customHeight="1">
      <c r="A948" s="10">
        <v>11890</v>
      </c>
      <c r="B948" s="10">
        <v>15890</v>
      </c>
      <c r="C948" s="10">
        <f t="shared" si="14"/>
        <v>11890</v>
      </c>
      <c r="D948" s="10" t="s">
        <v>549</v>
      </c>
      <c r="E948" s="7"/>
      <c r="F948" s="5" t="s">
        <v>643</v>
      </c>
      <c r="G948" s="22"/>
    </row>
    <row r="949" spans="1:7" ht="20.25" customHeight="1">
      <c r="A949" s="10">
        <v>11891</v>
      </c>
      <c r="B949" s="10">
        <v>15891</v>
      </c>
      <c r="C949" s="10">
        <f t="shared" si="14"/>
        <v>11891</v>
      </c>
      <c r="D949" s="10" t="s">
        <v>549</v>
      </c>
      <c r="E949" s="7"/>
      <c r="F949" s="5" t="s">
        <v>643</v>
      </c>
      <c r="G949" s="22"/>
    </row>
    <row r="950" spans="1:7" ht="20.25" customHeight="1">
      <c r="A950" s="10">
        <v>11892</v>
      </c>
      <c r="B950" s="10">
        <v>15892</v>
      </c>
      <c r="C950" s="10">
        <f t="shared" si="14"/>
        <v>11892</v>
      </c>
      <c r="D950" s="10" t="s">
        <v>549</v>
      </c>
      <c r="E950" s="111"/>
      <c r="F950" s="5" t="s">
        <v>643</v>
      </c>
      <c r="G950" s="22"/>
    </row>
    <row r="951" spans="1:7" ht="20.25" customHeight="1">
      <c r="A951" s="10">
        <v>11893</v>
      </c>
      <c r="B951" s="10">
        <v>15893</v>
      </c>
      <c r="C951" s="10">
        <f t="shared" si="14"/>
        <v>11893</v>
      </c>
      <c r="D951" s="10" t="s">
        <v>549</v>
      </c>
      <c r="E951" s="7"/>
      <c r="F951" s="5" t="s">
        <v>643</v>
      </c>
      <c r="G951" s="22"/>
    </row>
    <row r="952" spans="1:7" ht="20.25" customHeight="1">
      <c r="A952" s="10">
        <v>11894</v>
      </c>
      <c r="B952" s="10">
        <v>15894</v>
      </c>
      <c r="C952" s="10">
        <f t="shared" si="14"/>
        <v>11894</v>
      </c>
      <c r="D952" s="10" t="s">
        <v>549</v>
      </c>
      <c r="E952" s="7"/>
      <c r="F952" s="5" t="s">
        <v>643</v>
      </c>
      <c r="G952" s="22"/>
    </row>
    <row r="953" spans="1:7" ht="20.25" customHeight="1">
      <c r="A953" s="10">
        <v>11895</v>
      </c>
      <c r="B953" s="10">
        <v>15895</v>
      </c>
      <c r="C953" s="10">
        <f t="shared" si="14"/>
        <v>11895</v>
      </c>
      <c r="D953" s="10" t="s">
        <v>549</v>
      </c>
      <c r="E953" s="7"/>
      <c r="F953" s="5" t="s">
        <v>643</v>
      </c>
      <c r="G953" s="22"/>
    </row>
    <row r="954" spans="1:7" ht="20.25" customHeight="1">
      <c r="A954" s="10">
        <v>11896</v>
      </c>
      <c r="B954" s="10">
        <v>15896</v>
      </c>
      <c r="C954" s="10">
        <f t="shared" si="14"/>
        <v>21896</v>
      </c>
      <c r="D954" s="10" t="s">
        <v>567</v>
      </c>
      <c r="E954" s="7" t="s">
        <v>1313</v>
      </c>
      <c r="F954" s="5"/>
      <c r="G954" s="22"/>
    </row>
    <row r="955" spans="1:7" ht="20.25" customHeight="1">
      <c r="A955" s="10">
        <v>11897</v>
      </c>
      <c r="B955" s="10">
        <v>15897</v>
      </c>
      <c r="C955" s="10">
        <f t="shared" si="14"/>
        <v>21897</v>
      </c>
      <c r="D955" s="99" t="s">
        <v>567</v>
      </c>
      <c r="E955" s="7" t="s">
        <v>1314</v>
      </c>
      <c r="F955" s="5"/>
      <c r="G955" s="22"/>
    </row>
    <row r="956" spans="1:7" ht="20.25" customHeight="1">
      <c r="A956" s="10">
        <v>11898</v>
      </c>
      <c r="B956" s="10">
        <v>15898</v>
      </c>
      <c r="C956" s="10">
        <f t="shared" si="14"/>
        <v>21898</v>
      </c>
      <c r="D956" s="10" t="s">
        <v>549</v>
      </c>
      <c r="E956" s="111" t="s">
        <v>1315</v>
      </c>
      <c r="F956" s="5" t="s">
        <v>635</v>
      </c>
      <c r="G956" s="22"/>
    </row>
    <row r="957" spans="1:7" ht="20.25" customHeight="1">
      <c r="A957" s="10">
        <v>11899</v>
      </c>
      <c r="B957" s="10">
        <v>15899</v>
      </c>
      <c r="C957" s="10">
        <f t="shared" si="14"/>
        <v>11899</v>
      </c>
      <c r="D957" s="10" t="s">
        <v>549</v>
      </c>
      <c r="E957" s="7" t="s">
        <v>1316</v>
      </c>
      <c r="F957" s="5"/>
      <c r="G957" s="22" t="s">
        <v>1317</v>
      </c>
    </row>
    <row r="958" spans="1:7" ht="20.25" customHeight="1">
      <c r="A958" s="10">
        <v>11900</v>
      </c>
      <c r="B958" s="10">
        <v>15900</v>
      </c>
      <c r="C958" s="10">
        <f t="shared" si="14"/>
        <v>11900</v>
      </c>
      <c r="D958" s="10" t="s">
        <v>549</v>
      </c>
      <c r="E958" s="7" t="s">
        <v>1318</v>
      </c>
      <c r="F958" s="5"/>
      <c r="G958" s="22"/>
    </row>
    <row r="959" spans="1:7" ht="20.25" customHeight="1">
      <c r="A959" s="10">
        <v>11901</v>
      </c>
      <c r="B959" s="10">
        <v>15901</v>
      </c>
      <c r="C959" s="10">
        <f t="shared" si="14"/>
        <v>11901</v>
      </c>
      <c r="D959" s="10" t="s">
        <v>549</v>
      </c>
      <c r="E959" s="7" t="s">
        <v>1319</v>
      </c>
      <c r="F959" s="5"/>
      <c r="G959" s="22"/>
    </row>
    <row r="960" spans="1:7" ht="20.25" customHeight="1">
      <c r="A960" s="10">
        <v>11902</v>
      </c>
      <c r="B960" s="10">
        <v>15902</v>
      </c>
      <c r="C960" s="10">
        <f t="shared" si="14"/>
        <v>11902</v>
      </c>
      <c r="D960" s="10" t="s">
        <v>549</v>
      </c>
      <c r="E960" s="7" t="s">
        <v>1320</v>
      </c>
      <c r="F960" s="5"/>
      <c r="G960" s="22"/>
    </row>
    <row r="961" spans="1:7" ht="20.25" customHeight="1">
      <c r="A961" s="10">
        <v>11903</v>
      </c>
      <c r="B961" s="10">
        <v>15903</v>
      </c>
      <c r="C961" s="10">
        <f t="shared" si="14"/>
        <v>11903</v>
      </c>
      <c r="D961" s="10" t="s">
        <v>567</v>
      </c>
      <c r="E961" s="7" t="s">
        <v>1321</v>
      </c>
      <c r="F961" s="5"/>
      <c r="G961" s="22"/>
    </row>
    <row r="962" spans="1:7" ht="20.25" customHeight="1">
      <c r="A962" s="10">
        <v>11904</v>
      </c>
      <c r="B962" s="10">
        <v>15904</v>
      </c>
      <c r="C962" s="10">
        <f t="shared" si="14"/>
        <v>11904</v>
      </c>
      <c r="D962" s="10" t="s">
        <v>567</v>
      </c>
      <c r="E962" s="7" t="s">
        <v>1322</v>
      </c>
      <c r="F962" s="5"/>
      <c r="G962" s="22"/>
    </row>
    <row r="963" spans="1:7" ht="20.25" customHeight="1">
      <c r="A963" s="10">
        <v>11905</v>
      </c>
      <c r="B963" s="10">
        <v>15905</v>
      </c>
      <c r="C963" s="10">
        <f t="shared" si="14"/>
        <v>21905</v>
      </c>
      <c r="D963" s="10" t="s">
        <v>549</v>
      </c>
      <c r="E963" s="7" t="s">
        <v>1323</v>
      </c>
      <c r="F963" s="5" t="s">
        <v>1324</v>
      </c>
      <c r="G963" s="22"/>
    </row>
    <row r="964" spans="1:7" ht="20.25" customHeight="1">
      <c r="A964" s="10">
        <v>11906</v>
      </c>
      <c r="B964" s="10">
        <v>15906</v>
      </c>
      <c r="C964" s="10">
        <f t="shared" si="14"/>
        <v>11906</v>
      </c>
      <c r="D964" s="10" t="s">
        <v>549</v>
      </c>
      <c r="E964" s="7"/>
      <c r="F964" s="5" t="s">
        <v>643</v>
      </c>
      <c r="G964" s="22"/>
    </row>
    <row r="965" spans="1:7" ht="20.25" customHeight="1">
      <c r="A965" s="10">
        <v>11907</v>
      </c>
      <c r="B965" s="10">
        <v>15907</v>
      </c>
      <c r="C965" s="10">
        <f t="shared" ref="C965:C1028" si="15">IF(ISERROR(FIND("B_Epic",E965)),A965,A965+10000)</f>
        <v>11907</v>
      </c>
      <c r="D965" s="10" t="s">
        <v>549</v>
      </c>
      <c r="E965" s="7" t="s">
        <v>1325</v>
      </c>
      <c r="F965" s="5"/>
      <c r="G965" s="22"/>
    </row>
    <row r="966" spans="1:7" ht="20.25" customHeight="1">
      <c r="A966" s="10">
        <v>11908</v>
      </c>
      <c r="B966" s="10">
        <v>15908</v>
      </c>
      <c r="C966" s="10">
        <f t="shared" si="15"/>
        <v>11908</v>
      </c>
      <c r="D966" s="10" t="s">
        <v>549</v>
      </c>
      <c r="E966" s="7"/>
      <c r="F966" s="5" t="s">
        <v>643</v>
      </c>
      <c r="G966" s="22"/>
    </row>
    <row r="967" spans="1:7" ht="20.25" customHeight="1">
      <c r="A967" s="10">
        <v>11909</v>
      </c>
      <c r="B967" s="10">
        <v>15909</v>
      </c>
      <c r="C967" s="10">
        <f t="shared" si="15"/>
        <v>21909</v>
      </c>
      <c r="D967" s="10" t="s">
        <v>567</v>
      </c>
      <c r="E967" s="7" t="s">
        <v>1326</v>
      </c>
      <c r="F967" s="5"/>
      <c r="G967" s="22"/>
    </row>
    <row r="968" spans="1:7" ht="20.25" customHeight="1">
      <c r="A968" s="10">
        <v>11910</v>
      </c>
      <c r="B968" s="10">
        <v>15910</v>
      </c>
      <c r="C968" s="10">
        <f t="shared" si="15"/>
        <v>11910</v>
      </c>
      <c r="D968" s="10" t="s">
        <v>549</v>
      </c>
      <c r="E968" s="7" t="s">
        <v>1327</v>
      </c>
      <c r="F968" s="5"/>
      <c r="G968" s="22"/>
    </row>
    <row r="969" spans="1:7" ht="20.25" customHeight="1">
      <c r="A969" s="10">
        <v>11911</v>
      </c>
      <c r="B969" s="10">
        <v>15911</v>
      </c>
      <c r="C969" s="10">
        <f t="shared" si="15"/>
        <v>11911</v>
      </c>
      <c r="D969" s="10" t="s">
        <v>549</v>
      </c>
      <c r="E969" s="7" t="s">
        <v>1328</v>
      </c>
      <c r="F969" s="5"/>
      <c r="G969" s="22" t="s">
        <v>1329</v>
      </c>
    </row>
    <row r="970" spans="1:7" ht="20.25" customHeight="1">
      <c r="A970" s="10">
        <v>11912</v>
      </c>
      <c r="B970" s="10">
        <v>15912</v>
      </c>
      <c r="C970" s="10">
        <f t="shared" si="15"/>
        <v>11912</v>
      </c>
      <c r="D970" s="10" t="s">
        <v>549</v>
      </c>
      <c r="E970" s="7" t="s">
        <v>1330</v>
      </c>
      <c r="F970" s="5"/>
      <c r="G970" s="22" t="s">
        <v>1329</v>
      </c>
    </row>
    <row r="971" spans="1:7" ht="20.25" customHeight="1">
      <c r="A971" s="10">
        <v>11913</v>
      </c>
      <c r="B971" s="10">
        <v>15913</v>
      </c>
      <c r="C971" s="10">
        <f t="shared" si="15"/>
        <v>11913</v>
      </c>
      <c r="D971" s="10" t="s">
        <v>549</v>
      </c>
      <c r="E971" s="7" t="s">
        <v>1331</v>
      </c>
      <c r="F971" s="5"/>
      <c r="G971" s="22"/>
    </row>
    <row r="972" spans="1:7" ht="20.25" customHeight="1">
      <c r="A972" s="10">
        <v>11914</v>
      </c>
      <c r="B972" s="10">
        <v>15914</v>
      </c>
      <c r="C972" s="10">
        <f t="shared" si="15"/>
        <v>11914</v>
      </c>
      <c r="D972" s="10" t="s">
        <v>549</v>
      </c>
      <c r="E972" s="7" t="s">
        <v>1332</v>
      </c>
      <c r="F972" s="5"/>
      <c r="G972" s="22"/>
    </row>
    <row r="973" spans="1:7" ht="20.25" customHeight="1">
      <c r="A973" s="10">
        <v>11915</v>
      </c>
      <c r="B973" s="10">
        <v>15915</v>
      </c>
      <c r="C973" s="10">
        <f t="shared" si="15"/>
        <v>11915</v>
      </c>
      <c r="D973" s="10" t="s">
        <v>549</v>
      </c>
      <c r="E973" s="7" t="s">
        <v>1333</v>
      </c>
      <c r="F973" s="5"/>
      <c r="G973" s="22" t="s">
        <v>1021</v>
      </c>
    </row>
    <row r="974" spans="1:7" ht="20.25" customHeight="1">
      <c r="A974" s="10">
        <v>11916</v>
      </c>
      <c r="B974" s="10">
        <v>15916</v>
      </c>
      <c r="C974" s="10">
        <f t="shared" si="15"/>
        <v>11916</v>
      </c>
      <c r="D974" s="10" t="s">
        <v>549</v>
      </c>
      <c r="E974" s="7" t="s">
        <v>1334</v>
      </c>
      <c r="F974" s="5"/>
      <c r="G974" s="22"/>
    </row>
    <row r="975" spans="1:7" ht="20.25" customHeight="1">
      <c r="A975" s="10">
        <v>11917</v>
      </c>
      <c r="B975" s="10">
        <v>15917</v>
      </c>
      <c r="C975" s="10">
        <f t="shared" si="15"/>
        <v>11917</v>
      </c>
      <c r="D975" s="10" t="s">
        <v>549</v>
      </c>
      <c r="E975" s="7" t="s">
        <v>1335</v>
      </c>
      <c r="F975" s="5"/>
      <c r="G975" s="22"/>
    </row>
    <row r="976" spans="1:7" ht="20.25" customHeight="1">
      <c r="A976" s="10">
        <v>11918</v>
      </c>
      <c r="B976" s="10">
        <v>15918</v>
      </c>
      <c r="C976" s="10">
        <f t="shared" si="15"/>
        <v>21918</v>
      </c>
      <c r="D976" s="10" t="s">
        <v>549</v>
      </c>
      <c r="E976" s="7" t="s">
        <v>1336</v>
      </c>
      <c r="F976" s="5"/>
      <c r="G976" s="22"/>
    </row>
    <row r="977" spans="1:7" ht="20.25" customHeight="1">
      <c r="A977" s="10">
        <v>11919</v>
      </c>
      <c r="B977" s="10">
        <v>15919</v>
      </c>
      <c r="C977" s="10">
        <f t="shared" si="15"/>
        <v>11919</v>
      </c>
      <c r="D977" s="10" t="s">
        <v>549</v>
      </c>
      <c r="E977" s="7" t="s">
        <v>1337</v>
      </c>
      <c r="F977" s="5"/>
      <c r="G977" s="22"/>
    </row>
    <row r="978" spans="1:7" ht="20.25" customHeight="1">
      <c r="A978" s="10">
        <v>11920</v>
      </c>
      <c r="B978" s="10">
        <v>15920</v>
      </c>
      <c r="C978" s="10">
        <f t="shared" si="15"/>
        <v>11920</v>
      </c>
      <c r="D978" s="10" t="s">
        <v>549</v>
      </c>
      <c r="E978" s="7" t="s">
        <v>1338</v>
      </c>
      <c r="F978" s="5"/>
      <c r="G978" s="22"/>
    </row>
    <row r="979" spans="1:7" ht="20.25" customHeight="1">
      <c r="A979" s="10">
        <v>11921</v>
      </c>
      <c r="B979" s="10">
        <v>15921</v>
      </c>
      <c r="C979" s="10">
        <f t="shared" si="15"/>
        <v>11921</v>
      </c>
      <c r="D979" s="10" t="s">
        <v>549</v>
      </c>
      <c r="E979" s="7" t="s">
        <v>1339</v>
      </c>
      <c r="F979" s="5"/>
      <c r="G979" s="22"/>
    </row>
    <row r="980" spans="1:7" ht="20.25" customHeight="1">
      <c r="A980" s="10">
        <v>11922</v>
      </c>
      <c r="B980" s="10">
        <v>15922</v>
      </c>
      <c r="C980" s="10">
        <f t="shared" si="15"/>
        <v>11922</v>
      </c>
      <c r="D980" s="10" t="s">
        <v>549</v>
      </c>
      <c r="E980" s="7" t="s">
        <v>1340</v>
      </c>
      <c r="F980" s="5"/>
      <c r="G980" s="22"/>
    </row>
    <row r="981" spans="1:7" ht="20.25" customHeight="1">
      <c r="A981" s="10">
        <v>11923</v>
      </c>
      <c r="B981" s="10">
        <v>15923</v>
      </c>
      <c r="C981" s="10">
        <f t="shared" si="15"/>
        <v>11923</v>
      </c>
      <c r="D981" s="10" t="s">
        <v>549</v>
      </c>
      <c r="E981" s="7" t="s">
        <v>1341</v>
      </c>
      <c r="F981" s="5"/>
      <c r="G981" s="22"/>
    </row>
    <row r="982" spans="1:7" ht="20.25" customHeight="1">
      <c r="A982" s="10">
        <v>11924</v>
      </c>
      <c r="B982" s="10">
        <v>15924</v>
      </c>
      <c r="C982" s="10">
        <f t="shared" si="15"/>
        <v>11924</v>
      </c>
      <c r="D982" s="10" t="s">
        <v>567</v>
      </c>
      <c r="E982" s="7" t="s">
        <v>1342</v>
      </c>
      <c r="F982" s="5"/>
      <c r="G982" s="22"/>
    </row>
    <row r="983" spans="1:7" ht="20.25" customHeight="1">
      <c r="A983" s="10">
        <v>11925</v>
      </c>
      <c r="B983" s="10">
        <v>15925</v>
      </c>
      <c r="C983" s="10">
        <f t="shared" si="15"/>
        <v>21925</v>
      </c>
      <c r="D983" s="10" t="s">
        <v>549</v>
      </c>
      <c r="E983" s="7" t="s">
        <v>1343</v>
      </c>
      <c r="F983" s="5"/>
      <c r="G983" s="22"/>
    </row>
    <row r="984" spans="1:7" ht="20.25" customHeight="1">
      <c r="A984" s="10">
        <v>11926</v>
      </c>
      <c r="B984" s="10">
        <v>15926</v>
      </c>
      <c r="C984" s="10">
        <f t="shared" si="15"/>
        <v>11926</v>
      </c>
      <c r="D984" s="10" t="s">
        <v>567</v>
      </c>
      <c r="E984" s="7" t="s">
        <v>1344</v>
      </c>
      <c r="F984" s="5"/>
      <c r="G984" s="22"/>
    </row>
    <row r="985" spans="1:7" ht="20.25" customHeight="1">
      <c r="A985" s="10">
        <v>11927</v>
      </c>
      <c r="B985" s="10">
        <v>15927</v>
      </c>
      <c r="C985" s="10">
        <f t="shared" si="15"/>
        <v>21927</v>
      </c>
      <c r="D985" s="10" t="s">
        <v>567</v>
      </c>
      <c r="E985" s="7" t="s">
        <v>1345</v>
      </c>
      <c r="F985" s="5" t="s">
        <v>619</v>
      </c>
      <c r="G985" s="22"/>
    </row>
    <row r="986" spans="1:7" ht="20.25" customHeight="1">
      <c r="A986" s="10">
        <v>11928</v>
      </c>
      <c r="B986" s="10">
        <v>15928</v>
      </c>
      <c r="C986" s="10">
        <f t="shared" si="15"/>
        <v>21928</v>
      </c>
      <c r="D986" s="10" t="s">
        <v>549</v>
      </c>
      <c r="E986" s="1" t="s">
        <v>1346</v>
      </c>
      <c r="F986" s="5" t="s">
        <v>635</v>
      </c>
      <c r="G986" s="22" t="s">
        <v>1347</v>
      </c>
    </row>
    <row r="987" spans="1:7" ht="20.25" customHeight="1">
      <c r="A987" s="10">
        <v>11929</v>
      </c>
      <c r="B987" s="10">
        <v>15929</v>
      </c>
      <c r="C987" s="10">
        <f t="shared" si="15"/>
        <v>11929</v>
      </c>
      <c r="D987" s="10" t="s">
        <v>549</v>
      </c>
      <c r="E987" s="5" t="s">
        <v>1348</v>
      </c>
      <c r="F987" s="5"/>
      <c r="G987" s="22"/>
    </row>
    <row r="988" spans="1:7" ht="20.25" customHeight="1">
      <c r="A988" s="10">
        <v>11930</v>
      </c>
      <c r="B988" s="10">
        <v>15930</v>
      </c>
      <c r="C988" s="10">
        <f t="shared" si="15"/>
        <v>21930</v>
      </c>
      <c r="D988" s="10" t="s">
        <v>549</v>
      </c>
      <c r="E988" s="7" t="s">
        <v>1349</v>
      </c>
      <c r="F988" s="5"/>
      <c r="G988" s="22"/>
    </row>
    <row r="989" spans="1:7" ht="20.25" customHeight="1">
      <c r="A989" s="10">
        <v>11931</v>
      </c>
      <c r="B989" s="10">
        <v>15931</v>
      </c>
      <c r="C989" s="10">
        <f t="shared" si="15"/>
        <v>11931</v>
      </c>
      <c r="D989" s="10" t="s">
        <v>549</v>
      </c>
      <c r="E989" s="7" t="s">
        <v>1350</v>
      </c>
      <c r="F989" s="5"/>
      <c r="G989" s="22"/>
    </row>
    <row r="990" spans="1:7" ht="20.25" customHeight="1">
      <c r="A990" s="10">
        <v>11932</v>
      </c>
      <c r="B990" s="10">
        <v>15932</v>
      </c>
      <c r="C990" s="10">
        <f t="shared" si="15"/>
        <v>11932</v>
      </c>
      <c r="D990" s="10" t="s">
        <v>567</v>
      </c>
      <c r="E990" s="7" t="s">
        <v>1351</v>
      </c>
      <c r="F990" s="5"/>
      <c r="G990" s="22"/>
    </row>
    <row r="991" spans="1:7" ht="20.25" customHeight="1">
      <c r="A991" s="10">
        <v>11933</v>
      </c>
      <c r="B991" s="10">
        <v>15933</v>
      </c>
      <c r="C991" s="10">
        <f t="shared" si="15"/>
        <v>11933</v>
      </c>
      <c r="D991" s="10" t="s">
        <v>549</v>
      </c>
      <c r="E991" s="7" t="s">
        <v>1352</v>
      </c>
      <c r="F991" s="5"/>
      <c r="G991" s="22"/>
    </row>
    <row r="992" spans="1:7" ht="20.25" customHeight="1">
      <c r="A992" s="10">
        <v>11934</v>
      </c>
      <c r="B992" s="10">
        <v>15934</v>
      </c>
      <c r="C992" s="10">
        <f t="shared" si="15"/>
        <v>21934</v>
      </c>
      <c r="D992" s="10" t="s">
        <v>567</v>
      </c>
      <c r="E992" s="7" t="s">
        <v>1353</v>
      </c>
      <c r="F992" s="5" t="s">
        <v>619</v>
      </c>
      <c r="G992" s="22"/>
    </row>
    <row r="993" spans="1:7" ht="20.25" customHeight="1">
      <c r="A993" s="10">
        <v>11935</v>
      </c>
      <c r="B993" s="10">
        <v>15935</v>
      </c>
      <c r="C993" s="10">
        <f t="shared" si="15"/>
        <v>11935</v>
      </c>
      <c r="D993" s="10" t="s">
        <v>549</v>
      </c>
      <c r="E993" s="234" t="s">
        <v>1354</v>
      </c>
      <c r="F993" s="5"/>
      <c r="G993" s="22"/>
    </row>
    <row r="994" spans="1:7" ht="20.25" customHeight="1">
      <c r="A994" s="10">
        <v>11936</v>
      </c>
      <c r="B994" s="10">
        <v>15936</v>
      </c>
      <c r="C994" s="10">
        <f t="shared" si="15"/>
        <v>21936</v>
      </c>
      <c r="D994" s="10" t="s">
        <v>549</v>
      </c>
      <c r="E994" s="213" t="s">
        <v>1355</v>
      </c>
      <c r="F994" s="5"/>
      <c r="G994" s="22"/>
    </row>
    <row r="995" spans="1:7" ht="20.25" customHeight="1">
      <c r="A995" s="10">
        <v>11937</v>
      </c>
      <c r="B995" s="10">
        <v>15937</v>
      </c>
      <c r="C995" s="10">
        <f t="shared" si="15"/>
        <v>21937</v>
      </c>
      <c r="D995" s="10" t="s">
        <v>549</v>
      </c>
      <c r="E995" s="214" t="s">
        <v>1356</v>
      </c>
      <c r="F995" s="5"/>
      <c r="G995" s="22"/>
    </row>
    <row r="996" spans="1:7" ht="20.25" customHeight="1">
      <c r="A996" s="10">
        <v>11938</v>
      </c>
      <c r="B996" s="10">
        <v>15938</v>
      </c>
      <c r="C996" s="10">
        <f t="shared" si="15"/>
        <v>21938</v>
      </c>
      <c r="D996" s="10" t="s">
        <v>549</v>
      </c>
      <c r="E996" s="215" t="s">
        <v>1357</v>
      </c>
      <c r="F996" s="5"/>
      <c r="G996" s="22"/>
    </row>
    <row r="997" spans="1:7" ht="20.25" customHeight="1">
      <c r="A997" s="10">
        <v>11939</v>
      </c>
      <c r="B997" s="10">
        <v>15939</v>
      </c>
      <c r="C997" s="10">
        <f t="shared" si="15"/>
        <v>11939</v>
      </c>
      <c r="D997" s="10" t="s">
        <v>549</v>
      </c>
      <c r="E997" s="9" t="s">
        <v>1358</v>
      </c>
      <c r="F997" s="5"/>
      <c r="G997" s="22"/>
    </row>
    <row r="998" spans="1:7" ht="20.25" customHeight="1">
      <c r="A998" s="10">
        <v>11940</v>
      </c>
      <c r="B998" s="10">
        <v>15940</v>
      </c>
      <c r="C998" s="10">
        <f t="shared" si="15"/>
        <v>11940</v>
      </c>
      <c r="D998" s="10" t="s">
        <v>549</v>
      </c>
      <c r="E998" s="236" t="s">
        <v>1359</v>
      </c>
      <c r="F998" s="5"/>
      <c r="G998" s="22"/>
    </row>
    <row r="999" spans="1:7" ht="20.25" customHeight="1">
      <c r="A999" s="10">
        <v>11941</v>
      </c>
      <c r="B999" s="10">
        <v>15941</v>
      </c>
      <c r="C999" s="10">
        <f t="shared" si="15"/>
        <v>11941</v>
      </c>
      <c r="D999" s="10" t="s">
        <v>549</v>
      </c>
      <c r="E999" s="7" t="s">
        <v>1360</v>
      </c>
      <c r="F999" s="5"/>
      <c r="G999" s="22"/>
    </row>
    <row r="1000" spans="1:7" ht="20.25" customHeight="1" thickBot="1">
      <c r="A1000" s="10">
        <v>11942</v>
      </c>
      <c r="B1000" s="10">
        <v>15942</v>
      </c>
      <c r="C1000" s="10">
        <f t="shared" si="15"/>
        <v>11942</v>
      </c>
      <c r="D1000" s="10" t="s">
        <v>567</v>
      </c>
      <c r="E1000" s="127" t="s">
        <v>1361</v>
      </c>
      <c r="F1000" s="5"/>
      <c r="G1000" s="22"/>
    </row>
    <row r="1001" spans="1:7" ht="20.25" customHeight="1" thickBot="1">
      <c r="A1001" s="10">
        <v>11943</v>
      </c>
      <c r="B1001" s="10">
        <v>15943</v>
      </c>
      <c r="C1001" s="10">
        <f t="shared" si="15"/>
        <v>11943</v>
      </c>
      <c r="D1001" s="10" t="s">
        <v>549</v>
      </c>
      <c r="E1001" s="235" t="s">
        <v>1362</v>
      </c>
      <c r="F1001" s="5"/>
      <c r="G1001" s="22"/>
    </row>
    <row r="1002" spans="1:7" ht="20.25" customHeight="1" thickBot="1">
      <c r="A1002" s="10">
        <v>11944</v>
      </c>
      <c r="B1002" s="10">
        <v>15944</v>
      </c>
      <c r="C1002" s="10">
        <f t="shared" si="15"/>
        <v>11944</v>
      </c>
      <c r="D1002" s="10" t="s">
        <v>549</v>
      </c>
      <c r="E1002" s="235" t="s">
        <v>1363</v>
      </c>
      <c r="F1002" s="5"/>
      <c r="G1002" s="22"/>
    </row>
    <row r="1003" spans="1:7" ht="20.25" customHeight="1" thickBot="1">
      <c r="A1003" s="10">
        <v>11945</v>
      </c>
      <c r="B1003" s="10">
        <v>15945</v>
      </c>
      <c r="C1003" s="10">
        <f t="shared" si="15"/>
        <v>11945</v>
      </c>
      <c r="D1003" s="10" t="s">
        <v>549</v>
      </c>
      <c r="E1003" s="235" t="s">
        <v>1364</v>
      </c>
      <c r="F1003" s="5"/>
      <c r="G1003" s="22"/>
    </row>
    <row r="1004" spans="1:7" ht="20.25" customHeight="1" thickBot="1">
      <c r="A1004" s="10">
        <v>11946</v>
      </c>
      <c r="B1004" s="10">
        <v>15946</v>
      </c>
      <c r="C1004" s="10">
        <f t="shared" si="15"/>
        <v>11946</v>
      </c>
      <c r="D1004" s="10" t="s">
        <v>549</v>
      </c>
      <c r="E1004" s="235" t="s">
        <v>1365</v>
      </c>
      <c r="F1004" s="5"/>
      <c r="G1004" s="22" t="s">
        <v>1366</v>
      </c>
    </row>
    <row r="1005" spans="1:7" ht="20.25" customHeight="1">
      <c r="A1005" s="10">
        <v>11947</v>
      </c>
      <c r="B1005" s="10">
        <v>15947</v>
      </c>
      <c r="C1005" s="10">
        <f t="shared" si="15"/>
        <v>11947</v>
      </c>
      <c r="D1005" s="10" t="s">
        <v>549</v>
      </c>
      <c r="E1005" s="234" t="s">
        <v>1367</v>
      </c>
      <c r="F1005" s="5"/>
      <c r="G1005" s="22"/>
    </row>
    <row r="1006" spans="1:7" ht="20.25" customHeight="1">
      <c r="A1006" s="10">
        <v>11948</v>
      </c>
      <c r="B1006" s="10">
        <v>15948</v>
      </c>
      <c r="C1006" s="10">
        <f t="shared" si="15"/>
        <v>11948</v>
      </c>
      <c r="D1006" s="10" t="s">
        <v>567</v>
      </c>
      <c r="E1006" s="234" t="s">
        <v>1368</v>
      </c>
      <c r="F1006" s="5"/>
      <c r="G1006" s="22"/>
    </row>
    <row r="1007" spans="1:7" ht="20.25" customHeight="1">
      <c r="A1007" s="10">
        <v>11949</v>
      </c>
      <c r="B1007" s="10">
        <v>15949</v>
      </c>
      <c r="C1007" s="10">
        <f t="shared" si="15"/>
        <v>11949</v>
      </c>
      <c r="D1007" s="10" t="s">
        <v>549</v>
      </c>
      <c r="E1007" s="7" t="s">
        <v>1369</v>
      </c>
      <c r="F1007" s="5" t="s">
        <v>337</v>
      </c>
      <c r="G1007" s="22" t="s">
        <v>338</v>
      </c>
    </row>
    <row r="1008" spans="1:7" ht="20.25" customHeight="1">
      <c r="A1008" s="10">
        <v>11950</v>
      </c>
      <c r="B1008" s="10">
        <v>15950</v>
      </c>
      <c r="C1008" s="10">
        <f t="shared" si="15"/>
        <v>11950</v>
      </c>
      <c r="D1008" s="10" t="s">
        <v>549</v>
      </c>
      <c r="E1008" s="7" t="s">
        <v>1370</v>
      </c>
      <c r="F1008" s="5" t="s">
        <v>337</v>
      </c>
      <c r="G1008" s="22" t="s">
        <v>338</v>
      </c>
    </row>
    <row r="1009" spans="1:7" ht="20.25" customHeight="1">
      <c r="A1009" s="10">
        <v>11951</v>
      </c>
      <c r="B1009" s="10">
        <v>15951</v>
      </c>
      <c r="C1009" s="10">
        <f t="shared" si="15"/>
        <v>21951</v>
      </c>
      <c r="D1009" s="10" t="s">
        <v>549</v>
      </c>
      <c r="E1009" s="7" t="s">
        <v>1371</v>
      </c>
      <c r="F1009" s="5" t="s">
        <v>619</v>
      </c>
      <c r="G1009" s="22"/>
    </row>
    <row r="1010" spans="1:7" ht="20.25" customHeight="1">
      <c r="A1010" s="10">
        <v>11952</v>
      </c>
      <c r="B1010" s="10">
        <v>15952</v>
      </c>
      <c r="C1010" s="10">
        <f t="shared" si="15"/>
        <v>11952</v>
      </c>
      <c r="D1010" s="10" t="s">
        <v>549</v>
      </c>
      <c r="E1010" s="213"/>
      <c r="F1010" s="5" t="s">
        <v>643</v>
      </c>
      <c r="G1010" s="22"/>
    </row>
    <row r="1011" spans="1:7" ht="20.25" customHeight="1">
      <c r="A1011" s="10">
        <v>11953</v>
      </c>
      <c r="B1011" s="10">
        <v>15953</v>
      </c>
      <c r="C1011" s="10">
        <f t="shared" si="15"/>
        <v>21953</v>
      </c>
      <c r="D1011" s="10" t="s">
        <v>549</v>
      </c>
      <c r="E1011" s="213" t="s">
        <v>1372</v>
      </c>
      <c r="F1011" s="5"/>
      <c r="G1011" s="22"/>
    </row>
    <row r="1012" spans="1:7" ht="20.25" customHeight="1">
      <c r="A1012" s="10">
        <v>11954</v>
      </c>
      <c r="B1012" s="10">
        <v>15954</v>
      </c>
      <c r="C1012" s="10">
        <f t="shared" si="15"/>
        <v>21954</v>
      </c>
      <c r="D1012" s="10" t="s">
        <v>567</v>
      </c>
      <c r="E1012" s="7" t="s">
        <v>1373</v>
      </c>
      <c r="F1012" s="5"/>
      <c r="G1012" s="22"/>
    </row>
    <row r="1013" spans="1:7" ht="20.25" customHeight="1">
      <c r="A1013" s="10">
        <v>11955</v>
      </c>
      <c r="B1013" s="10">
        <v>15955</v>
      </c>
      <c r="C1013" s="10">
        <f t="shared" si="15"/>
        <v>11955</v>
      </c>
      <c r="D1013" s="10" t="s">
        <v>549</v>
      </c>
      <c r="E1013" s="7" t="s">
        <v>1374</v>
      </c>
      <c r="F1013" s="5"/>
      <c r="G1013" s="22"/>
    </row>
    <row r="1014" spans="1:7" ht="20.25" customHeight="1">
      <c r="A1014" s="13">
        <v>8633</v>
      </c>
      <c r="B1014" s="10">
        <v>15956</v>
      </c>
      <c r="C1014" s="10">
        <f t="shared" si="15"/>
        <v>8633</v>
      </c>
      <c r="D1014" s="10" t="s">
        <v>549</v>
      </c>
      <c r="E1014" s="7" t="s">
        <v>1375</v>
      </c>
      <c r="F1014" s="5"/>
      <c r="G1014" s="22"/>
    </row>
    <row r="1015" spans="1:7" ht="20.25" customHeight="1">
      <c r="A1015" s="10">
        <v>11957</v>
      </c>
      <c r="B1015" s="10">
        <v>15957</v>
      </c>
      <c r="C1015" s="10">
        <f t="shared" si="15"/>
        <v>11957</v>
      </c>
      <c r="D1015" s="10" t="s">
        <v>549</v>
      </c>
      <c r="E1015" s="7" t="s">
        <v>1376</v>
      </c>
      <c r="F1015" s="5"/>
      <c r="G1015" s="22"/>
    </row>
    <row r="1016" spans="1:7" ht="20.25" customHeight="1">
      <c r="A1016" s="10">
        <v>11958</v>
      </c>
      <c r="B1016" s="10">
        <v>15958</v>
      </c>
      <c r="C1016" s="10">
        <f t="shared" si="15"/>
        <v>11958</v>
      </c>
      <c r="D1016" s="10" t="s">
        <v>549</v>
      </c>
      <c r="E1016" s="109" t="s">
        <v>1377</v>
      </c>
      <c r="F1016" s="5"/>
      <c r="G1016" s="22"/>
    </row>
    <row r="1017" spans="1:7" ht="20.25" customHeight="1">
      <c r="A1017" s="10">
        <v>11959</v>
      </c>
      <c r="B1017" s="10">
        <v>15959</v>
      </c>
      <c r="C1017" s="10">
        <f t="shared" si="15"/>
        <v>11959</v>
      </c>
      <c r="D1017" s="10" t="s">
        <v>549</v>
      </c>
      <c r="E1017" s="109" t="s">
        <v>1378</v>
      </c>
      <c r="F1017" s="5"/>
      <c r="G1017" s="22" t="s">
        <v>1347</v>
      </c>
    </row>
    <row r="1018" spans="1:7" ht="20.25" customHeight="1">
      <c r="A1018" s="10">
        <v>11960</v>
      </c>
      <c r="B1018" s="10">
        <v>15960</v>
      </c>
      <c r="C1018" s="10">
        <f t="shared" si="15"/>
        <v>11960</v>
      </c>
      <c r="D1018" s="10" t="s">
        <v>549</v>
      </c>
      <c r="E1018" s="109" t="s">
        <v>1379</v>
      </c>
      <c r="F1018" s="5"/>
      <c r="G1018" s="22" t="s">
        <v>1347</v>
      </c>
    </row>
    <row r="1019" spans="1:7" ht="20.25" customHeight="1">
      <c r="A1019" s="10">
        <v>11961</v>
      </c>
      <c r="B1019" s="10">
        <v>15961</v>
      </c>
      <c r="C1019" s="10">
        <f t="shared" si="15"/>
        <v>11961</v>
      </c>
      <c r="D1019" s="10" t="s">
        <v>549</v>
      </c>
      <c r="E1019" s="109" t="s">
        <v>1380</v>
      </c>
      <c r="F1019" s="5"/>
      <c r="G1019" s="22" t="s">
        <v>1347</v>
      </c>
    </row>
    <row r="1020" spans="1:7" ht="20.25" customHeight="1">
      <c r="A1020" s="10">
        <v>11962</v>
      </c>
      <c r="B1020" s="10">
        <v>15962</v>
      </c>
      <c r="C1020" s="10">
        <f t="shared" si="15"/>
        <v>11962</v>
      </c>
      <c r="D1020" s="10" t="s">
        <v>549</v>
      </c>
      <c r="E1020" s="109" t="s">
        <v>1381</v>
      </c>
      <c r="F1020" s="5"/>
      <c r="G1020" s="22" t="s">
        <v>1347</v>
      </c>
    </row>
    <row r="1021" spans="1:7" ht="20.25" customHeight="1">
      <c r="A1021" s="10">
        <v>11963</v>
      </c>
      <c r="B1021" s="10">
        <v>15963</v>
      </c>
      <c r="C1021" s="10">
        <f t="shared" si="15"/>
        <v>11963</v>
      </c>
      <c r="D1021" s="10" t="s">
        <v>549</v>
      </c>
      <c r="E1021" s="109" t="s">
        <v>1382</v>
      </c>
      <c r="F1021" s="5"/>
      <c r="G1021" s="22"/>
    </row>
    <row r="1022" spans="1:7" ht="20.25" customHeight="1">
      <c r="A1022" s="10">
        <v>11964</v>
      </c>
      <c r="B1022" s="10">
        <v>15964</v>
      </c>
      <c r="C1022" s="10">
        <f t="shared" si="15"/>
        <v>11964</v>
      </c>
      <c r="D1022" s="10" t="s">
        <v>549</v>
      </c>
      <c r="E1022" s="7" t="s">
        <v>1383</v>
      </c>
      <c r="F1022" s="5"/>
      <c r="G1022" s="22"/>
    </row>
    <row r="1023" spans="1:7" ht="20.25" customHeight="1">
      <c r="A1023" s="10">
        <v>11965</v>
      </c>
      <c r="B1023" s="10">
        <v>15965</v>
      </c>
      <c r="C1023" s="10">
        <f t="shared" si="15"/>
        <v>11965</v>
      </c>
      <c r="D1023" s="10" t="s">
        <v>549</v>
      </c>
      <c r="E1023" s="7" t="s">
        <v>1384</v>
      </c>
      <c r="F1023" s="5"/>
      <c r="G1023" s="22"/>
    </row>
    <row r="1024" spans="1:7" ht="20.25" customHeight="1">
      <c r="A1024" s="10">
        <v>11966</v>
      </c>
      <c r="B1024" s="10">
        <v>15966</v>
      </c>
      <c r="C1024" s="10">
        <f t="shared" si="15"/>
        <v>11966</v>
      </c>
      <c r="D1024" s="10" t="s">
        <v>549</v>
      </c>
      <c r="E1024" s="7" t="s">
        <v>1385</v>
      </c>
      <c r="F1024" s="5"/>
      <c r="G1024" s="22"/>
    </row>
    <row r="1025" spans="1:7" ht="20.25" customHeight="1">
      <c r="A1025" s="10">
        <v>11967</v>
      </c>
      <c r="B1025" s="10">
        <v>15967</v>
      </c>
      <c r="C1025" s="10">
        <f t="shared" si="15"/>
        <v>11967</v>
      </c>
      <c r="D1025" s="10" t="s">
        <v>549</v>
      </c>
      <c r="E1025" s="7" t="s">
        <v>1386</v>
      </c>
      <c r="F1025" s="5"/>
      <c r="G1025" s="22"/>
    </row>
    <row r="1026" spans="1:7" ht="20.25" customHeight="1">
      <c r="A1026" s="10">
        <v>11968</v>
      </c>
      <c r="B1026" s="10">
        <v>15968</v>
      </c>
      <c r="C1026" s="10">
        <f t="shared" si="15"/>
        <v>11968</v>
      </c>
      <c r="D1026" s="10" t="s">
        <v>549</v>
      </c>
      <c r="E1026" s="7" t="s">
        <v>1387</v>
      </c>
      <c r="F1026" s="5"/>
      <c r="G1026" s="22"/>
    </row>
    <row r="1027" spans="1:7" ht="20.25" customHeight="1">
      <c r="A1027" s="10">
        <v>11969</v>
      </c>
      <c r="B1027" s="10">
        <v>15969</v>
      </c>
      <c r="C1027" s="10">
        <f t="shared" si="15"/>
        <v>11969</v>
      </c>
      <c r="D1027" s="10" t="s">
        <v>549</v>
      </c>
      <c r="E1027" s="7" t="s">
        <v>1388</v>
      </c>
      <c r="F1027" s="5"/>
      <c r="G1027" s="22" t="s">
        <v>1389</v>
      </c>
    </row>
    <row r="1028" spans="1:7" ht="20.25" customHeight="1">
      <c r="A1028" s="10">
        <v>11970</v>
      </c>
      <c r="B1028" s="10">
        <v>15970</v>
      </c>
      <c r="C1028" s="10">
        <f t="shared" si="15"/>
        <v>11970</v>
      </c>
      <c r="D1028" s="10" t="s">
        <v>549</v>
      </c>
      <c r="E1028" s="7" t="s">
        <v>1390</v>
      </c>
      <c r="F1028" s="5"/>
      <c r="G1028" s="22" t="s">
        <v>1389</v>
      </c>
    </row>
    <row r="1029" spans="1:7" ht="20.25" customHeight="1">
      <c r="A1029" s="10">
        <v>11971</v>
      </c>
      <c r="B1029" s="10">
        <v>15971</v>
      </c>
      <c r="C1029" s="10">
        <f t="shared" ref="C1029:C1092" si="16">IF(ISERROR(FIND("B_Epic",E1029)),A1029,A1029+10000)</f>
        <v>11971</v>
      </c>
      <c r="D1029" s="10" t="s">
        <v>567</v>
      </c>
      <c r="E1029" s="7" t="s">
        <v>1391</v>
      </c>
      <c r="F1029" s="5"/>
      <c r="G1029" s="22"/>
    </row>
    <row r="1030" spans="1:7" ht="20.25" customHeight="1">
      <c r="A1030" s="10">
        <v>11972</v>
      </c>
      <c r="B1030" s="10">
        <v>15972</v>
      </c>
      <c r="C1030" s="10">
        <f t="shared" si="16"/>
        <v>11972</v>
      </c>
      <c r="D1030" s="10" t="s">
        <v>567</v>
      </c>
      <c r="E1030" s="12" t="s">
        <v>1392</v>
      </c>
      <c r="F1030" s="5"/>
      <c r="G1030" s="22"/>
    </row>
    <row r="1031" spans="1:7" ht="20.25" customHeight="1">
      <c r="A1031" s="10">
        <v>11973</v>
      </c>
      <c r="B1031" s="10">
        <v>15973</v>
      </c>
      <c r="C1031" s="10">
        <f t="shared" si="16"/>
        <v>11973</v>
      </c>
      <c r="D1031" s="10" t="s">
        <v>567</v>
      </c>
      <c r="E1031" s="7" t="s">
        <v>1393</v>
      </c>
      <c r="F1031" s="5"/>
      <c r="G1031" s="22"/>
    </row>
    <row r="1032" spans="1:7" ht="20.25" customHeight="1">
      <c r="A1032" s="10">
        <v>11974</v>
      </c>
      <c r="B1032" s="10">
        <v>15974</v>
      </c>
      <c r="C1032" s="10">
        <f t="shared" si="16"/>
        <v>11974</v>
      </c>
      <c r="D1032" s="10" t="s">
        <v>567</v>
      </c>
      <c r="E1032" s="7" t="s">
        <v>1394</v>
      </c>
      <c r="F1032" s="5"/>
      <c r="G1032" s="22"/>
    </row>
    <row r="1033" spans="1:7" ht="20.25" customHeight="1">
      <c r="A1033" s="10">
        <v>11975</v>
      </c>
      <c r="B1033" s="10">
        <v>15975</v>
      </c>
      <c r="C1033" s="10">
        <f t="shared" si="16"/>
        <v>11975</v>
      </c>
      <c r="D1033" s="10" t="s">
        <v>567</v>
      </c>
      <c r="E1033" s="7" t="s">
        <v>1395</v>
      </c>
      <c r="F1033" s="5"/>
      <c r="G1033" s="22"/>
    </row>
    <row r="1034" spans="1:7" ht="20.25" customHeight="1">
      <c r="A1034" s="10">
        <v>11976</v>
      </c>
      <c r="B1034" s="10">
        <v>15976</v>
      </c>
      <c r="C1034" s="10">
        <f t="shared" si="16"/>
        <v>21976</v>
      </c>
      <c r="D1034" s="10" t="s">
        <v>549</v>
      </c>
      <c r="E1034" s="7" t="s">
        <v>1396</v>
      </c>
      <c r="F1034" s="5"/>
      <c r="G1034" s="22"/>
    </row>
    <row r="1035" spans="1:7" ht="20.25" customHeight="1">
      <c r="A1035" s="10">
        <v>11977</v>
      </c>
      <c r="B1035" s="10">
        <v>15977</v>
      </c>
      <c r="C1035" s="10">
        <f t="shared" si="16"/>
        <v>11977</v>
      </c>
      <c r="D1035" s="10" t="s">
        <v>567</v>
      </c>
      <c r="E1035" s="7" t="s">
        <v>1397</v>
      </c>
      <c r="F1035" s="5"/>
      <c r="G1035" s="22"/>
    </row>
    <row r="1036" spans="1:7" ht="20.25" customHeight="1">
      <c r="A1036" s="10">
        <v>11978</v>
      </c>
      <c r="B1036" s="10">
        <v>15978</v>
      </c>
      <c r="C1036" s="10">
        <f t="shared" si="16"/>
        <v>21978</v>
      </c>
      <c r="D1036" s="10" t="s">
        <v>567</v>
      </c>
      <c r="E1036" s="7" t="s">
        <v>1398</v>
      </c>
      <c r="F1036" s="5" t="s">
        <v>619</v>
      </c>
      <c r="G1036" s="22"/>
    </row>
    <row r="1037" spans="1:7" ht="20.25" customHeight="1">
      <c r="A1037" s="10">
        <v>11979</v>
      </c>
      <c r="B1037" s="10">
        <v>15979</v>
      </c>
      <c r="C1037" s="10">
        <f t="shared" si="16"/>
        <v>21979</v>
      </c>
      <c r="D1037" s="10" t="s">
        <v>567</v>
      </c>
      <c r="E1037" s="7" t="s">
        <v>1399</v>
      </c>
      <c r="F1037" s="5" t="s">
        <v>619</v>
      </c>
      <c r="G1037" s="22"/>
    </row>
    <row r="1038" spans="1:7" ht="20.25" customHeight="1">
      <c r="A1038" s="10">
        <v>11980</v>
      </c>
      <c r="B1038" s="10">
        <v>15980</v>
      </c>
      <c r="C1038" s="10">
        <f t="shared" si="16"/>
        <v>11980</v>
      </c>
      <c r="D1038" s="10" t="s">
        <v>549</v>
      </c>
      <c r="E1038" s="7"/>
      <c r="F1038" s="5"/>
      <c r="G1038" s="22"/>
    </row>
    <row r="1039" spans="1:7" ht="20.25" customHeight="1">
      <c r="A1039" s="10">
        <v>11981</v>
      </c>
      <c r="B1039" s="10">
        <v>15981</v>
      </c>
      <c r="C1039" s="10">
        <f t="shared" si="16"/>
        <v>11981</v>
      </c>
      <c r="D1039" s="10" t="s">
        <v>549</v>
      </c>
      <c r="E1039" s="1" t="s">
        <v>1400</v>
      </c>
      <c r="F1039" s="5"/>
      <c r="G1039" s="22"/>
    </row>
    <row r="1040" spans="1:7" ht="20.25" customHeight="1">
      <c r="A1040" s="10">
        <v>11982</v>
      </c>
      <c r="B1040" s="10">
        <v>15982</v>
      </c>
      <c r="C1040" s="10">
        <f t="shared" si="16"/>
        <v>11982</v>
      </c>
      <c r="D1040" s="10" t="s">
        <v>549</v>
      </c>
      <c r="E1040" s="7" t="s">
        <v>1401</v>
      </c>
      <c r="F1040" s="5"/>
      <c r="G1040" s="22"/>
    </row>
    <row r="1041" spans="1:7" ht="20.25" customHeight="1">
      <c r="A1041" s="10">
        <v>11983</v>
      </c>
      <c r="B1041" s="10">
        <v>15983</v>
      </c>
      <c r="C1041" s="10">
        <f t="shared" si="16"/>
        <v>11983</v>
      </c>
      <c r="D1041" s="10" t="s">
        <v>549</v>
      </c>
      <c r="E1041" s="7" t="s">
        <v>1402</v>
      </c>
      <c r="F1041" s="5"/>
      <c r="G1041" s="22"/>
    </row>
    <row r="1042" spans="1:7" ht="15">
      <c r="A1042" s="10">
        <v>11984</v>
      </c>
      <c r="B1042" s="10">
        <v>15984</v>
      </c>
      <c r="C1042" s="10">
        <f t="shared" si="16"/>
        <v>21984</v>
      </c>
      <c r="D1042" s="10" t="s">
        <v>567</v>
      </c>
      <c r="E1042" s="9" t="s">
        <v>1403</v>
      </c>
      <c r="F1042" s="5" t="s">
        <v>619</v>
      </c>
      <c r="G1042" s="22"/>
    </row>
    <row r="1043" spans="1:7" ht="20.25" customHeight="1">
      <c r="A1043" s="10">
        <v>11985</v>
      </c>
      <c r="B1043" s="10">
        <v>15985</v>
      </c>
      <c r="C1043" s="10">
        <f t="shared" si="16"/>
        <v>21985</v>
      </c>
      <c r="D1043" s="10" t="s">
        <v>567</v>
      </c>
      <c r="E1043" s="7" t="s">
        <v>1404</v>
      </c>
      <c r="F1043" s="5" t="s">
        <v>619</v>
      </c>
      <c r="G1043" s="22"/>
    </row>
    <row r="1044" spans="1:7" ht="20.25" customHeight="1">
      <c r="A1044" s="10">
        <v>11986</v>
      </c>
      <c r="B1044" s="10">
        <v>15986</v>
      </c>
      <c r="C1044" s="10">
        <f t="shared" si="16"/>
        <v>21986</v>
      </c>
      <c r="D1044" s="10" t="s">
        <v>567</v>
      </c>
      <c r="E1044" s="7" t="s">
        <v>1405</v>
      </c>
      <c r="F1044" s="5" t="s">
        <v>619</v>
      </c>
      <c r="G1044" s="22"/>
    </row>
    <row r="1045" spans="1:7" ht="20.25" customHeight="1">
      <c r="A1045" s="10">
        <v>11987</v>
      </c>
      <c r="B1045" s="10">
        <v>15987</v>
      </c>
      <c r="C1045" s="10">
        <f t="shared" si="16"/>
        <v>21987</v>
      </c>
      <c r="D1045" s="10" t="s">
        <v>567</v>
      </c>
      <c r="E1045" s="7" t="s">
        <v>1406</v>
      </c>
      <c r="F1045" s="5" t="s">
        <v>619</v>
      </c>
      <c r="G1045" s="22"/>
    </row>
    <row r="1046" spans="1:7" ht="20.25" customHeight="1">
      <c r="A1046" s="10">
        <v>11988</v>
      </c>
      <c r="B1046" s="10">
        <v>15988</v>
      </c>
      <c r="C1046" s="10">
        <f t="shared" si="16"/>
        <v>21988</v>
      </c>
      <c r="D1046" s="10" t="s">
        <v>567</v>
      </c>
      <c r="E1046" s="7" t="s">
        <v>1407</v>
      </c>
      <c r="F1046" s="5" t="s">
        <v>619</v>
      </c>
      <c r="G1046" s="22"/>
    </row>
    <row r="1047" spans="1:7" ht="20.25" customHeight="1">
      <c r="A1047" s="10">
        <v>11989</v>
      </c>
      <c r="B1047" s="10">
        <v>15989</v>
      </c>
      <c r="C1047" s="10">
        <f t="shared" si="16"/>
        <v>11989</v>
      </c>
      <c r="D1047" s="10" t="s">
        <v>67</v>
      </c>
      <c r="E1047" s="7" t="s">
        <v>1408</v>
      </c>
      <c r="F1047" s="5"/>
      <c r="G1047" s="22"/>
    </row>
    <row r="1048" spans="1:7" ht="20.25" customHeight="1">
      <c r="A1048" s="10">
        <v>11989</v>
      </c>
      <c r="B1048" s="10">
        <v>15989</v>
      </c>
      <c r="C1048" s="10">
        <f t="shared" si="16"/>
        <v>11989</v>
      </c>
      <c r="D1048" s="10" t="s">
        <v>549</v>
      </c>
      <c r="E1048" s="7" t="s">
        <v>1409</v>
      </c>
      <c r="F1048" s="5" t="s">
        <v>1410</v>
      </c>
      <c r="G1048" s="22" t="s">
        <v>728</v>
      </c>
    </row>
    <row r="1049" spans="1:7" ht="20.25" customHeight="1">
      <c r="A1049" s="10">
        <v>11990</v>
      </c>
      <c r="B1049" s="10">
        <v>15990</v>
      </c>
      <c r="C1049" s="10">
        <f t="shared" si="16"/>
        <v>11990</v>
      </c>
      <c r="D1049" s="10" t="s">
        <v>567</v>
      </c>
      <c r="E1049" s="1" t="s">
        <v>1411</v>
      </c>
      <c r="F1049" s="5"/>
      <c r="G1049" s="22"/>
    </row>
    <row r="1050" spans="1:7" ht="20.25" customHeight="1">
      <c r="A1050" s="10">
        <v>11992</v>
      </c>
      <c r="B1050" s="10">
        <v>15992</v>
      </c>
      <c r="C1050" s="10">
        <f t="shared" si="16"/>
        <v>11992</v>
      </c>
      <c r="D1050" s="10" t="s">
        <v>549</v>
      </c>
      <c r="E1050" s="7" t="s">
        <v>1412</v>
      </c>
      <c r="F1050" s="5"/>
      <c r="G1050" s="22"/>
    </row>
    <row r="1051" spans="1:7" ht="20.25" customHeight="1">
      <c r="A1051" s="10">
        <v>11993</v>
      </c>
      <c r="B1051" s="10">
        <v>15993</v>
      </c>
      <c r="C1051" s="10">
        <f t="shared" si="16"/>
        <v>11993</v>
      </c>
      <c r="D1051" s="10" t="s">
        <v>549</v>
      </c>
      <c r="E1051" s="7" t="s">
        <v>1413</v>
      </c>
      <c r="F1051" s="5"/>
      <c r="G1051" s="22"/>
    </row>
    <row r="1052" spans="1:7" ht="20.25" customHeight="1">
      <c r="A1052" s="10">
        <v>11994</v>
      </c>
      <c r="B1052" s="10">
        <v>15994</v>
      </c>
      <c r="C1052" s="10">
        <f t="shared" si="16"/>
        <v>11994</v>
      </c>
      <c r="D1052" s="10" t="s">
        <v>549</v>
      </c>
      <c r="E1052" s="7" t="s">
        <v>1414</v>
      </c>
      <c r="F1052" s="5"/>
      <c r="G1052" s="22"/>
    </row>
    <row r="1053" spans="1:7" ht="20.25" customHeight="1">
      <c r="A1053" s="10">
        <v>11995</v>
      </c>
      <c r="B1053" s="10">
        <v>15995</v>
      </c>
      <c r="C1053" s="10">
        <f t="shared" si="16"/>
        <v>11995</v>
      </c>
      <c r="D1053" s="10" t="s">
        <v>549</v>
      </c>
      <c r="E1053" s="7" t="s">
        <v>1415</v>
      </c>
      <c r="F1053" s="5"/>
      <c r="G1053" s="22"/>
    </row>
    <row r="1054" spans="1:7" ht="20.25" customHeight="1">
      <c r="A1054" s="10">
        <v>11996</v>
      </c>
      <c r="B1054" s="10">
        <v>15996</v>
      </c>
      <c r="C1054" s="10">
        <f t="shared" si="16"/>
        <v>11996</v>
      </c>
      <c r="D1054" s="10" t="s">
        <v>549</v>
      </c>
      <c r="E1054" s="7" t="s">
        <v>1416</v>
      </c>
      <c r="F1054" s="5"/>
      <c r="G1054" s="22"/>
    </row>
    <row r="1055" spans="1:7" ht="20.25" customHeight="1">
      <c r="A1055" s="10">
        <v>11997</v>
      </c>
      <c r="B1055" s="10">
        <v>15997</v>
      </c>
      <c r="C1055" s="10">
        <f t="shared" si="16"/>
        <v>11997</v>
      </c>
      <c r="D1055" s="10" t="s">
        <v>549</v>
      </c>
      <c r="E1055" s="7"/>
      <c r="F1055" s="5" t="s">
        <v>643</v>
      </c>
      <c r="G1055" s="22"/>
    </row>
    <row r="1056" spans="1:7" ht="20.25" customHeight="1">
      <c r="A1056" s="10">
        <v>11998</v>
      </c>
      <c r="B1056" s="10">
        <v>15998</v>
      </c>
      <c r="C1056" s="10">
        <f t="shared" si="16"/>
        <v>11998</v>
      </c>
      <c r="D1056" s="10" t="s">
        <v>549</v>
      </c>
      <c r="E1056" s="7" t="s">
        <v>1417</v>
      </c>
      <c r="F1056" s="5"/>
      <c r="G1056" s="22"/>
    </row>
    <row r="1057" spans="1:7" ht="20.25" customHeight="1">
      <c r="A1057" s="10">
        <v>11999</v>
      </c>
      <c r="B1057" s="10">
        <v>15999</v>
      </c>
      <c r="C1057" s="10">
        <f t="shared" si="16"/>
        <v>11999</v>
      </c>
      <c r="D1057" s="10" t="s">
        <v>567</v>
      </c>
      <c r="E1057" s="9" t="s">
        <v>1418</v>
      </c>
      <c r="F1057" s="5"/>
      <c r="G1057" s="22"/>
    </row>
    <row r="1058" spans="1:7" ht="20.25" customHeight="1">
      <c r="A1058" s="10">
        <v>16011</v>
      </c>
      <c r="B1058" s="10">
        <v>16011</v>
      </c>
      <c r="C1058" s="10">
        <f t="shared" si="16"/>
        <v>16011</v>
      </c>
      <c r="D1058" s="10" t="s">
        <v>549</v>
      </c>
      <c r="E1058" s="7" t="s">
        <v>1419</v>
      </c>
      <c r="F1058" s="5"/>
      <c r="G1058" s="22"/>
    </row>
    <row r="1059" spans="1:7" ht="20.25" customHeight="1">
      <c r="A1059" s="10">
        <v>16012</v>
      </c>
      <c r="B1059" s="10">
        <v>16012</v>
      </c>
      <c r="C1059" s="10">
        <f t="shared" si="16"/>
        <v>16012</v>
      </c>
      <c r="D1059" s="10" t="s">
        <v>549</v>
      </c>
      <c r="E1059" s="7" t="s">
        <v>1420</v>
      </c>
      <c r="F1059" s="5"/>
      <c r="G1059" s="22"/>
    </row>
    <row r="1060" spans="1:7" ht="20.25" customHeight="1">
      <c r="A1060" s="10">
        <v>16100</v>
      </c>
      <c r="B1060" s="10">
        <v>16110</v>
      </c>
      <c r="C1060" s="10">
        <f t="shared" si="16"/>
        <v>16100</v>
      </c>
      <c r="D1060" s="10" t="s">
        <v>549</v>
      </c>
      <c r="E1060" s="7" t="s">
        <v>1421</v>
      </c>
      <c r="F1060" s="5"/>
      <c r="G1060" s="22"/>
    </row>
    <row r="1061" spans="1:7" ht="20.25" customHeight="1">
      <c r="A1061" s="10">
        <v>16101</v>
      </c>
      <c r="B1061" s="10">
        <v>16111</v>
      </c>
      <c r="C1061" s="10">
        <f t="shared" si="16"/>
        <v>16101</v>
      </c>
      <c r="D1061" s="10" t="s">
        <v>549</v>
      </c>
      <c r="E1061" s="7" t="s">
        <v>1422</v>
      </c>
      <c r="F1061" s="5"/>
      <c r="G1061" s="22"/>
    </row>
    <row r="1062" spans="1:7" ht="20.25" customHeight="1">
      <c r="A1062" s="10">
        <v>12506</v>
      </c>
      <c r="B1062" s="10">
        <v>16506</v>
      </c>
      <c r="C1062" s="10">
        <f t="shared" si="16"/>
        <v>12506</v>
      </c>
      <c r="D1062" s="10" t="s">
        <v>549</v>
      </c>
      <c r="E1062" s="7" t="s">
        <v>1423</v>
      </c>
      <c r="F1062" s="5"/>
      <c r="G1062" s="22"/>
    </row>
    <row r="1063" spans="1:7" ht="20.25" customHeight="1">
      <c r="A1063" s="10">
        <v>12507</v>
      </c>
      <c r="B1063" s="10">
        <v>16507</v>
      </c>
      <c r="C1063" s="10">
        <f t="shared" si="16"/>
        <v>12507</v>
      </c>
      <c r="D1063" s="10" t="s">
        <v>549</v>
      </c>
      <c r="E1063" s="7" t="s">
        <v>1424</v>
      </c>
      <c r="F1063" s="5"/>
      <c r="G1063" s="22"/>
    </row>
    <row r="1064" spans="1:7" ht="20.25" customHeight="1">
      <c r="A1064" s="10">
        <v>12508</v>
      </c>
      <c r="B1064" s="10">
        <v>16508</v>
      </c>
      <c r="C1064" s="10">
        <f t="shared" si="16"/>
        <v>12508</v>
      </c>
      <c r="D1064" s="10" t="s">
        <v>549</v>
      </c>
      <c r="E1064" s="7" t="s">
        <v>1425</v>
      </c>
      <c r="F1064" s="5"/>
      <c r="G1064" s="22"/>
    </row>
    <row r="1065" spans="1:7" ht="20.25" customHeight="1">
      <c r="A1065" s="10">
        <v>12509</v>
      </c>
      <c r="B1065" s="10">
        <v>16509</v>
      </c>
      <c r="C1065" s="10">
        <f t="shared" si="16"/>
        <v>12509</v>
      </c>
      <c r="D1065" s="10" t="s">
        <v>549</v>
      </c>
      <c r="E1065" s="7" t="s">
        <v>1426</v>
      </c>
      <c r="F1065" s="5"/>
      <c r="G1065" s="22"/>
    </row>
    <row r="1066" spans="1:7" ht="20.25" customHeight="1">
      <c r="A1066" s="10">
        <v>13041</v>
      </c>
      <c r="B1066" s="10">
        <v>17041</v>
      </c>
      <c r="C1066" s="10">
        <f t="shared" si="16"/>
        <v>13041</v>
      </c>
      <c r="D1066" s="10" t="s">
        <v>549</v>
      </c>
      <c r="E1066" s="7"/>
      <c r="F1066" s="5"/>
      <c r="G1066" s="22"/>
    </row>
    <row r="1067" spans="1:7" ht="20.25" customHeight="1">
      <c r="A1067" s="10">
        <v>13042</v>
      </c>
      <c r="B1067" s="10">
        <v>17042</v>
      </c>
      <c r="C1067" s="10">
        <f t="shared" si="16"/>
        <v>13042</v>
      </c>
      <c r="D1067" s="10" t="s">
        <v>549</v>
      </c>
      <c r="E1067" s="7"/>
      <c r="F1067" s="5"/>
      <c r="G1067" s="22"/>
    </row>
    <row r="1068" spans="1:7" ht="20.25" customHeight="1">
      <c r="A1068" s="10">
        <v>13046</v>
      </c>
      <c r="B1068" s="10">
        <v>17046</v>
      </c>
      <c r="C1068" s="10">
        <f t="shared" si="16"/>
        <v>13046</v>
      </c>
      <c r="D1068" s="10" t="s">
        <v>549</v>
      </c>
      <c r="E1068" s="7"/>
      <c r="F1068" s="5"/>
      <c r="G1068" s="22"/>
    </row>
    <row r="1069" spans="1:7" ht="20.25" customHeight="1">
      <c r="A1069" s="10">
        <v>13214</v>
      </c>
      <c r="B1069" s="10">
        <v>17214</v>
      </c>
      <c r="C1069" s="10">
        <f t="shared" si="16"/>
        <v>13214</v>
      </c>
      <c r="D1069" s="10" t="s">
        <v>549</v>
      </c>
      <c r="E1069" s="7" t="s">
        <v>1427</v>
      </c>
      <c r="F1069" s="222" t="s">
        <v>1428</v>
      </c>
      <c r="G1069" s="22"/>
    </row>
    <row r="1070" spans="1:7" ht="20.25" customHeight="1">
      <c r="A1070" s="10">
        <v>13229</v>
      </c>
      <c r="B1070" s="10">
        <v>17229</v>
      </c>
      <c r="C1070" s="10">
        <f t="shared" si="16"/>
        <v>13229</v>
      </c>
      <c r="D1070" s="10" t="s">
        <v>549</v>
      </c>
      <c r="E1070" s="7"/>
      <c r="F1070" s="5"/>
      <c r="G1070" s="22"/>
    </row>
    <row r="1071" spans="1:7" ht="20.25" customHeight="1">
      <c r="A1071" s="10">
        <v>13230</v>
      </c>
      <c r="B1071" s="10">
        <v>17230</v>
      </c>
      <c r="C1071" s="10">
        <f t="shared" si="16"/>
        <v>13230</v>
      </c>
      <c r="D1071" s="10" t="s">
        <v>549</v>
      </c>
      <c r="E1071" s="7"/>
      <c r="F1071" s="5"/>
      <c r="G1071" s="22"/>
    </row>
    <row r="1072" spans="1:7" ht="20.25" customHeight="1">
      <c r="A1072" s="10">
        <v>13231</v>
      </c>
      <c r="B1072" s="10">
        <v>17231</v>
      </c>
      <c r="C1072" s="10">
        <f t="shared" si="16"/>
        <v>13231</v>
      </c>
      <c r="D1072" s="10" t="s">
        <v>549</v>
      </c>
      <c r="E1072" s="7" t="s">
        <v>1429</v>
      </c>
      <c r="F1072" s="222" t="s">
        <v>613</v>
      </c>
      <c r="G1072" s="22"/>
    </row>
    <row r="1073" spans="1:7" ht="20.25" customHeight="1">
      <c r="A1073" s="10">
        <v>13232</v>
      </c>
      <c r="B1073" s="10">
        <v>17232</v>
      </c>
      <c r="C1073" s="10">
        <f t="shared" si="16"/>
        <v>13232</v>
      </c>
      <c r="D1073" s="10" t="s">
        <v>549</v>
      </c>
      <c r="E1073" s="7" t="s">
        <v>1430</v>
      </c>
      <c r="F1073" s="222" t="s">
        <v>613</v>
      </c>
      <c r="G1073" s="22" t="s">
        <v>1431</v>
      </c>
    </row>
    <row r="1074" spans="1:7" ht="20.25" customHeight="1">
      <c r="A1074" s="10">
        <v>13233</v>
      </c>
      <c r="B1074" s="10">
        <v>17233</v>
      </c>
      <c r="C1074" s="10">
        <f t="shared" si="16"/>
        <v>13233</v>
      </c>
      <c r="D1074" s="10" t="s">
        <v>549</v>
      </c>
      <c r="E1074" s="7" t="s">
        <v>1432</v>
      </c>
      <c r="F1074" s="222" t="s">
        <v>613</v>
      </c>
      <c r="G1074" s="22" t="s">
        <v>1431</v>
      </c>
    </row>
    <row r="1075" spans="1:7" ht="20.25" customHeight="1">
      <c r="A1075" s="10">
        <v>13234</v>
      </c>
      <c r="B1075" s="10">
        <v>17234</v>
      </c>
      <c r="C1075" s="10">
        <f t="shared" si="16"/>
        <v>13234</v>
      </c>
      <c r="D1075" s="10" t="s">
        <v>549</v>
      </c>
      <c r="E1075" s="212"/>
      <c r="F1075" s="5"/>
      <c r="G1075" s="22"/>
    </row>
    <row r="1076" spans="1:7" ht="20.25" customHeight="1">
      <c r="A1076" s="10">
        <v>13269</v>
      </c>
      <c r="B1076" s="10">
        <v>17269</v>
      </c>
      <c r="C1076" s="10">
        <f t="shared" si="16"/>
        <v>13269</v>
      </c>
      <c r="D1076" s="10" t="s">
        <v>549</v>
      </c>
      <c r="E1076" s="212"/>
      <c r="F1076" s="5"/>
      <c r="G1076" s="22"/>
    </row>
    <row r="1077" spans="1:7" ht="20.25" customHeight="1">
      <c r="A1077" s="10">
        <v>17312</v>
      </c>
      <c r="B1077" s="10">
        <v>17313</v>
      </c>
      <c r="C1077" s="10">
        <f t="shared" si="16"/>
        <v>17312</v>
      </c>
      <c r="D1077" s="10" t="s">
        <v>549</v>
      </c>
      <c r="E1077" s="7" t="s">
        <v>1433</v>
      </c>
      <c r="F1077" s="222" t="s">
        <v>1434</v>
      </c>
      <c r="G1077" s="22"/>
    </row>
    <row r="1078" spans="1:7" ht="20.25" customHeight="1">
      <c r="A1078" s="10">
        <v>13433</v>
      </c>
      <c r="B1078" s="10">
        <v>17433</v>
      </c>
      <c r="C1078" s="10">
        <f t="shared" si="16"/>
        <v>13433</v>
      </c>
      <c r="D1078" s="10" t="s">
        <v>549</v>
      </c>
      <c r="E1078" s="7" t="s">
        <v>1435</v>
      </c>
      <c r="F1078" s="5"/>
      <c r="G1078" s="22"/>
    </row>
    <row r="1079" spans="1:7" ht="20.25" customHeight="1">
      <c r="A1079" s="10">
        <v>13434</v>
      </c>
      <c r="B1079" s="10">
        <v>17434</v>
      </c>
      <c r="C1079" s="10">
        <f t="shared" si="16"/>
        <v>13434</v>
      </c>
      <c r="D1079" s="10" t="s">
        <v>549</v>
      </c>
      <c r="E1079" s="7" t="s">
        <v>1436</v>
      </c>
      <c r="F1079" s="5"/>
      <c r="G1079" s="22"/>
    </row>
    <row r="1080" spans="1:7" ht="20.25" customHeight="1">
      <c r="A1080" s="10">
        <v>13435</v>
      </c>
      <c r="B1080" s="10">
        <v>17435</v>
      </c>
      <c r="C1080" s="10">
        <f t="shared" si="16"/>
        <v>13435</v>
      </c>
      <c r="D1080" s="10" t="s">
        <v>549</v>
      </c>
      <c r="E1080" s="7"/>
      <c r="F1080" s="5"/>
      <c r="G1080" s="22"/>
    </row>
    <row r="1081" spans="1:7" ht="20.25" customHeight="1">
      <c r="A1081" s="10">
        <v>13437</v>
      </c>
      <c r="B1081" s="10">
        <v>17437</v>
      </c>
      <c r="C1081" s="10">
        <f t="shared" si="16"/>
        <v>13437</v>
      </c>
      <c r="D1081" s="10" t="s">
        <v>549</v>
      </c>
      <c r="E1081" s="7"/>
      <c r="F1081" s="5"/>
      <c r="G1081" s="22"/>
    </row>
    <row r="1082" spans="1:7" ht="20.25" customHeight="1">
      <c r="A1082" s="10">
        <v>17826</v>
      </c>
      <c r="B1082" s="10">
        <v>17826</v>
      </c>
      <c r="C1082" s="10">
        <f t="shared" si="16"/>
        <v>17826</v>
      </c>
      <c r="D1082" s="10" t="s">
        <v>549</v>
      </c>
      <c r="E1082" s="7" t="s">
        <v>1437</v>
      </c>
      <c r="F1082" s="222" t="s">
        <v>1438</v>
      </c>
      <c r="G1082" s="22" t="s">
        <v>680</v>
      </c>
    </row>
    <row r="1083" spans="1:7" ht="20.25" customHeight="1">
      <c r="A1083" s="10">
        <v>17938</v>
      </c>
      <c r="B1083" s="10">
        <v>17939</v>
      </c>
      <c r="C1083" s="10">
        <f t="shared" si="16"/>
        <v>17938</v>
      </c>
      <c r="D1083" s="10" t="s">
        <v>549</v>
      </c>
      <c r="E1083" s="7" t="s">
        <v>1439</v>
      </c>
      <c r="F1083" s="222" t="s">
        <v>1434</v>
      </c>
      <c r="G1083" s="22"/>
    </row>
    <row r="1084" spans="1:7" ht="20.25" customHeight="1">
      <c r="A1084" s="10">
        <v>19736</v>
      </c>
      <c r="B1084" s="10">
        <v>19292</v>
      </c>
      <c r="C1084" s="10">
        <f t="shared" si="16"/>
        <v>19736</v>
      </c>
      <c r="D1084" s="10" t="s">
        <v>549</v>
      </c>
      <c r="E1084" s="7" t="s">
        <v>1440</v>
      </c>
      <c r="F1084" s="5" t="s">
        <v>1438</v>
      </c>
      <c r="G1084" s="22" t="s">
        <v>629</v>
      </c>
    </row>
    <row r="1085" spans="1:7" ht="20.25" customHeight="1">
      <c r="A1085" s="10">
        <v>19737</v>
      </c>
      <c r="B1085" s="10">
        <v>19293</v>
      </c>
      <c r="C1085" s="10">
        <f t="shared" si="16"/>
        <v>19737</v>
      </c>
      <c r="D1085" s="10" t="s">
        <v>549</v>
      </c>
      <c r="E1085" s="7" t="s">
        <v>1441</v>
      </c>
      <c r="F1085" s="5" t="s">
        <v>1438</v>
      </c>
      <c r="G1085" s="22" t="s">
        <v>629</v>
      </c>
    </row>
    <row r="1086" spans="1:7" ht="20.25" customHeight="1">
      <c r="A1086" s="10">
        <v>21504</v>
      </c>
      <c r="B1086" s="10">
        <v>21504</v>
      </c>
      <c r="C1086" s="10">
        <f t="shared" si="16"/>
        <v>21504</v>
      </c>
      <c r="D1086" s="10" t="s">
        <v>567</v>
      </c>
      <c r="E1086" s="5" t="s">
        <v>1442</v>
      </c>
      <c r="F1086" s="5"/>
      <c r="G1086" s="22"/>
    </row>
    <row r="1087" spans="1:7" ht="20.25" customHeight="1">
      <c r="A1087" s="10">
        <v>28066</v>
      </c>
      <c r="B1087" s="10">
        <v>29066</v>
      </c>
      <c r="C1087" s="10">
        <f t="shared" si="16"/>
        <v>28066</v>
      </c>
      <c r="D1087" s="10" t="s">
        <v>549</v>
      </c>
      <c r="E1087" s="7" t="s">
        <v>1443</v>
      </c>
      <c r="F1087" s="5" t="s">
        <v>645</v>
      </c>
      <c r="G1087" s="22"/>
    </row>
    <row r="1088" spans="1:7" ht="20.25" customHeight="1">
      <c r="A1088" s="10">
        <v>31509</v>
      </c>
      <c r="B1088" s="10">
        <v>32509</v>
      </c>
      <c r="C1088" s="10">
        <f t="shared" si="16"/>
        <v>31509</v>
      </c>
      <c r="D1088" s="10" t="s">
        <v>498</v>
      </c>
      <c r="E1088" s="7" t="s">
        <v>1444</v>
      </c>
      <c r="F1088" s="5" t="s">
        <v>1445</v>
      </c>
      <c r="G1088" s="22"/>
    </row>
    <row r="1089" spans="1:7" ht="20.25" customHeight="1">
      <c r="A1089" s="10">
        <v>31510</v>
      </c>
      <c r="B1089" s="10">
        <v>32510</v>
      </c>
      <c r="C1089" s="10">
        <f t="shared" si="16"/>
        <v>31510</v>
      </c>
      <c r="D1089" s="10" t="s">
        <v>549</v>
      </c>
      <c r="E1089" s="7" t="s">
        <v>1446</v>
      </c>
      <c r="F1089" s="5" t="s">
        <v>1445</v>
      </c>
      <c r="G1089" s="22"/>
    </row>
    <row r="1090" spans="1:7" ht="20.25" customHeight="1">
      <c r="A1090" s="10">
        <v>30030</v>
      </c>
      <c r="B1090" s="10">
        <v>34030</v>
      </c>
      <c r="C1090" s="10">
        <f t="shared" si="16"/>
        <v>30030</v>
      </c>
      <c r="D1090" s="10" t="s">
        <v>549</v>
      </c>
      <c r="E1090" s="7" t="s">
        <v>1447</v>
      </c>
      <c r="F1090" s="5"/>
      <c r="G1090" s="22"/>
    </row>
    <row r="1091" spans="1:7" ht="20.25" customHeight="1">
      <c r="A1091" s="10">
        <v>30030</v>
      </c>
      <c r="B1091" s="10">
        <v>34030</v>
      </c>
      <c r="C1091" s="10">
        <f t="shared" si="16"/>
        <v>40030</v>
      </c>
      <c r="D1091" s="10" t="s">
        <v>67</v>
      </c>
      <c r="E1091" s="7" t="s">
        <v>1448</v>
      </c>
      <c r="F1091" s="5"/>
      <c r="G1091" s="22"/>
    </row>
    <row r="1092" spans="1:7" ht="20.25" customHeight="1">
      <c r="A1092" s="10">
        <v>30031</v>
      </c>
      <c r="B1092" s="10">
        <v>34031</v>
      </c>
      <c r="C1092" s="10">
        <f t="shared" si="16"/>
        <v>30031</v>
      </c>
      <c r="D1092" s="10" t="s">
        <v>549</v>
      </c>
      <c r="E1092" s="7" t="s">
        <v>1449</v>
      </c>
      <c r="F1092" s="5"/>
      <c r="G1092" s="22"/>
    </row>
    <row r="1093" spans="1:7" ht="20.25" customHeight="1">
      <c r="A1093" s="10">
        <v>30031</v>
      </c>
      <c r="B1093" s="10">
        <v>34031</v>
      </c>
      <c r="C1093" s="10">
        <f t="shared" ref="C1093:C1156" si="17">IF(ISERROR(FIND("B_Epic",E1093)),A1093,A1093+10000)</f>
        <v>40031</v>
      </c>
      <c r="D1093" s="10" t="s">
        <v>67</v>
      </c>
      <c r="E1093" s="7" t="s">
        <v>1450</v>
      </c>
      <c r="F1093" s="5"/>
      <c r="G1093" s="22"/>
    </row>
    <row r="1094" spans="1:7" ht="20.25" customHeight="1">
      <c r="A1094" s="10">
        <v>30033</v>
      </c>
      <c r="B1094" s="10">
        <v>34033</v>
      </c>
      <c r="C1094" s="10">
        <f t="shared" si="17"/>
        <v>30033</v>
      </c>
      <c r="D1094" s="10" t="s">
        <v>549</v>
      </c>
      <c r="E1094" s="7" t="s">
        <v>1451</v>
      </c>
      <c r="F1094" s="5"/>
      <c r="G1094" s="22"/>
    </row>
    <row r="1095" spans="1:7" ht="20.25" customHeight="1">
      <c r="A1095" s="10">
        <v>30035</v>
      </c>
      <c r="B1095" s="10">
        <v>34035</v>
      </c>
      <c r="C1095" s="10">
        <f t="shared" si="17"/>
        <v>30035</v>
      </c>
      <c r="D1095" s="10" t="s">
        <v>549</v>
      </c>
      <c r="E1095" s="7" t="s">
        <v>1452</v>
      </c>
      <c r="F1095" s="5"/>
      <c r="G1095" s="22"/>
    </row>
    <row r="1096" spans="1:7" ht="20.25" customHeight="1">
      <c r="A1096" s="10">
        <v>30044</v>
      </c>
      <c r="B1096" s="10">
        <v>34044</v>
      </c>
      <c r="C1096" s="10">
        <f t="shared" si="17"/>
        <v>30044</v>
      </c>
      <c r="D1096" s="10" t="s">
        <v>67</v>
      </c>
      <c r="E1096" s="7" t="s">
        <v>1453</v>
      </c>
      <c r="F1096" s="5"/>
      <c r="G1096" s="22"/>
    </row>
    <row r="1097" spans="1:7" ht="20.25" customHeight="1">
      <c r="A1097" s="10">
        <v>31000</v>
      </c>
      <c r="B1097" s="10">
        <v>35000</v>
      </c>
      <c r="C1097" s="10">
        <f t="shared" si="17"/>
        <v>31000</v>
      </c>
      <c r="D1097" s="10" t="s">
        <v>549</v>
      </c>
      <c r="E1097" s="7" t="s">
        <v>942</v>
      </c>
      <c r="F1097" s="5" t="s">
        <v>1410</v>
      </c>
      <c r="G1097" s="22" t="s">
        <v>728</v>
      </c>
    </row>
    <row r="1098" spans="1:7" ht="20.25" customHeight="1">
      <c r="A1098" s="10">
        <v>31001</v>
      </c>
      <c r="B1098" s="10">
        <v>35001</v>
      </c>
      <c r="C1098" s="10">
        <f t="shared" si="17"/>
        <v>31001</v>
      </c>
      <c r="D1098" s="10" t="s">
        <v>549</v>
      </c>
      <c r="E1098" s="7" t="s">
        <v>1454</v>
      </c>
      <c r="F1098" s="5" t="s">
        <v>1455</v>
      </c>
      <c r="G1098" s="22" t="s">
        <v>680</v>
      </c>
    </row>
    <row r="1099" spans="1:7" ht="20.25" customHeight="1">
      <c r="A1099" s="10">
        <v>31002</v>
      </c>
      <c r="B1099" s="10">
        <v>35002</v>
      </c>
      <c r="C1099" s="10">
        <f t="shared" si="17"/>
        <v>31002</v>
      </c>
      <c r="D1099" s="10" t="s">
        <v>549</v>
      </c>
      <c r="E1099" s="7" t="s">
        <v>1456</v>
      </c>
      <c r="F1099" s="5" t="s">
        <v>1455</v>
      </c>
      <c r="G1099" s="22" t="s">
        <v>680</v>
      </c>
    </row>
    <row r="1100" spans="1:7" ht="20.25" customHeight="1">
      <c r="A1100" s="10">
        <v>31003</v>
      </c>
      <c r="B1100" s="10">
        <v>35003</v>
      </c>
      <c r="C1100" s="10">
        <f t="shared" si="17"/>
        <v>31003</v>
      </c>
      <c r="D1100" s="10" t="s">
        <v>67</v>
      </c>
      <c r="E1100" s="7" t="s">
        <v>1457</v>
      </c>
      <c r="F1100" s="5" t="s">
        <v>1458</v>
      </c>
      <c r="G1100" s="22" t="s">
        <v>680</v>
      </c>
    </row>
    <row r="1101" spans="1:7" ht="20.25" customHeight="1">
      <c r="A1101" s="10">
        <v>31004</v>
      </c>
      <c r="B1101" s="10">
        <v>35004</v>
      </c>
      <c r="C1101" s="10">
        <f t="shared" si="17"/>
        <v>31004</v>
      </c>
      <c r="D1101" s="10" t="s">
        <v>67</v>
      </c>
      <c r="E1101" s="111" t="s">
        <v>1459</v>
      </c>
      <c r="F1101" s="5" t="s">
        <v>1458</v>
      </c>
      <c r="G1101" s="22" t="s">
        <v>680</v>
      </c>
    </row>
    <row r="1102" spans="1:7" ht="20.25" customHeight="1">
      <c r="A1102" s="10">
        <v>31005</v>
      </c>
      <c r="B1102" s="10">
        <v>35005</v>
      </c>
      <c r="C1102" s="10">
        <f t="shared" si="17"/>
        <v>31005</v>
      </c>
      <c r="D1102" s="10" t="s">
        <v>67</v>
      </c>
      <c r="E1102" s="111" t="s">
        <v>1460</v>
      </c>
      <c r="F1102" s="5" t="s">
        <v>1458</v>
      </c>
      <c r="G1102" s="22" t="s">
        <v>680</v>
      </c>
    </row>
    <row r="1103" spans="1:7" ht="20.25" customHeight="1">
      <c r="A1103" s="10">
        <v>31006</v>
      </c>
      <c r="B1103" s="10">
        <v>35006</v>
      </c>
      <c r="C1103" s="10">
        <f t="shared" si="17"/>
        <v>31006</v>
      </c>
      <c r="D1103" s="10" t="s">
        <v>549</v>
      </c>
      <c r="E1103" s="7" t="s">
        <v>1461</v>
      </c>
      <c r="F1103" s="5"/>
      <c r="G1103" s="22" t="s">
        <v>1462</v>
      </c>
    </row>
    <row r="1104" spans="1:7" ht="20.25" customHeight="1">
      <c r="A1104" s="10">
        <v>31007</v>
      </c>
      <c r="B1104" s="10">
        <v>35007</v>
      </c>
      <c r="C1104" s="10">
        <f t="shared" si="17"/>
        <v>31007</v>
      </c>
      <c r="D1104" s="10" t="s">
        <v>549</v>
      </c>
      <c r="E1104" s="7" t="s">
        <v>1463</v>
      </c>
      <c r="F1104" s="5"/>
      <c r="G1104" s="22" t="s">
        <v>680</v>
      </c>
    </row>
    <row r="1105" spans="1:7" ht="20.25" customHeight="1">
      <c r="A1105" s="10">
        <v>31008</v>
      </c>
      <c r="B1105" s="10">
        <v>35008</v>
      </c>
      <c r="C1105" s="10">
        <f t="shared" si="17"/>
        <v>31008</v>
      </c>
      <c r="D1105" s="10" t="s">
        <v>549</v>
      </c>
      <c r="E1105" s="7" t="s">
        <v>1464</v>
      </c>
      <c r="F1105" s="5"/>
      <c r="G1105" s="22" t="s">
        <v>680</v>
      </c>
    </row>
    <row r="1106" spans="1:7" ht="20.25" customHeight="1">
      <c r="A1106" s="10">
        <v>31009</v>
      </c>
      <c r="B1106" s="10">
        <v>35009</v>
      </c>
      <c r="C1106" s="10">
        <f t="shared" si="17"/>
        <v>31009</v>
      </c>
      <c r="D1106" s="10" t="s">
        <v>549</v>
      </c>
      <c r="E1106" s="7" t="s">
        <v>1465</v>
      </c>
      <c r="F1106" s="5"/>
      <c r="G1106" s="22" t="s">
        <v>680</v>
      </c>
    </row>
    <row r="1107" spans="1:7" ht="15">
      <c r="A1107" s="10">
        <v>31010</v>
      </c>
      <c r="B1107" s="10">
        <v>35010</v>
      </c>
      <c r="C1107" s="10">
        <f t="shared" si="17"/>
        <v>31010</v>
      </c>
      <c r="D1107" s="10" t="s">
        <v>567</v>
      </c>
      <c r="E1107" s="121" t="s">
        <v>1466</v>
      </c>
      <c r="F1107" s="5"/>
      <c r="G1107" s="22" t="s">
        <v>147</v>
      </c>
    </row>
    <row r="1108" spans="1:7" ht="20.25" customHeight="1">
      <c r="A1108" s="10">
        <v>31011</v>
      </c>
      <c r="B1108" s="10">
        <v>35011</v>
      </c>
      <c r="C1108" s="10">
        <f t="shared" si="17"/>
        <v>31011</v>
      </c>
      <c r="D1108" s="10" t="s">
        <v>549</v>
      </c>
      <c r="E1108" s="7" t="s">
        <v>1467</v>
      </c>
      <c r="F1108" s="5" t="s">
        <v>679</v>
      </c>
      <c r="G1108" s="22"/>
    </row>
    <row r="1109" spans="1:7" ht="20.25" customHeight="1">
      <c r="A1109" s="10">
        <v>31012</v>
      </c>
      <c r="B1109" s="10">
        <v>35012</v>
      </c>
      <c r="C1109" s="10">
        <f t="shared" si="17"/>
        <v>31012</v>
      </c>
      <c r="D1109" s="10" t="s">
        <v>549</v>
      </c>
      <c r="E1109" s="7" t="s">
        <v>1468</v>
      </c>
      <c r="F1109" s="5" t="s">
        <v>679</v>
      </c>
      <c r="G1109" s="22"/>
    </row>
    <row r="1110" spans="1:7" ht="20.25" customHeight="1">
      <c r="A1110" s="10">
        <v>31013</v>
      </c>
      <c r="B1110" s="10">
        <v>35013</v>
      </c>
      <c r="C1110" s="10">
        <f t="shared" si="17"/>
        <v>31013</v>
      </c>
      <c r="D1110" s="10" t="s">
        <v>549</v>
      </c>
      <c r="E1110" s="111" t="s">
        <v>1469</v>
      </c>
      <c r="F1110" s="5" t="s">
        <v>679</v>
      </c>
      <c r="G1110" s="22"/>
    </row>
    <row r="1111" spans="1:7" ht="20.25" customHeight="1">
      <c r="A1111" s="10">
        <v>31014</v>
      </c>
      <c r="B1111" s="10">
        <v>35014</v>
      </c>
      <c r="C1111" s="10">
        <f t="shared" si="17"/>
        <v>31014</v>
      </c>
      <c r="D1111" s="10" t="s">
        <v>549</v>
      </c>
      <c r="E1111" s="7" t="s">
        <v>1470</v>
      </c>
      <c r="F1111" s="5" t="s">
        <v>679</v>
      </c>
      <c r="G1111" s="22"/>
    </row>
    <row r="1112" spans="1:7" ht="20.25" customHeight="1">
      <c r="A1112" s="10">
        <v>31015</v>
      </c>
      <c r="B1112" s="10">
        <v>35015</v>
      </c>
      <c r="C1112" s="10">
        <f t="shared" si="17"/>
        <v>31015</v>
      </c>
      <c r="D1112" s="10" t="s">
        <v>549</v>
      </c>
      <c r="E1112" s="7" t="s">
        <v>1471</v>
      </c>
      <c r="F1112" s="5" t="s">
        <v>679</v>
      </c>
      <c r="G1112" s="22"/>
    </row>
    <row r="1113" spans="1:7" ht="20.25" customHeight="1">
      <c r="A1113" s="10">
        <v>31016</v>
      </c>
      <c r="B1113" s="10">
        <v>35016</v>
      </c>
      <c r="C1113" s="10">
        <f t="shared" si="17"/>
        <v>31016</v>
      </c>
      <c r="D1113" s="10" t="s">
        <v>549</v>
      </c>
      <c r="E1113" s="7" t="s">
        <v>1472</v>
      </c>
      <c r="F1113" s="5" t="s">
        <v>679</v>
      </c>
      <c r="G1113" s="22" t="s">
        <v>798</v>
      </c>
    </row>
    <row r="1114" spans="1:7" ht="20.25" customHeight="1">
      <c r="A1114" s="10">
        <v>31017</v>
      </c>
      <c r="B1114" s="10">
        <v>35017</v>
      </c>
      <c r="C1114" s="10">
        <f t="shared" si="17"/>
        <v>31017</v>
      </c>
      <c r="D1114" s="10" t="s">
        <v>549</v>
      </c>
      <c r="E1114" s="7" t="s">
        <v>1473</v>
      </c>
      <c r="F1114" s="5" t="s">
        <v>679</v>
      </c>
      <c r="G1114" s="22"/>
    </row>
    <row r="1115" spans="1:7" ht="20.25" customHeight="1">
      <c r="A1115" s="10">
        <v>31018</v>
      </c>
      <c r="B1115" s="10">
        <v>35018</v>
      </c>
      <c r="C1115" s="10">
        <f t="shared" si="17"/>
        <v>31018</v>
      </c>
      <c r="D1115" s="10" t="s">
        <v>567</v>
      </c>
      <c r="E1115" s="227" t="s">
        <v>1474</v>
      </c>
      <c r="F1115" s="5"/>
      <c r="G1115" s="22" t="s">
        <v>147</v>
      </c>
    </row>
    <row r="1116" spans="1:7" ht="20.25" customHeight="1">
      <c r="A1116" s="10">
        <v>31019</v>
      </c>
      <c r="B1116" s="10">
        <v>35019</v>
      </c>
      <c r="C1116" s="10">
        <f t="shared" si="17"/>
        <v>31019</v>
      </c>
      <c r="D1116" s="10" t="s">
        <v>549</v>
      </c>
      <c r="E1116" s="7" t="s">
        <v>1475</v>
      </c>
      <c r="F1116" s="5" t="s">
        <v>1476</v>
      </c>
      <c r="G1116" s="22" t="s">
        <v>680</v>
      </c>
    </row>
    <row r="1117" spans="1:7" ht="20.25" customHeight="1">
      <c r="A1117" s="10">
        <v>31020</v>
      </c>
      <c r="B1117" s="10">
        <v>35020</v>
      </c>
      <c r="C1117" s="10">
        <f t="shared" si="17"/>
        <v>31020</v>
      </c>
      <c r="D1117" s="10" t="s">
        <v>549</v>
      </c>
      <c r="E1117" s="7" t="s">
        <v>1477</v>
      </c>
      <c r="F1117" s="5" t="s">
        <v>1476</v>
      </c>
      <c r="G1117" s="22" t="s">
        <v>680</v>
      </c>
    </row>
    <row r="1118" spans="1:7" ht="20.25" customHeight="1">
      <c r="A1118" s="10">
        <v>31021</v>
      </c>
      <c r="B1118" s="10">
        <v>35021</v>
      </c>
      <c r="C1118" s="10">
        <f t="shared" si="17"/>
        <v>31021</v>
      </c>
      <c r="D1118" s="10" t="s">
        <v>549</v>
      </c>
      <c r="E1118" s="7" t="s">
        <v>1478</v>
      </c>
      <c r="F1118" s="5"/>
      <c r="G1118" s="22" t="s">
        <v>1479</v>
      </c>
    </row>
    <row r="1119" spans="1:7" ht="20.25" customHeight="1">
      <c r="A1119" s="10">
        <v>31022</v>
      </c>
      <c r="B1119" s="10">
        <v>35022</v>
      </c>
      <c r="C1119" s="10">
        <f t="shared" si="17"/>
        <v>31022</v>
      </c>
      <c r="D1119" s="10" t="s">
        <v>549</v>
      </c>
      <c r="E1119" s="7" t="s">
        <v>1480</v>
      </c>
      <c r="F1119" s="5" t="s">
        <v>645</v>
      </c>
      <c r="G1119" s="22"/>
    </row>
    <row r="1120" spans="1:7" ht="20.25" customHeight="1">
      <c r="A1120" s="10">
        <v>31023</v>
      </c>
      <c r="B1120" s="10">
        <v>35023</v>
      </c>
      <c r="C1120" s="10">
        <f t="shared" si="17"/>
        <v>31023</v>
      </c>
      <c r="D1120" s="10" t="s">
        <v>549</v>
      </c>
      <c r="E1120" s="7" t="s">
        <v>1481</v>
      </c>
      <c r="F1120" s="5" t="s">
        <v>645</v>
      </c>
      <c r="G1120" s="22"/>
    </row>
    <row r="1121" spans="1:7" ht="20.25" customHeight="1">
      <c r="A1121" s="10">
        <v>31024</v>
      </c>
      <c r="B1121" s="10">
        <v>35024</v>
      </c>
      <c r="C1121" s="10">
        <f t="shared" si="17"/>
        <v>31024</v>
      </c>
      <c r="D1121" s="10" t="s">
        <v>567</v>
      </c>
      <c r="E1121" s="7" t="s">
        <v>1482</v>
      </c>
      <c r="F1121" s="5"/>
      <c r="G1121" s="22"/>
    </row>
    <row r="1122" spans="1:7" ht="20.25" customHeight="1">
      <c r="A1122" s="10">
        <v>31025</v>
      </c>
      <c r="B1122" s="10">
        <v>35025</v>
      </c>
      <c r="C1122" s="10">
        <f t="shared" si="17"/>
        <v>31025</v>
      </c>
      <c r="D1122" s="10" t="s">
        <v>567</v>
      </c>
      <c r="E1122" s="7" t="s">
        <v>1483</v>
      </c>
      <c r="F1122" s="5"/>
      <c r="G1122" s="22"/>
    </row>
    <row r="1123" spans="1:7" ht="20.25" customHeight="1">
      <c r="A1123" s="10">
        <v>31026</v>
      </c>
      <c r="B1123" s="10">
        <v>35026</v>
      </c>
      <c r="C1123" s="10">
        <f t="shared" si="17"/>
        <v>31026</v>
      </c>
      <c r="D1123" s="10" t="s">
        <v>549</v>
      </c>
      <c r="E1123" s="7" t="s">
        <v>1484</v>
      </c>
      <c r="F1123" s="5" t="s">
        <v>1476</v>
      </c>
      <c r="G1123" s="22" t="s">
        <v>1485</v>
      </c>
    </row>
    <row r="1124" spans="1:7" ht="20.25" customHeight="1">
      <c r="A1124" s="10">
        <v>31027</v>
      </c>
      <c r="B1124" s="10">
        <v>35027</v>
      </c>
      <c r="C1124" s="10">
        <f t="shared" si="17"/>
        <v>31027</v>
      </c>
      <c r="D1124" s="10" t="s">
        <v>549</v>
      </c>
      <c r="E1124" s="7" t="s">
        <v>1486</v>
      </c>
      <c r="F1124" s="5" t="s">
        <v>1476</v>
      </c>
      <c r="G1124" s="22" t="s">
        <v>1485</v>
      </c>
    </row>
    <row r="1125" spans="1:7" ht="20.25" customHeight="1">
      <c r="A1125" s="10">
        <v>31028</v>
      </c>
      <c r="B1125" s="10">
        <v>35028</v>
      </c>
      <c r="C1125" s="10">
        <f t="shared" si="17"/>
        <v>31028</v>
      </c>
      <c r="D1125" s="10" t="s">
        <v>549</v>
      </c>
      <c r="E1125" s="7" t="s">
        <v>1487</v>
      </c>
      <c r="F1125" s="5" t="s">
        <v>645</v>
      </c>
      <c r="G1125" s="22"/>
    </row>
    <row r="1126" spans="1:7" ht="20.25" customHeight="1">
      <c r="A1126" s="10">
        <v>31029</v>
      </c>
      <c r="B1126" s="10">
        <v>35029</v>
      </c>
      <c r="C1126" s="10">
        <f t="shared" si="17"/>
        <v>31029</v>
      </c>
      <c r="D1126" s="10" t="s">
        <v>549</v>
      </c>
      <c r="E1126" s="7" t="s">
        <v>1488</v>
      </c>
      <c r="F1126" s="5" t="s">
        <v>645</v>
      </c>
      <c r="G1126" s="22"/>
    </row>
    <row r="1127" spans="1:7" ht="20.25" customHeight="1">
      <c r="A1127" s="10">
        <v>31030</v>
      </c>
      <c r="B1127" s="10">
        <v>35030</v>
      </c>
      <c r="C1127" s="10">
        <f t="shared" si="17"/>
        <v>31030</v>
      </c>
      <c r="D1127" s="10" t="s">
        <v>549</v>
      </c>
      <c r="E1127" s="7" t="s">
        <v>1489</v>
      </c>
      <c r="F1127" s="5" t="s">
        <v>645</v>
      </c>
      <c r="G1127" s="22"/>
    </row>
    <row r="1128" spans="1:7" ht="20.25" customHeight="1">
      <c r="A1128" s="10">
        <v>31031</v>
      </c>
      <c r="B1128" s="10">
        <v>35031</v>
      </c>
      <c r="C1128" s="10">
        <f t="shared" si="17"/>
        <v>31031</v>
      </c>
      <c r="D1128" s="10" t="s">
        <v>549</v>
      </c>
      <c r="E1128" s="7" t="s">
        <v>1490</v>
      </c>
      <c r="F1128" s="5" t="s">
        <v>645</v>
      </c>
      <c r="G1128" s="22"/>
    </row>
    <row r="1129" spans="1:7" ht="20.25" customHeight="1">
      <c r="A1129" s="10">
        <v>31032</v>
      </c>
      <c r="B1129" s="10">
        <v>35032</v>
      </c>
      <c r="C1129" s="10">
        <f t="shared" si="17"/>
        <v>31032</v>
      </c>
      <c r="D1129" s="10" t="s">
        <v>549</v>
      </c>
      <c r="E1129" s="7" t="s">
        <v>1491</v>
      </c>
      <c r="F1129" s="5" t="s">
        <v>645</v>
      </c>
      <c r="G1129" s="22"/>
    </row>
    <row r="1130" spans="1:7" ht="20.25" customHeight="1">
      <c r="A1130" s="10">
        <v>31033</v>
      </c>
      <c r="B1130" s="10">
        <v>35033</v>
      </c>
      <c r="C1130" s="10">
        <f t="shared" si="17"/>
        <v>31033</v>
      </c>
      <c r="D1130" s="10" t="s">
        <v>549</v>
      </c>
      <c r="E1130" s="7" t="s">
        <v>1492</v>
      </c>
      <c r="F1130" s="5" t="s">
        <v>1476</v>
      </c>
      <c r="G1130" s="22" t="s">
        <v>1485</v>
      </c>
    </row>
    <row r="1131" spans="1:7" ht="20.25" customHeight="1">
      <c r="A1131" s="10">
        <v>31034</v>
      </c>
      <c r="B1131" s="10">
        <v>35034</v>
      </c>
      <c r="C1131" s="10">
        <f t="shared" si="17"/>
        <v>31034</v>
      </c>
      <c r="D1131" s="10" t="s">
        <v>549</v>
      </c>
      <c r="E1131" s="7" t="s">
        <v>1493</v>
      </c>
      <c r="F1131" s="5" t="s">
        <v>1476</v>
      </c>
      <c r="G1131" s="22" t="s">
        <v>1485</v>
      </c>
    </row>
    <row r="1132" spans="1:7" ht="20.25" customHeight="1">
      <c r="A1132" s="10">
        <v>31035</v>
      </c>
      <c r="B1132" s="10">
        <v>35035</v>
      </c>
      <c r="C1132" s="10">
        <f t="shared" si="17"/>
        <v>31035</v>
      </c>
      <c r="D1132" s="10" t="s">
        <v>549</v>
      </c>
      <c r="E1132" s="7" t="s">
        <v>1494</v>
      </c>
      <c r="F1132" s="5" t="s">
        <v>1476</v>
      </c>
      <c r="G1132" s="22" t="s">
        <v>1485</v>
      </c>
    </row>
    <row r="1133" spans="1:7" ht="20.25" customHeight="1">
      <c r="A1133" s="10">
        <v>31036</v>
      </c>
      <c r="B1133" s="10">
        <v>35036</v>
      </c>
      <c r="C1133" s="10">
        <f t="shared" si="17"/>
        <v>31036</v>
      </c>
      <c r="D1133" s="10" t="s">
        <v>549</v>
      </c>
      <c r="E1133" s="7" t="s">
        <v>1495</v>
      </c>
      <c r="F1133" s="5" t="s">
        <v>1476</v>
      </c>
      <c r="G1133" s="22"/>
    </row>
    <row r="1134" spans="1:7" ht="20.25" customHeight="1">
      <c r="A1134" s="10">
        <v>31037</v>
      </c>
      <c r="B1134" s="10">
        <v>35037</v>
      </c>
      <c r="C1134" s="10">
        <f t="shared" si="17"/>
        <v>31037</v>
      </c>
      <c r="D1134" s="10" t="s">
        <v>549</v>
      </c>
      <c r="E1134" s="7" t="s">
        <v>1496</v>
      </c>
      <c r="F1134" s="5" t="s">
        <v>645</v>
      </c>
      <c r="G1134" s="22"/>
    </row>
    <row r="1135" spans="1:7" ht="20.25" customHeight="1">
      <c r="A1135" s="10">
        <v>31038</v>
      </c>
      <c r="B1135" s="10">
        <v>35038</v>
      </c>
      <c r="C1135" s="10">
        <f t="shared" si="17"/>
        <v>31038</v>
      </c>
      <c r="D1135" s="10" t="s">
        <v>549</v>
      </c>
      <c r="E1135" s="7" t="s">
        <v>1497</v>
      </c>
      <c r="F1135" s="5" t="s">
        <v>645</v>
      </c>
      <c r="G1135" s="22"/>
    </row>
    <row r="1136" spans="1:7" ht="20.25" customHeight="1">
      <c r="A1136" s="10">
        <v>31039</v>
      </c>
      <c r="B1136" s="10">
        <v>35039</v>
      </c>
      <c r="C1136" s="10">
        <f t="shared" si="17"/>
        <v>31039</v>
      </c>
      <c r="D1136" s="10" t="s">
        <v>549</v>
      </c>
      <c r="E1136" s="7" t="s">
        <v>1498</v>
      </c>
      <c r="F1136" s="5" t="s">
        <v>645</v>
      </c>
      <c r="G1136" s="22"/>
    </row>
    <row r="1137" spans="1:7" ht="20.25" customHeight="1">
      <c r="A1137" s="10">
        <v>31040</v>
      </c>
      <c r="B1137" s="10">
        <v>35040</v>
      </c>
      <c r="C1137" s="10">
        <f t="shared" si="17"/>
        <v>31040</v>
      </c>
      <c r="D1137" s="10" t="s">
        <v>549</v>
      </c>
      <c r="E1137" s="7" t="s">
        <v>1499</v>
      </c>
      <c r="F1137" s="5" t="s">
        <v>645</v>
      </c>
      <c r="G1137" s="22"/>
    </row>
    <row r="1138" spans="1:7" ht="20.25" customHeight="1">
      <c r="A1138" s="10">
        <v>31041</v>
      </c>
      <c r="B1138" s="10">
        <v>35041</v>
      </c>
      <c r="C1138" s="10">
        <f t="shared" si="17"/>
        <v>31041</v>
      </c>
      <c r="D1138" s="10" t="s">
        <v>549</v>
      </c>
      <c r="E1138" s="7" t="s">
        <v>1500</v>
      </c>
      <c r="F1138" s="5" t="s">
        <v>645</v>
      </c>
      <c r="G1138" s="22"/>
    </row>
    <row r="1139" spans="1:7" ht="20.25" customHeight="1">
      <c r="A1139" s="10">
        <v>31042</v>
      </c>
      <c r="B1139" s="10">
        <v>35042</v>
      </c>
      <c r="C1139" s="10">
        <f t="shared" si="17"/>
        <v>31042</v>
      </c>
      <c r="D1139" s="10" t="s">
        <v>549</v>
      </c>
      <c r="E1139" s="7" t="s">
        <v>1501</v>
      </c>
      <c r="F1139" s="5" t="s">
        <v>645</v>
      </c>
      <c r="G1139" s="22"/>
    </row>
    <row r="1140" spans="1:7" ht="20.25" customHeight="1">
      <c r="A1140" s="10">
        <v>31043</v>
      </c>
      <c r="B1140" s="10">
        <v>35043</v>
      </c>
      <c r="C1140" s="10">
        <f t="shared" si="17"/>
        <v>31043</v>
      </c>
      <c r="D1140" s="10" t="s">
        <v>549</v>
      </c>
      <c r="E1140" s="7"/>
      <c r="F1140" s="5"/>
      <c r="G1140" s="22"/>
    </row>
    <row r="1141" spans="1:7" ht="20.25" customHeight="1">
      <c r="A1141" s="10">
        <v>31044</v>
      </c>
      <c r="B1141" s="10">
        <v>35044</v>
      </c>
      <c r="C1141" s="10">
        <f t="shared" si="17"/>
        <v>31044</v>
      </c>
      <c r="D1141" s="10" t="s">
        <v>549</v>
      </c>
      <c r="E1141" s="7"/>
      <c r="F1141" s="5"/>
      <c r="G1141" s="22"/>
    </row>
    <row r="1142" spans="1:7" ht="20.25" customHeight="1">
      <c r="A1142" s="10">
        <v>31045</v>
      </c>
      <c r="B1142" s="10">
        <v>35045</v>
      </c>
      <c r="C1142" s="10">
        <f t="shared" si="17"/>
        <v>31045</v>
      </c>
      <c r="D1142" s="10" t="s">
        <v>567</v>
      </c>
      <c r="E1142" s="7" t="s">
        <v>1502</v>
      </c>
      <c r="F1142" s="5"/>
      <c r="G1142" s="22"/>
    </row>
    <row r="1143" spans="1:7" ht="20.25" customHeight="1">
      <c r="A1143" s="10">
        <v>31046</v>
      </c>
      <c r="B1143" s="10">
        <v>35046</v>
      </c>
      <c r="C1143" s="10">
        <f t="shared" si="17"/>
        <v>31046</v>
      </c>
      <c r="D1143" s="10" t="s">
        <v>549</v>
      </c>
      <c r="E1143" s="7" t="s">
        <v>1503</v>
      </c>
      <c r="F1143" s="5" t="s">
        <v>1476</v>
      </c>
      <c r="G1143" s="22" t="s">
        <v>680</v>
      </c>
    </row>
    <row r="1144" spans="1:7" ht="20.25" customHeight="1">
      <c r="A1144" s="10">
        <v>31047</v>
      </c>
      <c r="B1144" s="10">
        <v>35047</v>
      </c>
      <c r="C1144" s="10">
        <f t="shared" si="17"/>
        <v>31047</v>
      </c>
      <c r="D1144" s="10" t="s">
        <v>549</v>
      </c>
      <c r="E1144" s="7" t="s">
        <v>1504</v>
      </c>
      <c r="F1144" s="5" t="s">
        <v>645</v>
      </c>
      <c r="G1144" s="22"/>
    </row>
    <row r="1145" spans="1:7" ht="20.25" customHeight="1">
      <c r="A1145" s="10">
        <v>31048</v>
      </c>
      <c r="B1145" s="10">
        <v>35048</v>
      </c>
      <c r="C1145" s="10">
        <f t="shared" si="17"/>
        <v>31048</v>
      </c>
      <c r="D1145" s="10" t="s">
        <v>549</v>
      </c>
      <c r="E1145" s="7" t="s">
        <v>1505</v>
      </c>
      <c r="F1145" s="5" t="s">
        <v>645</v>
      </c>
      <c r="G1145" s="22"/>
    </row>
    <row r="1146" spans="1:7" ht="20.25" customHeight="1">
      <c r="A1146" s="10">
        <v>31049</v>
      </c>
      <c r="B1146" s="10">
        <v>35049</v>
      </c>
      <c r="C1146" s="10">
        <f t="shared" si="17"/>
        <v>31049</v>
      </c>
      <c r="D1146" s="10" t="s">
        <v>549</v>
      </c>
      <c r="E1146" s="7" t="s">
        <v>1506</v>
      </c>
      <c r="F1146" s="5" t="s">
        <v>645</v>
      </c>
      <c r="G1146" s="22"/>
    </row>
    <row r="1147" spans="1:7" ht="20.25" customHeight="1">
      <c r="A1147" s="10">
        <v>31050</v>
      </c>
      <c r="B1147" s="10">
        <v>35050</v>
      </c>
      <c r="C1147" s="10">
        <f t="shared" si="17"/>
        <v>31050</v>
      </c>
      <c r="D1147" s="10" t="s">
        <v>549</v>
      </c>
      <c r="E1147" s="7" t="s">
        <v>1507</v>
      </c>
      <c r="F1147" s="5" t="s">
        <v>645</v>
      </c>
      <c r="G1147" s="22"/>
    </row>
    <row r="1148" spans="1:7" ht="20.25" customHeight="1">
      <c r="A1148" s="10">
        <v>31051</v>
      </c>
      <c r="B1148" s="10">
        <v>35051</v>
      </c>
      <c r="C1148" s="10">
        <f t="shared" si="17"/>
        <v>31051</v>
      </c>
      <c r="D1148" s="10" t="s">
        <v>549</v>
      </c>
      <c r="E1148" s="7" t="s">
        <v>1508</v>
      </c>
      <c r="F1148" s="5" t="s">
        <v>645</v>
      </c>
      <c r="G1148" s="22"/>
    </row>
    <row r="1149" spans="1:7" ht="20.25" customHeight="1">
      <c r="A1149" s="10">
        <v>31052</v>
      </c>
      <c r="B1149" s="10">
        <v>35052</v>
      </c>
      <c r="C1149" s="10">
        <f t="shared" si="17"/>
        <v>31052</v>
      </c>
      <c r="D1149" s="10" t="s">
        <v>549</v>
      </c>
      <c r="E1149" s="7" t="s">
        <v>1509</v>
      </c>
      <c r="F1149" s="5" t="s">
        <v>645</v>
      </c>
      <c r="G1149" s="22"/>
    </row>
    <row r="1150" spans="1:7" ht="20.25" customHeight="1">
      <c r="A1150" s="10">
        <v>31053</v>
      </c>
      <c r="B1150" s="10">
        <v>35053</v>
      </c>
      <c r="C1150" s="10">
        <f t="shared" si="17"/>
        <v>31053</v>
      </c>
      <c r="D1150" s="10" t="s">
        <v>549</v>
      </c>
      <c r="E1150" s="7" t="s">
        <v>1510</v>
      </c>
      <c r="F1150" s="5" t="s">
        <v>1476</v>
      </c>
      <c r="G1150" s="22" t="s">
        <v>680</v>
      </c>
    </row>
    <row r="1151" spans="1:7" ht="20.25" customHeight="1">
      <c r="A1151" s="10">
        <v>37080</v>
      </c>
      <c r="B1151" s="10">
        <v>35053</v>
      </c>
      <c r="C1151" s="10">
        <f t="shared" si="17"/>
        <v>37080</v>
      </c>
      <c r="D1151" s="10" t="s">
        <v>549</v>
      </c>
      <c r="E1151" s="7" t="s">
        <v>1511</v>
      </c>
      <c r="F1151" s="5"/>
      <c r="G1151" s="22"/>
    </row>
    <row r="1152" spans="1:7" ht="20.25" customHeight="1">
      <c r="A1152" s="10">
        <v>31054</v>
      </c>
      <c r="B1152" s="10">
        <v>35054</v>
      </c>
      <c r="C1152" s="10">
        <f t="shared" si="17"/>
        <v>31054</v>
      </c>
      <c r="D1152" s="10" t="s">
        <v>549</v>
      </c>
      <c r="E1152" s="7" t="s">
        <v>1512</v>
      </c>
      <c r="F1152" s="5" t="s">
        <v>1476</v>
      </c>
      <c r="G1152" s="22" t="s">
        <v>680</v>
      </c>
    </row>
    <row r="1153" spans="1:7" ht="20.25" customHeight="1">
      <c r="A1153" s="10">
        <v>37081</v>
      </c>
      <c r="B1153" s="10">
        <v>35054</v>
      </c>
      <c r="C1153" s="10">
        <f t="shared" si="17"/>
        <v>37081</v>
      </c>
      <c r="D1153" s="10" t="s">
        <v>549</v>
      </c>
      <c r="E1153" s="7" t="s">
        <v>1513</v>
      </c>
      <c r="F1153" s="5"/>
      <c r="G1153" s="22"/>
    </row>
    <row r="1154" spans="1:7" ht="20.25" customHeight="1">
      <c r="A1154" s="10">
        <v>31055</v>
      </c>
      <c r="B1154" s="10">
        <v>35055</v>
      </c>
      <c r="C1154" s="10">
        <f t="shared" si="17"/>
        <v>41055</v>
      </c>
      <c r="D1154" s="10" t="s">
        <v>567</v>
      </c>
      <c r="E1154" s="7" t="s">
        <v>1514</v>
      </c>
      <c r="F1154" s="5" t="s">
        <v>619</v>
      </c>
      <c r="G1154" s="22"/>
    </row>
    <row r="1155" spans="1:7" ht="20.25" customHeight="1">
      <c r="A1155" s="10">
        <v>31056</v>
      </c>
      <c r="B1155" s="10">
        <v>35056</v>
      </c>
      <c r="C1155" s="10">
        <f t="shared" si="17"/>
        <v>31056</v>
      </c>
      <c r="D1155" s="10" t="s">
        <v>549</v>
      </c>
      <c r="E1155" s="7" t="s">
        <v>1515</v>
      </c>
      <c r="F1155" s="5" t="s">
        <v>645</v>
      </c>
      <c r="G1155" s="22"/>
    </row>
    <row r="1156" spans="1:7" ht="20.25" customHeight="1">
      <c r="A1156" s="10">
        <v>31057</v>
      </c>
      <c r="B1156" s="10">
        <v>35057</v>
      </c>
      <c r="C1156" s="10">
        <f t="shared" si="17"/>
        <v>31057</v>
      </c>
      <c r="D1156" s="10" t="s">
        <v>549</v>
      </c>
      <c r="E1156" s="7" t="s">
        <v>1516</v>
      </c>
      <c r="F1156" s="5" t="s">
        <v>645</v>
      </c>
      <c r="G1156" s="22"/>
    </row>
    <row r="1157" spans="1:7" ht="20.25" customHeight="1">
      <c r="A1157" s="10">
        <v>31058</v>
      </c>
      <c r="B1157" s="10">
        <v>35058</v>
      </c>
      <c r="C1157" s="10">
        <f t="shared" ref="C1157:C1220" si="18">IF(ISERROR(FIND("B_Epic",E1157)),A1157,A1157+10000)</f>
        <v>31058</v>
      </c>
      <c r="D1157" s="10" t="s">
        <v>549</v>
      </c>
      <c r="E1157" s="7" t="s">
        <v>1517</v>
      </c>
      <c r="F1157" s="5" t="s">
        <v>645</v>
      </c>
      <c r="G1157" s="22"/>
    </row>
    <row r="1158" spans="1:7" ht="20.25" customHeight="1">
      <c r="A1158" s="10">
        <v>31059</v>
      </c>
      <c r="B1158" s="10">
        <v>35059</v>
      </c>
      <c r="C1158" s="10">
        <f t="shared" si="18"/>
        <v>31059</v>
      </c>
      <c r="D1158" s="10" t="s">
        <v>549</v>
      </c>
      <c r="E1158" s="7" t="s">
        <v>1518</v>
      </c>
      <c r="F1158" s="5" t="s">
        <v>645</v>
      </c>
      <c r="G1158" s="22"/>
    </row>
    <row r="1159" spans="1:7" ht="20.25" customHeight="1">
      <c r="A1159" s="10">
        <v>31059</v>
      </c>
      <c r="B1159" s="10">
        <v>35059</v>
      </c>
      <c r="C1159" s="10">
        <f t="shared" si="18"/>
        <v>31059</v>
      </c>
      <c r="D1159" s="10" t="s">
        <v>549</v>
      </c>
      <c r="E1159" s="7" t="s">
        <v>1519</v>
      </c>
      <c r="F1159" s="5" t="s">
        <v>645</v>
      </c>
      <c r="G1159" s="22"/>
    </row>
    <row r="1160" spans="1:7" ht="20.25" customHeight="1">
      <c r="A1160" s="10">
        <v>31060</v>
      </c>
      <c r="B1160" s="10">
        <v>35060</v>
      </c>
      <c r="C1160" s="10">
        <f t="shared" si="18"/>
        <v>31060</v>
      </c>
      <c r="D1160" s="10" t="s">
        <v>549</v>
      </c>
      <c r="E1160" s="7" t="s">
        <v>1520</v>
      </c>
      <c r="F1160" s="5" t="s">
        <v>645</v>
      </c>
      <c r="G1160" s="22"/>
    </row>
    <row r="1161" spans="1:7" ht="20.25" customHeight="1">
      <c r="A1161" s="10">
        <v>31060</v>
      </c>
      <c r="B1161" s="10">
        <v>35060</v>
      </c>
      <c r="C1161" s="10">
        <f t="shared" si="18"/>
        <v>31060</v>
      </c>
      <c r="D1161" s="10" t="s">
        <v>549</v>
      </c>
      <c r="E1161" s="7" t="s">
        <v>1521</v>
      </c>
      <c r="F1161" s="5"/>
      <c r="G1161" s="22" t="s">
        <v>1522</v>
      </c>
    </row>
    <row r="1162" spans="1:7" ht="20.25" customHeight="1">
      <c r="A1162" s="10">
        <v>31061</v>
      </c>
      <c r="B1162" s="10">
        <v>35061</v>
      </c>
      <c r="C1162" s="10">
        <f t="shared" si="18"/>
        <v>31061</v>
      </c>
      <c r="D1162" s="10" t="s">
        <v>549</v>
      </c>
      <c r="E1162" s="7" t="s">
        <v>1523</v>
      </c>
      <c r="F1162" s="5" t="s">
        <v>645</v>
      </c>
      <c r="G1162" s="22"/>
    </row>
    <row r="1163" spans="1:7" ht="20.25" customHeight="1">
      <c r="A1163" s="10">
        <v>31062</v>
      </c>
      <c r="B1163" s="10">
        <v>35062</v>
      </c>
      <c r="C1163" s="10">
        <f t="shared" si="18"/>
        <v>31062</v>
      </c>
      <c r="D1163" s="10" t="s">
        <v>549</v>
      </c>
      <c r="E1163" s="7" t="s">
        <v>1524</v>
      </c>
      <c r="F1163" s="5" t="s">
        <v>645</v>
      </c>
      <c r="G1163" s="22"/>
    </row>
    <row r="1164" spans="1:7" ht="20.25" customHeight="1">
      <c r="A1164" s="10">
        <v>31063</v>
      </c>
      <c r="B1164" s="10">
        <v>35063</v>
      </c>
      <c r="C1164" s="10">
        <f t="shared" si="18"/>
        <v>31063</v>
      </c>
      <c r="D1164" s="10" t="s">
        <v>549</v>
      </c>
      <c r="E1164" s="7"/>
      <c r="F1164" s="5"/>
      <c r="G1164" s="22"/>
    </row>
    <row r="1165" spans="1:7" ht="20.25" customHeight="1">
      <c r="A1165" s="10">
        <v>31064</v>
      </c>
      <c r="B1165" s="10">
        <v>35064</v>
      </c>
      <c r="C1165" s="10">
        <f t="shared" si="18"/>
        <v>31064</v>
      </c>
      <c r="D1165" s="10" t="s">
        <v>549</v>
      </c>
      <c r="E1165" s="7" t="s">
        <v>1525</v>
      </c>
      <c r="F1165" s="5" t="s">
        <v>1476</v>
      </c>
      <c r="G1165" s="22"/>
    </row>
    <row r="1166" spans="1:7" ht="20.25" customHeight="1">
      <c r="A1166" s="10">
        <v>31065</v>
      </c>
      <c r="B1166" s="10">
        <v>35065</v>
      </c>
      <c r="C1166" s="10">
        <f t="shared" si="18"/>
        <v>31065</v>
      </c>
      <c r="D1166" s="10" t="s">
        <v>549</v>
      </c>
      <c r="E1166" s="7" t="s">
        <v>1526</v>
      </c>
      <c r="F1166" s="5" t="s">
        <v>1476</v>
      </c>
      <c r="G1166" s="22"/>
    </row>
    <row r="1167" spans="1:7" ht="20.25" customHeight="1">
      <c r="A1167" s="10">
        <v>31066</v>
      </c>
      <c r="B1167" s="10">
        <v>35066</v>
      </c>
      <c r="C1167" s="10">
        <f t="shared" si="18"/>
        <v>31066</v>
      </c>
      <c r="D1167" s="10" t="s">
        <v>549</v>
      </c>
      <c r="E1167" s="7" t="s">
        <v>1527</v>
      </c>
      <c r="F1167" s="5" t="s">
        <v>645</v>
      </c>
      <c r="G1167" s="22"/>
    </row>
    <row r="1168" spans="1:7" ht="20.25" customHeight="1">
      <c r="A1168" s="10">
        <v>31067</v>
      </c>
      <c r="B1168" s="10">
        <v>35067</v>
      </c>
      <c r="C1168" s="10">
        <f t="shared" si="18"/>
        <v>31067</v>
      </c>
      <c r="D1168" s="10" t="s">
        <v>549</v>
      </c>
      <c r="E1168" s="217" t="s">
        <v>1528</v>
      </c>
      <c r="F1168" s="5"/>
      <c r="G1168" s="22"/>
    </row>
    <row r="1169" spans="1:7" ht="20.25" customHeight="1">
      <c r="A1169" s="10">
        <v>31068</v>
      </c>
      <c r="B1169" s="10">
        <v>35068</v>
      </c>
      <c r="C1169" s="10">
        <f t="shared" si="18"/>
        <v>31068</v>
      </c>
      <c r="D1169" s="10" t="s">
        <v>549</v>
      </c>
      <c r="E1169" s="217" t="s">
        <v>1529</v>
      </c>
      <c r="F1169" s="5"/>
      <c r="G1169" s="22"/>
    </row>
    <row r="1170" spans="1:7" ht="20.25" customHeight="1">
      <c r="A1170" s="10">
        <v>31069</v>
      </c>
      <c r="B1170" s="10">
        <v>35069</v>
      </c>
      <c r="C1170" s="10">
        <f t="shared" si="18"/>
        <v>31069</v>
      </c>
      <c r="D1170" s="10" t="s">
        <v>549</v>
      </c>
      <c r="E1170" s="7" t="s">
        <v>1530</v>
      </c>
      <c r="F1170" s="5"/>
      <c r="G1170" s="22"/>
    </row>
    <row r="1171" spans="1:7" ht="20.25" customHeight="1">
      <c r="A1171" s="10">
        <v>31070</v>
      </c>
      <c r="B1171" s="10">
        <v>35070</v>
      </c>
      <c r="C1171" s="10">
        <f t="shared" si="18"/>
        <v>31070</v>
      </c>
      <c r="D1171" s="10" t="s">
        <v>549</v>
      </c>
      <c r="E1171" s="7" t="s">
        <v>1531</v>
      </c>
      <c r="F1171" s="5" t="s">
        <v>645</v>
      </c>
      <c r="G1171" s="22"/>
    </row>
    <row r="1172" spans="1:7" ht="20.25" customHeight="1">
      <c r="A1172" s="10">
        <v>31071</v>
      </c>
      <c r="B1172" s="10">
        <v>35071</v>
      </c>
      <c r="C1172" s="10">
        <f t="shared" si="18"/>
        <v>31071</v>
      </c>
      <c r="D1172" s="10" t="s">
        <v>549</v>
      </c>
      <c r="E1172" s="7" t="s">
        <v>1532</v>
      </c>
      <c r="F1172" s="5" t="s">
        <v>1476</v>
      </c>
      <c r="G1172" s="22"/>
    </row>
    <row r="1173" spans="1:7" ht="20.25" customHeight="1">
      <c r="A1173" s="10">
        <v>31072</v>
      </c>
      <c r="B1173" s="10">
        <v>35072</v>
      </c>
      <c r="C1173" s="10">
        <f t="shared" si="18"/>
        <v>31072</v>
      </c>
      <c r="D1173" s="10" t="s">
        <v>549</v>
      </c>
      <c r="E1173" s="7" t="s">
        <v>1533</v>
      </c>
      <c r="F1173" s="5" t="s">
        <v>1476</v>
      </c>
      <c r="G1173" s="22"/>
    </row>
    <row r="1174" spans="1:7" ht="20.25" customHeight="1">
      <c r="A1174" s="10">
        <v>31073</v>
      </c>
      <c r="B1174" s="10">
        <v>35073</v>
      </c>
      <c r="C1174" s="10">
        <f t="shared" si="18"/>
        <v>31073</v>
      </c>
      <c r="D1174" s="10" t="s">
        <v>549</v>
      </c>
      <c r="E1174" s="7" t="s">
        <v>1534</v>
      </c>
      <c r="F1174" s="5" t="s">
        <v>645</v>
      </c>
      <c r="G1174" s="22"/>
    </row>
    <row r="1175" spans="1:7" ht="20.25" customHeight="1">
      <c r="A1175" s="10">
        <v>31074</v>
      </c>
      <c r="B1175" s="10">
        <v>35074</v>
      </c>
      <c r="C1175" s="10">
        <f t="shared" si="18"/>
        <v>31074</v>
      </c>
      <c r="D1175" s="10" t="s">
        <v>549</v>
      </c>
      <c r="E1175" s="7" t="s">
        <v>1535</v>
      </c>
      <c r="F1175" s="5"/>
      <c r="G1175" s="22"/>
    </row>
    <row r="1176" spans="1:7" ht="20.25" customHeight="1">
      <c r="A1176" s="10">
        <v>31075</v>
      </c>
      <c r="B1176" s="10">
        <v>35075</v>
      </c>
      <c r="C1176" s="10">
        <f t="shared" si="18"/>
        <v>31075</v>
      </c>
      <c r="D1176" s="10" t="s">
        <v>567</v>
      </c>
      <c r="E1176" s="7" t="s">
        <v>1536</v>
      </c>
      <c r="F1176" s="5"/>
      <c r="G1176" s="22"/>
    </row>
    <row r="1177" spans="1:7" ht="20.25" customHeight="1">
      <c r="A1177" s="10">
        <v>31076</v>
      </c>
      <c r="B1177" s="10">
        <v>35076</v>
      </c>
      <c r="C1177" s="10">
        <f t="shared" si="18"/>
        <v>31076</v>
      </c>
      <c r="D1177" s="10" t="s">
        <v>549</v>
      </c>
      <c r="E1177" s="7" t="s">
        <v>1537</v>
      </c>
      <c r="F1177" s="5" t="s">
        <v>645</v>
      </c>
      <c r="G1177" s="22"/>
    </row>
    <row r="1178" spans="1:7" ht="20.25" customHeight="1">
      <c r="A1178" s="10">
        <v>31077</v>
      </c>
      <c r="B1178" s="10">
        <v>35077</v>
      </c>
      <c r="C1178" s="10">
        <f t="shared" si="18"/>
        <v>31077</v>
      </c>
      <c r="D1178" s="10" t="s">
        <v>549</v>
      </c>
      <c r="E1178" s="7" t="s">
        <v>1538</v>
      </c>
      <c r="F1178" s="5" t="s">
        <v>645</v>
      </c>
      <c r="G1178" s="22"/>
    </row>
    <row r="1179" spans="1:7" ht="20.25" customHeight="1">
      <c r="A1179" s="10">
        <v>31078</v>
      </c>
      <c r="B1179" s="10">
        <v>35078</v>
      </c>
      <c r="C1179" s="10">
        <f t="shared" si="18"/>
        <v>31078</v>
      </c>
      <c r="D1179" s="10" t="s">
        <v>549</v>
      </c>
      <c r="E1179" s="7" t="s">
        <v>1539</v>
      </c>
      <c r="F1179" s="5" t="s">
        <v>645</v>
      </c>
      <c r="G1179" s="22"/>
    </row>
    <row r="1180" spans="1:7" ht="20.25" customHeight="1">
      <c r="A1180" s="10">
        <v>31079</v>
      </c>
      <c r="B1180" s="10">
        <v>35079</v>
      </c>
      <c r="C1180" s="10">
        <f t="shared" si="18"/>
        <v>31079</v>
      </c>
      <c r="D1180" s="10" t="s">
        <v>549</v>
      </c>
      <c r="E1180" s="7" t="s">
        <v>1540</v>
      </c>
      <c r="F1180" s="5" t="s">
        <v>645</v>
      </c>
      <c r="G1180" s="22"/>
    </row>
    <row r="1181" spans="1:7" ht="20.25" customHeight="1">
      <c r="A1181" s="10">
        <v>31080</v>
      </c>
      <c r="B1181" s="10">
        <v>35080</v>
      </c>
      <c r="C1181" s="10">
        <f t="shared" si="18"/>
        <v>31080</v>
      </c>
      <c r="D1181" s="10" t="s">
        <v>549</v>
      </c>
      <c r="E1181" s="7" t="s">
        <v>1510</v>
      </c>
      <c r="F1181" s="5"/>
      <c r="G1181" s="22"/>
    </row>
    <row r="1182" spans="1:7" ht="20.25" customHeight="1">
      <c r="A1182" s="10">
        <v>31081</v>
      </c>
      <c r="B1182" s="10">
        <v>35081</v>
      </c>
      <c r="C1182" s="10">
        <f t="shared" si="18"/>
        <v>31081</v>
      </c>
      <c r="D1182" s="10" t="s">
        <v>549</v>
      </c>
      <c r="E1182" s="7" t="s">
        <v>1512</v>
      </c>
      <c r="F1182" s="5"/>
      <c r="G1182" s="22"/>
    </row>
    <row r="1183" spans="1:7" ht="20.25" customHeight="1">
      <c r="A1183" s="10">
        <v>31082</v>
      </c>
      <c r="B1183" s="10">
        <v>35082</v>
      </c>
      <c r="C1183" s="10">
        <f t="shared" si="18"/>
        <v>31082</v>
      </c>
      <c r="D1183" s="10" t="s">
        <v>549</v>
      </c>
      <c r="E1183" s="7" t="s">
        <v>1541</v>
      </c>
      <c r="F1183" s="5" t="s">
        <v>1542</v>
      </c>
      <c r="G1183" s="22"/>
    </row>
    <row r="1184" spans="1:7" ht="20.25" customHeight="1">
      <c r="A1184" s="10">
        <v>31083</v>
      </c>
      <c r="B1184" s="10">
        <v>35083</v>
      </c>
      <c r="C1184" s="10">
        <f t="shared" si="18"/>
        <v>31083</v>
      </c>
      <c r="D1184" s="10" t="s">
        <v>549</v>
      </c>
      <c r="E1184" s="7" t="s">
        <v>1543</v>
      </c>
      <c r="F1184" s="5" t="s">
        <v>645</v>
      </c>
      <c r="G1184" s="22"/>
    </row>
    <row r="1185" spans="1:7" ht="20.25" customHeight="1">
      <c r="A1185" s="10">
        <v>31084</v>
      </c>
      <c r="B1185" s="10">
        <v>35084</v>
      </c>
      <c r="C1185" s="10">
        <f t="shared" si="18"/>
        <v>31084</v>
      </c>
      <c r="D1185" s="10" t="s">
        <v>549</v>
      </c>
      <c r="E1185" s="7" t="s">
        <v>1544</v>
      </c>
      <c r="F1185" s="5" t="s">
        <v>645</v>
      </c>
      <c r="G1185" s="22"/>
    </row>
    <row r="1186" spans="1:7" ht="20.25" customHeight="1">
      <c r="A1186" s="10">
        <v>31085</v>
      </c>
      <c r="B1186" s="10">
        <v>35085</v>
      </c>
      <c r="C1186" s="10">
        <f t="shared" si="18"/>
        <v>31085</v>
      </c>
      <c r="D1186" s="10" t="s">
        <v>549</v>
      </c>
      <c r="E1186" s="7" t="s">
        <v>1545</v>
      </c>
      <c r="F1186" s="5" t="s">
        <v>645</v>
      </c>
      <c r="G1186" s="22"/>
    </row>
    <row r="1187" spans="1:7" ht="20.25" customHeight="1">
      <c r="A1187" s="10">
        <v>31086</v>
      </c>
      <c r="B1187" s="10">
        <v>35086</v>
      </c>
      <c r="C1187" s="10">
        <f t="shared" si="18"/>
        <v>31086</v>
      </c>
      <c r="D1187" s="10" t="s">
        <v>549</v>
      </c>
      <c r="E1187" s="7" t="s">
        <v>1546</v>
      </c>
      <c r="F1187" s="5" t="s">
        <v>645</v>
      </c>
      <c r="G1187" s="22"/>
    </row>
    <row r="1188" spans="1:7" ht="20.25" customHeight="1">
      <c r="A1188" s="10">
        <v>31087</v>
      </c>
      <c r="B1188" s="10">
        <v>35087</v>
      </c>
      <c r="C1188" s="10">
        <f t="shared" si="18"/>
        <v>31087</v>
      </c>
      <c r="D1188" s="10" t="s">
        <v>549</v>
      </c>
      <c r="E1188" s="7" t="s">
        <v>1547</v>
      </c>
      <c r="F1188" s="5" t="s">
        <v>645</v>
      </c>
      <c r="G1188" s="22"/>
    </row>
    <row r="1189" spans="1:7" ht="20.25" customHeight="1">
      <c r="A1189" s="10">
        <v>31088</v>
      </c>
      <c r="B1189" s="10">
        <v>35088</v>
      </c>
      <c r="C1189" s="10">
        <f t="shared" si="18"/>
        <v>31088</v>
      </c>
      <c r="D1189" s="10" t="s">
        <v>549</v>
      </c>
      <c r="E1189" s="7" t="s">
        <v>1548</v>
      </c>
      <c r="F1189" s="5" t="s">
        <v>645</v>
      </c>
      <c r="G1189" s="22"/>
    </row>
    <row r="1190" spans="1:7" ht="20.25" customHeight="1">
      <c r="A1190" s="10">
        <v>31089</v>
      </c>
      <c r="B1190" s="10">
        <v>35089</v>
      </c>
      <c r="C1190" s="10">
        <f t="shared" si="18"/>
        <v>31089</v>
      </c>
      <c r="D1190" s="10" t="s">
        <v>549</v>
      </c>
      <c r="E1190" s="7" t="s">
        <v>1549</v>
      </c>
      <c r="F1190" s="5" t="s">
        <v>645</v>
      </c>
      <c r="G1190" s="22"/>
    </row>
    <row r="1191" spans="1:7" ht="20.25" customHeight="1">
      <c r="A1191" s="10">
        <v>31090</v>
      </c>
      <c r="B1191" s="10">
        <v>35090</v>
      </c>
      <c r="C1191" s="10">
        <f t="shared" si="18"/>
        <v>31090</v>
      </c>
      <c r="D1191" s="10" t="s">
        <v>549</v>
      </c>
      <c r="E1191" s="7" t="s">
        <v>1550</v>
      </c>
      <c r="F1191" s="5" t="s">
        <v>645</v>
      </c>
      <c r="G1191" s="22"/>
    </row>
    <row r="1192" spans="1:7" ht="20.25" customHeight="1">
      <c r="A1192" s="10">
        <v>31091</v>
      </c>
      <c r="B1192" s="10">
        <v>35091</v>
      </c>
      <c r="C1192" s="10">
        <f t="shared" si="18"/>
        <v>31091</v>
      </c>
      <c r="D1192" s="10" t="s">
        <v>549</v>
      </c>
      <c r="E1192" s="7" t="s">
        <v>1551</v>
      </c>
      <c r="F1192" s="5" t="s">
        <v>645</v>
      </c>
      <c r="G1192" s="22"/>
    </row>
    <row r="1193" spans="1:7" ht="20.25" customHeight="1">
      <c r="A1193" s="10">
        <v>31092</v>
      </c>
      <c r="B1193" s="10">
        <v>35092</v>
      </c>
      <c r="C1193" s="10">
        <f t="shared" si="18"/>
        <v>31092</v>
      </c>
      <c r="D1193" s="10" t="s">
        <v>549</v>
      </c>
      <c r="E1193" s="7" t="s">
        <v>1552</v>
      </c>
      <c r="F1193" s="5" t="s">
        <v>1476</v>
      </c>
      <c r="G1193" s="22"/>
    </row>
    <row r="1194" spans="1:7" ht="20.25" customHeight="1">
      <c r="A1194" s="10">
        <v>31093</v>
      </c>
      <c r="B1194" s="10">
        <v>35093</v>
      </c>
      <c r="C1194" s="10">
        <f t="shared" si="18"/>
        <v>31093</v>
      </c>
      <c r="D1194" s="10" t="s">
        <v>549</v>
      </c>
      <c r="E1194" s="7" t="s">
        <v>1553</v>
      </c>
      <c r="F1194" s="5" t="s">
        <v>1476</v>
      </c>
      <c r="G1194" s="22"/>
    </row>
    <row r="1195" spans="1:7" ht="20.25" customHeight="1">
      <c r="A1195" s="10">
        <v>31094</v>
      </c>
      <c r="B1195" s="10">
        <v>35094</v>
      </c>
      <c r="C1195" s="10">
        <f t="shared" si="18"/>
        <v>31094</v>
      </c>
      <c r="D1195" s="10" t="s">
        <v>549</v>
      </c>
      <c r="E1195" s="7" t="s">
        <v>1554</v>
      </c>
      <c r="F1195" s="5" t="s">
        <v>1476</v>
      </c>
      <c r="G1195" s="22"/>
    </row>
    <row r="1196" spans="1:7" ht="20.25" customHeight="1">
      <c r="A1196" s="10">
        <v>31095</v>
      </c>
      <c r="B1196" s="10">
        <v>35095</v>
      </c>
      <c r="C1196" s="10">
        <f t="shared" si="18"/>
        <v>31095</v>
      </c>
      <c r="D1196" s="10" t="s">
        <v>549</v>
      </c>
      <c r="E1196" s="7" t="s">
        <v>1555</v>
      </c>
      <c r="F1196" s="5" t="s">
        <v>645</v>
      </c>
      <c r="G1196" s="22"/>
    </row>
    <row r="1197" spans="1:7" ht="20.25" customHeight="1">
      <c r="A1197" s="10">
        <v>31096</v>
      </c>
      <c r="B1197" s="10">
        <v>35096</v>
      </c>
      <c r="C1197" s="10">
        <f t="shared" si="18"/>
        <v>31096</v>
      </c>
      <c r="D1197" s="10" t="s">
        <v>549</v>
      </c>
      <c r="E1197" s="7" t="s">
        <v>1556</v>
      </c>
      <c r="F1197" s="5" t="s">
        <v>645</v>
      </c>
      <c r="G1197" s="22"/>
    </row>
    <row r="1198" spans="1:7" ht="20.25" customHeight="1">
      <c r="A1198" s="10">
        <v>31097</v>
      </c>
      <c r="B1198" s="10">
        <v>35097</v>
      </c>
      <c r="C1198" s="10">
        <f t="shared" si="18"/>
        <v>31097</v>
      </c>
      <c r="D1198" s="10" t="s">
        <v>549</v>
      </c>
      <c r="E1198" s="7" t="s">
        <v>1557</v>
      </c>
      <c r="F1198" s="5" t="s">
        <v>645</v>
      </c>
      <c r="G1198" s="22"/>
    </row>
    <row r="1199" spans="1:7" ht="20.25" customHeight="1">
      <c r="A1199" s="10">
        <v>31098</v>
      </c>
      <c r="B1199" s="10">
        <v>35098</v>
      </c>
      <c r="C1199" s="10">
        <f t="shared" si="18"/>
        <v>31098</v>
      </c>
      <c r="D1199" s="10" t="s">
        <v>549</v>
      </c>
      <c r="E1199" s="7" t="s">
        <v>1558</v>
      </c>
      <c r="F1199" s="5" t="s">
        <v>1476</v>
      </c>
      <c r="G1199" s="22"/>
    </row>
    <row r="1200" spans="1:7" ht="20.25" customHeight="1">
      <c r="A1200" s="10">
        <v>31099</v>
      </c>
      <c r="B1200" s="10">
        <v>35099</v>
      </c>
      <c r="C1200" s="10">
        <f t="shared" si="18"/>
        <v>31099</v>
      </c>
      <c r="D1200" s="10" t="s">
        <v>549</v>
      </c>
      <c r="E1200" s="7" t="s">
        <v>1559</v>
      </c>
      <c r="F1200" s="5" t="s">
        <v>1476</v>
      </c>
      <c r="G1200" s="22"/>
    </row>
    <row r="1201" spans="1:7" ht="20.25" customHeight="1">
      <c r="A1201" s="10">
        <v>31100</v>
      </c>
      <c r="B1201" s="10">
        <v>35100</v>
      </c>
      <c r="C1201" s="10">
        <f t="shared" si="18"/>
        <v>31100</v>
      </c>
      <c r="D1201" s="10" t="s">
        <v>549</v>
      </c>
      <c r="E1201" s="7" t="s">
        <v>1560</v>
      </c>
      <c r="F1201" s="5" t="s">
        <v>645</v>
      </c>
      <c r="G1201" s="22"/>
    </row>
    <row r="1202" spans="1:7" ht="20.25" customHeight="1">
      <c r="A1202" s="10">
        <v>31101</v>
      </c>
      <c r="B1202" s="10">
        <v>35101</v>
      </c>
      <c r="C1202" s="10">
        <f t="shared" si="18"/>
        <v>31101</v>
      </c>
      <c r="D1202" s="10" t="s">
        <v>549</v>
      </c>
      <c r="E1202" s="7" t="s">
        <v>1561</v>
      </c>
      <c r="F1202" s="5" t="s">
        <v>1476</v>
      </c>
      <c r="G1202" s="22"/>
    </row>
    <row r="1203" spans="1:7" ht="20.25" customHeight="1">
      <c r="A1203" s="10">
        <v>31102</v>
      </c>
      <c r="B1203" s="10">
        <v>35102</v>
      </c>
      <c r="C1203" s="10">
        <f t="shared" si="18"/>
        <v>31102</v>
      </c>
      <c r="D1203" s="10" t="s">
        <v>549</v>
      </c>
      <c r="E1203" s="7" t="s">
        <v>1562</v>
      </c>
      <c r="F1203" s="5" t="s">
        <v>1476</v>
      </c>
      <c r="G1203" s="22"/>
    </row>
    <row r="1204" spans="1:7" ht="20.25" customHeight="1">
      <c r="A1204" s="10">
        <v>31103</v>
      </c>
      <c r="B1204" s="10">
        <v>35103</v>
      </c>
      <c r="C1204" s="10">
        <f t="shared" si="18"/>
        <v>31103</v>
      </c>
      <c r="D1204" s="10" t="s">
        <v>567</v>
      </c>
      <c r="E1204" s="7" t="s">
        <v>1563</v>
      </c>
      <c r="F1204" s="5"/>
      <c r="G1204" s="22"/>
    </row>
    <row r="1205" spans="1:7" ht="20.25" customHeight="1">
      <c r="A1205" s="10">
        <v>31104</v>
      </c>
      <c r="B1205" s="10">
        <v>35104</v>
      </c>
      <c r="C1205" s="10">
        <f t="shared" si="18"/>
        <v>31104</v>
      </c>
      <c r="D1205" s="10" t="s">
        <v>567</v>
      </c>
      <c r="E1205" s="7" t="s">
        <v>1564</v>
      </c>
      <c r="F1205" s="5"/>
      <c r="G1205" s="22"/>
    </row>
    <row r="1206" spans="1:7" ht="20.25" customHeight="1">
      <c r="A1206" s="10">
        <v>31105</v>
      </c>
      <c r="B1206" s="10">
        <v>35105</v>
      </c>
      <c r="C1206" s="10">
        <f t="shared" si="18"/>
        <v>31105</v>
      </c>
      <c r="D1206" s="10" t="s">
        <v>567</v>
      </c>
      <c r="E1206" s="7" t="s">
        <v>1565</v>
      </c>
      <c r="F1206" s="5"/>
      <c r="G1206" s="22"/>
    </row>
    <row r="1207" spans="1:7" ht="20.25" customHeight="1">
      <c r="A1207" s="10">
        <v>31106</v>
      </c>
      <c r="B1207" s="10">
        <v>35106</v>
      </c>
      <c r="C1207" s="10">
        <f t="shared" si="18"/>
        <v>31106</v>
      </c>
      <c r="D1207" s="10" t="s">
        <v>549</v>
      </c>
      <c r="E1207" s="7" t="s">
        <v>1566</v>
      </c>
      <c r="F1207" s="5" t="s">
        <v>1476</v>
      </c>
      <c r="G1207" s="22"/>
    </row>
    <row r="1208" spans="1:7" ht="20.25" customHeight="1">
      <c r="A1208" s="10">
        <v>31107</v>
      </c>
      <c r="B1208" s="10">
        <v>35107</v>
      </c>
      <c r="C1208" s="10">
        <f t="shared" si="18"/>
        <v>31107</v>
      </c>
      <c r="D1208" s="10" t="s">
        <v>549</v>
      </c>
      <c r="E1208" s="7" t="s">
        <v>1567</v>
      </c>
      <c r="F1208" s="5" t="s">
        <v>1476</v>
      </c>
      <c r="G1208" s="22"/>
    </row>
    <row r="1209" spans="1:7" ht="20.25" customHeight="1">
      <c r="A1209" s="10">
        <v>31108</v>
      </c>
      <c r="B1209" s="10">
        <v>35108</v>
      </c>
      <c r="C1209" s="10">
        <f t="shared" si="18"/>
        <v>31108</v>
      </c>
      <c r="D1209" s="10" t="s">
        <v>549</v>
      </c>
      <c r="E1209" s="7" t="s">
        <v>1568</v>
      </c>
      <c r="F1209" s="5" t="s">
        <v>1476</v>
      </c>
      <c r="G1209" s="22"/>
    </row>
    <row r="1210" spans="1:7" ht="20.25" customHeight="1">
      <c r="A1210" s="10">
        <v>31109</v>
      </c>
      <c r="B1210" s="10">
        <v>35109</v>
      </c>
      <c r="C1210" s="10">
        <f t="shared" si="18"/>
        <v>31109</v>
      </c>
      <c r="D1210" s="10" t="s">
        <v>549</v>
      </c>
      <c r="E1210" s="7" t="s">
        <v>1569</v>
      </c>
      <c r="F1210" s="5" t="s">
        <v>645</v>
      </c>
      <c r="G1210" s="22"/>
    </row>
    <row r="1211" spans="1:7" ht="20.25" customHeight="1">
      <c r="A1211" s="10">
        <v>31110</v>
      </c>
      <c r="B1211" s="10">
        <v>35110</v>
      </c>
      <c r="C1211" s="10">
        <f t="shared" si="18"/>
        <v>31110</v>
      </c>
      <c r="D1211" s="10" t="s">
        <v>549</v>
      </c>
      <c r="E1211" s="7" t="s">
        <v>1570</v>
      </c>
      <c r="F1211" s="5" t="s">
        <v>645</v>
      </c>
      <c r="G1211" s="22"/>
    </row>
    <row r="1212" spans="1:7" ht="20.25" customHeight="1">
      <c r="A1212" s="10">
        <v>31111</v>
      </c>
      <c r="B1212" s="10">
        <v>35111</v>
      </c>
      <c r="C1212" s="10">
        <f t="shared" si="18"/>
        <v>31111</v>
      </c>
      <c r="D1212" s="10" t="s">
        <v>567</v>
      </c>
      <c r="E1212" s="7" t="s">
        <v>1571</v>
      </c>
      <c r="F1212" s="5"/>
      <c r="G1212" s="22"/>
    </row>
    <row r="1213" spans="1:7" ht="20.25" customHeight="1">
      <c r="A1213" s="10">
        <v>31112</v>
      </c>
      <c r="B1213" s="10">
        <v>35112</v>
      </c>
      <c r="C1213" s="10">
        <f t="shared" si="18"/>
        <v>31112</v>
      </c>
      <c r="D1213" s="10" t="s">
        <v>567</v>
      </c>
      <c r="E1213" s="7" t="s">
        <v>1572</v>
      </c>
      <c r="F1213" s="5"/>
      <c r="G1213" s="22"/>
    </row>
    <row r="1214" spans="1:7" ht="20.25" customHeight="1">
      <c r="A1214" s="10">
        <v>31113</v>
      </c>
      <c r="B1214" s="10">
        <v>35113</v>
      </c>
      <c r="C1214" s="10">
        <f t="shared" si="18"/>
        <v>31113</v>
      </c>
      <c r="D1214" s="10" t="s">
        <v>549</v>
      </c>
      <c r="E1214" s="7" t="s">
        <v>1573</v>
      </c>
      <c r="F1214" s="5"/>
      <c r="G1214" s="22"/>
    </row>
    <row r="1215" spans="1:7" ht="20.25" customHeight="1">
      <c r="A1215" s="10">
        <v>31114</v>
      </c>
      <c r="B1215" s="10">
        <v>35114</v>
      </c>
      <c r="C1215" s="10">
        <f t="shared" si="18"/>
        <v>31114</v>
      </c>
      <c r="D1215" s="10" t="s">
        <v>549</v>
      </c>
      <c r="E1215" s="7" t="s">
        <v>664</v>
      </c>
      <c r="F1215" s="5" t="s">
        <v>1574</v>
      </c>
      <c r="G1215" s="22" t="s">
        <v>679</v>
      </c>
    </row>
    <row r="1216" spans="1:7" ht="20.25" customHeight="1">
      <c r="A1216" s="10">
        <v>31115</v>
      </c>
      <c r="B1216" s="10">
        <v>35115</v>
      </c>
      <c r="C1216" s="10">
        <f t="shared" si="18"/>
        <v>31115</v>
      </c>
      <c r="D1216" s="10" t="s">
        <v>549</v>
      </c>
      <c r="E1216" s="7" t="s">
        <v>666</v>
      </c>
      <c r="F1216" s="5" t="s">
        <v>1574</v>
      </c>
      <c r="G1216" s="22" t="s">
        <v>679</v>
      </c>
    </row>
    <row r="1217" spans="1:7" ht="20.25" customHeight="1">
      <c r="A1217" s="10">
        <v>31116</v>
      </c>
      <c r="B1217" s="10">
        <v>35116</v>
      </c>
      <c r="C1217" s="10">
        <f t="shared" si="18"/>
        <v>31116</v>
      </c>
      <c r="D1217" s="10" t="s">
        <v>549</v>
      </c>
      <c r="E1217" s="7" t="s">
        <v>1575</v>
      </c>
      <c r="F1217" s="5" t="s">
        <v>1476</v>
      </c>
      <c r="G1217" s="22"/>
    </row>
    <row r="1218" spans="1:7" ht="20.25" customHeight="1">
      <c r="A1218" s="10">
        <v>31117</v>
      </c>
      <c r="B1218" s="10">
        <v>35117</v>
      </c>
      <c r="C1218" s="10">
        <f t="shared" si="18"/>
        <v>31117</v>
      </c>
      <c r="D1218" s="10" t="s">
        <v>549</v>
      </c>
      <c r="E1218" s="7" t="s">
        <v>1576</v>
      </c>
      <c r="F1218" s="5" t="s">
        <v>1577</v>
      </c>
      <c r="G1218" s="22"/>
    </row>
    <row r="1219" spans="1:7" ht="20.25" customHeight="1">
      <c r="A1219" s="10">
        <v>31118</v>
      </c>
      <c r="B1219" s="10">
        <v>35118</v>
      </c>
      <c r="C1219" s="10">
        <f t="shared" si="18"/>
        <v>31118</v>
      </c>
      <c r="D1219" s="10" t="s">
        <v>549</v>
      </c>
      <c r="E1219" s="7" t="s">
        <v>1578</v>
      </c>
      <c r="F1219" s="5" t="s">
        <v>1577</v>
      </c>
      <c r="G1219" s="22"/>
    </row>
    <row r="1220" spans="1:7" ht="20.25" customHeight="1">
      <c r="A1220" s="10">
        <v>31119</v>
      </c>
      <c r="B1220" s="10">
        <v>35119</v>
      </c>
      <c r="C1220" s="10">
        <f t="shared" si="18"/>
        <v>31119</v>
      </c>
      <c r="D1220" s="10" t="s">
        <v>549</v>
      </c>
      <c r="E1220" s="7" t="s">
        <v>1579</v>
      </c>
      <c r="F1220" s="5" t="s">
        <v>1577</v>
      </c>
      <c r="G1220" s="22"/>
    </row>
    <row r="1221" spans="1:7" ht="20.25" customHeight="1">
      <c r="A1221" s="10">
        <v>31120</v>
      </c>
      <c r="B1221" s="10">
        <v>35120</v>
      </c>
      <c r="C1221" s="10">
        <f t="shared" ref="C1221:C1284" si="19">IF(ISERROR(FIND("B_Epic",E1221)),A1221,A1221+10000)</f>
        <v>31120</v>
      </c>
      <c r="D1221" s="10" t="s">
        <v>549</v>
      </c>
      <c r="E1221" s="7" t="s">
        <v>1580</v>
      </c>
      <c r="F1221" s="5" t="s">
        <v>1577</v>
      </c>
      <c r="G1221" s="22"/>
    </row>
    <row r="1222" spans="1:7" ht="20.25" customHeight="1">
      <c r="A1222" s="10">
        <v>31121</v>
      </c>
      <c r="B1222" s="10">
        <v>35121</v>
      </c>
      <c r="C1222" s="10">
        <f t="shared" si="19"/>
        <v>31121</v>
      </c>
      <c r="D1222" s="10" t="s">
        <v>549</v>
      </c>
      <c r="E1222" s="7" t="s">
        <v>1581</v>
      </c>
      <c r="F1222" s="5" t="s">
        <v>1577</v>
      </c>
      <c r="G1222" s="22"/>
    </row>
    <row r="1223" spans="1:7" ht="20.25" customHeight="1">
      <c r="A1223" s="10">
        <v>31122</v>
      </c>
      <c r="B1223" s="10">
        <v>35122</v>
      </c>
      <c r="C1223" s="10">
        <f t="shared" si="19"/>
        <v>31122</v>
      </c>
      <c r="D1223" s="10" t="s">
        <v>549</v>
      </c>
      <c r="E1223" s="7" t="s">
        <v>1582</v>
      </c>
      <c r="F1223" s="5" t="s">
        <v>1577</v>
      </c>
      <c r="G1223" s="22"/>
    </row>
    <row r="1224" spans="1:7" ht="20.25" customHeight="1">
      <c r="A1224" s="10">
        <v>31123</v>
      </c>
      <c r="B1224" s="10">
        <v>35123</v>
      </c>
      <c r="C1224" s="10">
        <f t="shared" si="19"/>
        <v>31123</v>
      </c>
      <c r="D1224" s="10" t="s">
        <v>549</v>
      </c>
      <c r="E1224" s="7" t="s">
        <v>1583</v>
      </c>
      <c r="F1224" s="5" t="s">
        <v>1577</v>
      </c>
      <c r="G1224" s="22"/>
    </row>
    <row r="1225" spans="1:7" ht="20.25" customHeight="1">
      <c r="A1225" s="10">
        <v>31124</v>
      </c>
      <c r="B1225" s="10">
        <v>35124</v>
      </c>
      <c r="C1225" s="10">
        <f t="shared" si="19"/>
        <v>31124</v>
      </c>
      <c r="D1225" s="10" t="s">
        <v>549</v>
      </c>
      <c r="E1225" s="133" t="s">
        <v>1584</v>
      </c>
      <c r="F1225" s="5"/>
      <c r="G1225" s="22">
        <v>43986100</v>
      </c>
    </row>
    <row r="1226" spans="1:7" ht="20.25" customHeight="1">
      <c r="A1226" s="10">
        <v>31125</v>
      </c>
      <c r="B1226" s="10">
        <v>35125</v>
      </c>
      <c r="C1226" s="10">
        <f t="shared" si="19"/>
        <v>31125</v>
      </c>
      <c r="D1226" s="10" t="s">
        <v>549</v>
      </c>
      <c r="E1226" s="1" t="s">
        <v>1585</v>
      </c>
      <c r="F1226" s="5"/>
      <c r="G1226" s="22">
        <v>20560130</v>
      </c>
    </row>
    <row r="1227" spans="1:7" ht="20.25" customHeight="1">
      <c r="A1227" s="10">
        <v>31126</v>
      </c>
      <c r="B1227" s="10">
        <v>35126</v>
      </c>
      <c r="C1227" s="10">
        <f t="shared" si="19"/>
        <v>31126</v>
      </c>
      <c r="D1227" s="99" t="s">
        <v>567</v>
      </c>
      <c r="E1227" s="7" t="s">
        <v>1586</v>
      </c>
      <c r="F1227" s="5"/>
      <c r="G1227" s="22" t="s">
        <v>1587</v>
      </c>
    </row>
    <row r="1228" spans="1:7" ht="20.25" customHeight="1">
      <c r="A1228" s="10">
        <v>31127</v>
      </c>
      <c r="B1228" s="10">
        <v>35127</v>
      </c>
      <c r="C1228" s="10">
        <f t="shared" si="19"/>
        <v>31127</v>
      </c>
      <c r="D1228" s="10" t="s">
        <v>567</v>
      </c>
      <c r="E1228" s="168" t="s">
        <v>1588</v>
      </c>
      <c r="F1228" s="5"/>
      <c r="G1228" s="22"/>
    </row>
    <row r="1229" spans="1:7" ht="20.25" customHeight="1">
      <c r="A1229" s="10">
        <v>31128</v>
      </c>
      <c r="B1229" s="10">
        <v>35128</v>
      </c>
      <c r="C1229" s="10">
        <f t="shared" si="19"/>
        <v>31128</v>
      </c>
      <c r="D1229" s="10" t="s">
        <v>549</v>
      </c>
      <c r="E1229" s="168" t="s">
        <v>1589</v>
      </c>
      <c r="F1229" s="5"/>
      <c r="G1229" s="22"/>
    </row>
    <row r="1230" spans="1:7" ht="20.25" customHeight="1">
      <c r="A1230" s="10">
        <v>31129</v>
      </c>
      <c r="B1230" s="10">
        <v>35129</v>
      </c>
      <c r="C1230" s="10">
        <f t="shared" si="19"/>
        <v>41129</v>
      </c>
      <c r="D1230" s="102" t="s">
        <v>567</v>
      </c>
      <c r="E1230" s="26" t="s">
        <v>1590</v>
      </c>
      <c r="F1230" s="6" t="s">
        <v>1591</v>
      </c>
      <c r="G1230" s="220"/>
    </row>
    <row r="1231" spans="1:7" ht="20.25" customHeight="1">
      <c r="A1231" s="10">
        <v>31130</v>
      </c>
      <c r="B1231" s="10">
        <v>35130</v>
      </c>
      <c r="C1231" s="10">
        <f t="shared" si="19"/>
        <v>31130</v>
      </c>
      <c r="D1231" s="99" t="s">
        <v>549</v>
      </c>
      <c r="E1231" s="7" t="s">
        <v>1592</v>
      </c>
      <c r="F1231" s="5"/>
      <c r="G1231" s="22" t="s">
        <v>1587</v>
      </c>
    </row>
    <row r="1232" spans="1:7" ht="20.25" customHeight="1">
      <c r="A1232" s="10">
        <v>31131</v>
      </c>
      <c r="B1232" s="10">
        <v>35131</v>
      </c>
      <c r="C1232" s="10">
        <f t="shared" si="19"/>
        <v>31131</v>
      </c>
      <c r="D1232" s="99" t="s">
        <v>549</v>
      </c>
      <c r="E1232" s="7" t="s">
        <v>1593</v>
      </c>
      <c r="F1232" s="5"/>
      <c r="G1232" s="22" t="s">
        <v>1594</v>
      </c>
    </row>
    <row r="1233" spans="1:7" ht="20.25" customHeight="1">
      <c r="A1233" s="10">
        <v>31132</v>
      </c>
      <c r="B1233" s="10">
        <v>35132</v>
      </c>
      <c r="C1233" s="10">
        <f t="shared" si="19"/>
        <v>31132</v>
      </c>
      <c r="D1233" s="99" t="s">
        <v>549</v>
      </c>
      <c r="E1233" s="7" t="s">
        <v>1595</v>
      </c>
      <c r="F1233" s="5"/>
      <c r="G1233" s="22" t="s">
        <v>1594</v>
      </c>
    </row>
    <row r="1234" spans="1:7" ht="20.25" customHeight="1">
      <c r="A1234" s="10">
        <v>31133</v>
      </c>
      <c r="B1234" s="10">
        <v>35133</v>
      </c>
      <c r="C1234" s="10">
        <f t="shared" si="19"/>
        <v>31133</v>
      </c>
      <c r="D1234" s="10" t="s">
        <v>567</v>
      </c>
      <c r="E1234" s="7" t="s">
        <v>1596</v>
      </c>
      <c r="F1234" s="5"/>
      <c r="G1234" s="22"/>
    </row>
    <row r="1235" spans="1:7" ht="20.25" customHeight="1">
      <c r="A1235" s="10">
        <v>31134</v>
      </c>
      <c r="B1235" s="10">
        <v>35134</v>
      </c>
      <c r="C1235" s="10">
        <f t="shared" si="19"/>
        <v>31134</v>
      </c>
      <c r="D1235" s="10" t="s">
        <v>567</v>
      </c>
      <c r="E1235" s="7" t="s">
        <v>1597</v>
      </c>
      <c r="F1235" s="5"/>
      <c r="G1235" s="22"/>
    </row>
    <row r="1236" spans="1:7" ht="20.25" customHeight="1">
      <c r="A1236" s="10">
        <v>31135</v>
      </c>
      <c r="B1236" s="10">
        <v>35135</v>
      </c>
      <c r="C1236" s="10">
        <f t="shared" si="19"/>
        <v>31135</v>
      </c>
      <c r="D1236" s="10" t="s">
        <v>567</v>
      </c>
      <c r="E1236" s="7" t="s">
        <v>1598</v>
      </c>
      <c r="F1236" s="5"/>
      <c r="G1236" s="22"/>
    </row>
    <row r="1237" spans="1:7" ht="20.25" customHeight="1">
      <c r="A1237" s="10">
        <v>31136</v>
      </c>
      <c r="B1237" s="10">
        <v>35136</v>
      </c>
      <c r="C1237" s="10">
        <f t="shared" si="19"/>
        <v>31136</v>
      </c>
      <c r="D1237" s="87" t="s">
        <v>549</v>
      </c>
      <c r="E1237" s="1" t="s">
        <v>1599</v>
      </c>
      <c r="F1237" s="5"/>
      <c r="G1237" s="22" t="s">
        <v>1600</v>
      </c>
    </row>
    <row r="1238" spans="1:7" ht="20.25" customHeight="1">
      <c r="A1238" s="10">
        <v>31137</v>
      </c>
      <c r="B1238" s="10">
        <v>35137</v>
      </c>
      <c r="C1238" s="10">
        <f t="shared" si="19"/>
        <v>31137</v>
      </c>
      <c r="D1238" s="10" t="s">
        <v>549</v>
      </c>
      <c r="E1238" s="7" t="s">
        <v>1601</v>
      </c>
      <c r="F1238" s="5"/>
      <c r="G1238" s="22">
        <v>49584143</v>
      </c>
    </row>
    <row r="1239" spans="1:7" ht="20.25" customHeight="1">
      <c r="A1239" s="10">
        <v>31138</v>
      </c>
      <c r="B1239" s="10">
        <v>35138</v>
      </c>
      <c r="C1239" s="10">
        <f t="shared" si="19"/>
        <v>31138</v>
      </c>
      <c r="D1239" s="10" t="s">
        <v>549</v>
      </c>
      <c r="E1239" s="7" t="s">
        <v>1602</v>
      </c>
      <c r="F1239" s="5"/>
      <c r="G1239" s="22">
        <v>49584143</v>
      </c>
    </row>
    <row r="1240" spans="1:7" ht="20.25" customHeight="1">
      <c r="A1240" s="10">
        <v>31139</v>
      </c>
      <c r="B1240" s="10">
        <v>35139</v>
      </c>
      <c r="C1240" s="10">
        <f t="shared" si="19"/>
        <v>31139</v>
      </c>
      <c r="D1240" s="10" t="s">
        <v>549</v>
      </c>
      <c r="E1240" s="7" t="s">
        <v>1603</v>
      </c>
      <c r="F1240" s="5"/>
      <c r="G1240" s="22">
        <v>49584143</v>
      </c>
    </row>
    <row r="1241" spans="1:7" ht="20.25" customHeight="1">
      <c r="A1241" s="10">
        <v>31140</v>
      </c>
      <c r="B1241" s="10">
        <v>35140</v>
      </c>
      <c r="C1241" s="10">
        <f t="shared" si="19"/>
        <v>31140</v>
      </c>
      <c r="D1241" s="10" t="s">
        <v>549</v>
      </c>
      <c r="E1241" s="7" t="s">
        <v>1604</v>
      </c>
      <c r="F1241" s="5"/>
      <c r="G1241" s="22">
        <v>49584143</v>
      </c>
    </row>
    <row r="1242" spans="1:7" ht="20.25" customHeight="1">
      <c r="A1242" s="10">
        <v>31141</v>
      </c>
      <c r="B1242" s="10">
        <v>35141</v>
      </c>
      <c r="C1242" s="10">
        <f t="shared" si="19"/>
        <v>31141</v>
      </c>
      <c r="D1242" s="10" t="s">
        <v>549</v>
      </c>
      <c r="E1242" s="7" t="s">
        <v>1605</v>
      </c>
      <c r="F1242" s="5"/>
      <c r="G1242" s="22">
        <v>49584143</v>
      </c>
    </row>
    <row r="1243" spans="1:7" ht="20.25" customHeight="1">
      <c r="A1243" s="10">
        <v>31142</v>
      </c>
      <c r="B1243" s="10">
        <v>35142</v>
      </c>
      <c r="C1243" s="10">
        <f t="shared" si="19"/>
        <v>31142</v>
      </c>
      <c r="D1243" s="10" t="s">
        <v>549</v>
      </c>
      <c r="E1243" s="7" t="s">
        <v>1606</v>
      </c>
      <c r="F1243" s="5"/>
      <c r="G1243" s="22">
        <v>49584143</v>
      </c>
    </row>
    <row r="1244" spans="1:7" ht="20.25" customHeight="1">
      <c r="A1244" s="10">
        <v>31143</v>
      </c>
      <c r="B1244" s="10">
        <v>35143</v>
      </c>
      <c r="C1244" s="10">
        <f t="shared" si="19"/>
        <v>31143</v>
      </c>
      <c r="D1244" s="10" t="s">
        <v>549</v>
      </c>
      <c r="E1244" s="7" t="s">
        <v>1607</v>
      </c>
      <c r="F1244" s="5"/>
      <c r="G1244" s="22">
        <v>49584143</v>
      </c>
    </row>
    <row r="1245" spans="1:7" ht="20.25" customHeight="1">
      <c r="A1245" s="10">
        <v>31144</v>
      </c>
      <c r="B1245" s="10">
        <v>35144</v>
      </c>
      <c r="C1245" s="10">
        <f t="shared" si="19"/>
        <v>31144</v>
      </c>
      <c r="D1245" s="10" t="s">
        <v>549</v>
      </c>
      <c r="E1245" s="7" t="s">
        <v>1608</v>
      </c>
      <c r="F1245" s="5"/>
      <c r="G1245" s="22">
        <v>49584143</v>
      </c>
    </row>
    <row r="1246" spans="1:7" ht="20.25" customHeight="1">
      <c r="A1246" s="10">
        <v>31145</v>
      </c>
      <c r="B1246" s="10">
        <v>35145</v>
      </c>
      <c r="C1246" s="10">
        <f t="shared" si="19"/>
        <v>31145</v>
      </c>
      <c r="D1246" s="10" t="s">
        <v>549</v>
      </c>
      <c r="E1246" s="7" t="s">
        <v>1609</v>
      </c>
      <c r="F1246" s="5"/>
      <c r="G1246" s="22">
        <v>49584143</v>
      </c>
    </row>
    <row r="1247" spans="1:7" ht="20.25" customHeight="1">
      <c r="A1247" s="10">
        <v>31146</v>
      </c>
      <c r="B1247" s="10">
        <v>35146</v>
      </c>
      <c r="C1247" s="10">
        <f t="shared" si="19"/>
        <v>31146</v>
      </c>
      <c r="D1247" s="10" t="s">
        <v>549</v>
      </c>
      <c r="E1247" s="7" t="s">
        <v>1610</v>
      </c>
      <c r="F1247" s="5"/>
      <c r="G1247" s="22">
        <v>49584143</v>
      </c>
    </row>
    <row r="1248" spans="1:7" ht="20.25" customHeight="1">
      <c r="A1248" s="10">
        <v>31147</v>
      </c>
      <c r="B1248" s="10">
        <v>35147</v>
      </c>
      <c r="C1248" s="10">
        <f t="shared" si="19"/>
        <v>31147</v>
      </c>
      <c r="D1248" s="10" t="s">
        <v>549</v>
      </c>
      <c r="E1248" s="7" t="s">
        <v>1611</v>
      </c>
      <c r="F1248" s="5"/>
      <c r="G1248" s="22">
        <v>49584143</v>
      </c>
    </row>
    <row r="1249" spans="1:7" ht="20.25" customHeight="1">
      <c r="A1249" s="10">
        <v>31148</v>
      </c>
      <c r="B1249" s="10">
        <v>35148</v>
      </c>
      <c r="C1249" s="10">
        <f t="shared" si="19"/>
        <v>31148</v>
      </c>
      <c r="D1249" s="10" t="s">
        <v>549</v>
      </c>
      <c r="E1249" s="7" t="s">
        <v>1612</v>
      </c>
      <c r="F1249" s="5"/>
      <c r="G1249" s="22">
        <v>49584143</v>
      </c>
    </row>
    <row r="1250" spans="1:7" ht="20.25" customHeight="1">
      <c r="A1250" s="10">
        <v>31149</v>
      </c>
      <c r="B1250" s="10">
        <v>35149</v>
      </c>
      <c r="C1250" s="10">
        <f t="shared" si="19"/>
        <v>31149</v>
      </c>
      <c r="D1250" s="10" t="s">
        <v>549</v>
      </c>
      <c r="E1250" s="7" t="s">
        <v>1613</v>
      </c>
      <c r="F1250" s="5"/>
      <c r="G1250" s="22">
        <v>49584143</v>
      </c>
    </row>
    <row r="1251" spans="1:7" ht="20.25" customHeight="1">
      <c r="A1251" s="10">
        <v>31150</v>
      </c>
      <c r="B1251" s="10">
        <v>35150</v>
      </c>
      <c r="C1251" s="10">
        <f t="shared" si="19"/>
        <v>31150</v>
      </c>
      <c r="D1251" s="10" t="s">
        <v>549</v>
      </c>
      <c r="E1251" s="7" t="s">
        <v>1614</v>
      </c>
      <c r="F1251" s="5"/>
      <c r="G1251" s="22">
        <v>49584143</v>
      </c>
    </row>
    <row r="1252" spans="1:7" ht="20.25" customHeight="1">
      <c r="A1252" s="10">
        <v>31151</v>
      </c>
      <c r="B1252" s="10">
        <v>35151</v>
      </c>
      <c r="C1252" s="10">
        <f t="shared" si="19"/>
        <v>31151</v>
      </c>
      <c r="D1252" s="10" t="s">
        <v>549</v>
      </c>
      <c r="E1252" s="7" t="s">
        <v>1615</v>
      </c>
      <c r="F1252" s="5"/>
      <c r="G1252" s="22">
        <v>49584143</v>
      </c>
    </row>
    <row r="1253" spans="1:7" ht="20.25" customHeight="1">
      <c r="A1253" s="10">
        <v>31152</v>
      </c>
      <c r="B1253" s="10">
        <v>35152</v>
      </c>
      <c r="C1253" s="10">
        <f t="shared" si="19"/>
        <v>31152</v>
      </c>
      <c r="D1253" s="10" t="s">
        <v>549</v>
      </c>
      <c r="E1253" s="7" t="s">
        <v>1616</v>
      </c>
      <c r="F1253" s="5"/>
      <c r="G1253" s="22">
        <v>49584143</v>
      </c>
    </row>
    <row r="1254" spans="1:7" ht="20.25" customHeight="1">
      <c r="A1254" s="10">
        <v>31153</v>
      </c>
      <c r="B1254" s="10">
        <v>35153</v>
      </c>
      <c r="C1254" s="10">
        <f t="shared" si="19"/>
        <v>31153</v>
      </c>
      <c r="D1254" s="10" t="s">
        <v>549</v>
      </c>
      <c r="E1254" s="7" t="s">
        <v>1617</v>
      </c>
      <c r="F1254" s="5"/>
      <c r="G1254" s="22">
        <v>49584143</v>
      </c>
    </row>
    <row r="1255" spans="1:7" ht="20.25" customHeight="1">
      <c r="A1255" s="10">
        <v>31154</v>
      </c>
      <c r="B1255" s="10">
        <v>35154</v>
      </c>
      <c r="C1255" s="10">
        <f t="shared" si="19"/>
        <v>31154</v>
      </c>
      <c r="D1255" s="10" t="s">
        <v>549</v>
      </c>
      <c r="E1255" s="7" t="s">
        <v>1618</v>
      </c>
      <c r="F1255" s="5"/>
      <c r="G1255" s="22">
        <v>49584143</v>
      </c>
    </row>
    <row r="1256" spans="1:7" ht="20.25" customHeight="1">
      <c r="A1256" s="10">
        <v>31155</v>
      </c>
      <c r="B1256" s="10">
        <v>35155</v>
      </c>
      <c r="C1256" s="10">
        <f t="shared" si="19"/>
        <v>31155</v>
      </c>
      <c r="D1256" s="10" t="s">
        <v>549</v>
      </c>
      <c r="E1256" s="7" t="s">
        <v>1619</v>
      </c>
      <c r="F1256" s="5"/>
      <c r="G1256" s="22">
        <v>49584143</v>
      </c>
    </row>
    <row r="1257" spans="1:7" ht="20.25" customHeight="1">
      <c r="A1257" s="10">
        <v>31156</v>
      </c>
      <c r="B1257" s="10">
        <v>35156</v>
      </c>
      <c r="C1257" s="10">
        <f t="shared" si="19"/>
        <v>31156</v>
      </c>
      <c r="D1257" s="10" t="s">
        <v>549</v>
      </c>
      <c r="E1257" s="7" t="s">
        <v>1620</v>
      </c>
      <c r="F1257" s="5"/>
      <c r="G1257" s="22">
        <v>49584143</v>
      </c>
    </row>
    <row r="1258" spans="1:7" ht="20.25" customHeight="1">
      <c r="A1258" s="10">
        <v>31157</v>
      </c>
      <c r="B1258" s="10">
        <v>35157</v>
      </c>
      <c r="C1258" s="10">
        <f t="shared" si="19"/>
        <v>31157</v>
      </c>
      <c r="D1258" s="174" t="s">
        <v>549</v>
      </c>
      <c r="E1258" s="7" t="s">
        <v>1621</v>
      </c>
      <c r="F1258" s="5"/>
      <c r="G1258" s="22"/>
    </row>
    <row r="1259" spans="1:7" ht="20.25" customHeight="1">
      <c r="A1259" s="10">
        <v>31158</v>
      </c>
      <c r="B1259" s="10">
        <v>35158</v>
      </c>
      <c r="C1259" s="10">
        <f t="shared" si="19"/>
        <v>31158</v>
      </c>
      <c r="D1259" s="10" t="s">
        <v>567</v>
      </c>
      <c r="E1259" s="225" t="s">
        <v>1617</v>
      </c>
      <c r="F1259" s="5"/>
      <c r="G1259" s="22"/>
    </row>
    <row r="1260" spans="1:7" ht="20.25" customHeight="1">
      <c r="A1260" s="10">
        <v>31159</v>
      </c>
      <c r="B1260" s="10">
        <v>35159</v>
      </c>
      <c r="C1260" s="10">
        <f t="shared" si="19"/>
        <v>31159</v>
      </c>
      <c r="D1260" s="99" t="s">
        <v>549</v>
      </c>
      <c r="E1260" s="7" t="s">
        <v>1622</v>
      </c>
      <c r="F1260" s="5"/>
      <c r="G1260" s="22" t="s">
        <v>1623</v>
      </c>
    </row>
    <row r="1261" spans="1:7" ht="20.25" customHeight="1">
      <c r="A1261" s="10">
        <v>31160</v>
      </c>
      <c r="B1261" s="10">
        <v>35160</v>
      </c>
      <c r="C1261" s="10">
        <f t="shared" si="19"/>
        <v>31160</v>
      </c>
      <c r="D1261" s="99" t="s">
        <v>549</v>
      </c>
      <c r="E1261" s="7" t="s">
        <v>1624</v>
      </c>
      <c r="F1261" s="5"/>
      <c r="G1261" s="22" t="s">
        <v>1623</v>
      </c>
    </row>
    <row r="1262" spans="1:7" ht="20.25" customHeight="1">
      <c r="A1262" s="10">
        <v>31161</v>
      </c>
      <c r="B1262" s="10">
        <v>35161</v>
      </c>
      <c r="C1262" s="10">
        <f t="shared" si="19"/>
        <v>31161</v>
      </c>
      <c r="D1262" s="99" t="s">
        <v>549</v>
      </c>
      <c r="E1262" s="7" t="s">
        <v>1625</v>
      </c>
      <c r="F1262" s="5"/>
      <c r="G1262" s="22" t="s">
        <v>728</v>
      </c>
    </row>
    <row r="1263" spans="1:7" ht="20.25" customHeight="1">
      <c r="A1263" s="10">
        <v>31162</v>
      </c>
      <c r="B1263" s="10">
        <v>35162</v>
      </c>
      <c r="C1263" s="10">
        <f t="shared" si="19"/>
        <v>31162</v>
      </c>
      <c r="D1263" s="10" t="s">
        <v>567</v>
      </c>
      <c r="E1263" s="225" t="s">
        <v>725</v>
      </c>
      <c r="F1263" s="5"/>
      <c r="G1263" s="22"/>
    </row>
    <row r="1264" spans="1:7" ht="20.25" customHeight="1">
      <c r="A1264" s="10">
        <v>31163</v>
      </c>
      <c r="B1264" s="10">
        <v>35163</v>
      </c>
      <c r="C1264" s="10">
        <f t="shared" si="19"/>
        <v>31163</v>
      </c>
      <c r="D1264" s="99" t="s">
        <v>549</v>
      </c>
      <c r="E1264" s="7" t="s">
        <v>1626</v>
      </c>
      <c r="F1264" s="5"/>
      <c r="G1264" s="22" t="s">
        <v>1627</v>
      </c>
    </row>
    <row r="1265" spans="1:7" ht="20.25" customHeight="1">
      <c r="A1265" s="10">
        <v>31164</v>
      </c>
      <c r="B1265" s="10">
        <v>35164</v>
      </c>
      <c r="C1265" s="10">
        <f t="shared" si="19"/>
        <v>31164</v>
      </c>
      <c r="D1265" s="99" t="s">
        <v>549</v>
      </c>
      <c r="E1265" s="7" t="s">
        <v>1628</v>
      </c>
      <c r="F1265" s="5"/>
      <c r="G1265" s="22" t="s">
        <v>1627</v>
      </c>
    </row>
    <row r="1266" spans="1:7" ht="20.25" customHeight="1">
      <c r="A1266" s="10">
        <v>31165</v>
      </c>
      <c r="B1266" s="10">
        <v>35165</v>
      </c>
      <c r="C1266" s="10">
        <f t="shared" si="19"/>
        <v>31165</v>
      </c>
      <c r="D1266" s="99" t="s">
        <v>549</v>
      </c>
      <c r="E1266" s="7" t="s">
        <v>1629</v>
      </c>
      <c r="F1266" s="5"/>
      <c r="G1266" s="22" t="s">
        <v>1627</v>
      </c>
    </row>
    <row r="1267" spans="1:7" ht="20.25" customHeight="1">
      <c r="A1267" s="10">
        <v>31166</v>
      </c>
      <c r="B1267" s="10">
        <v>35166</v>
      </c>
      <c r="C1267" s="10">
        <f t="shared" si="19"/>
        <v>31166</v>
      </c>
      <c r="D1267" s="99" t="s">
        <v>549</v>
      </c>
      <c r="E1267" s="7" t="s">
        <v>1630</v>
      </c>
      <c r="F1267" s="5"/>
      <c r="G1267" s="22" t="s">
        <v>596</v>
      </c>
    </row>
    <row r="1268" spans="1:7" ht="20.25" customHeight="1">
      <c r="A1268" s="10">
        <v>31167</v>
      </c>
      <c r="B1268" s="10">
        <v>35167</v>
      </c>
      <c r="C1268" s="10">
        <f t="shared" si="19"/>
        <v>31167</v>
      </c>
      <c r="D1268" s="10" t="s">
        <v>567</v>
      </c>
      <c r="E1268" s="7" t="s">
        <v>1631</v>
      </c>
      <c r="F1268" s="5"/>
      <c r="G1268" s="22"/>
    </row>
    <row r="1269" spans="1:7" ht="20.25" customHeight="1">
      <c r="A1269" s="10">
        <v>31168</v>
      </c>
      <c r="B1269" s="10">
        <v>35168</v>
      </c>
      <c r="C1269" s="10">
        <f t="shared" si="19"/>
        <v>31168</v>
      </c>
      <c r="D1269" s="10" t="s">
        <v>567</v>
      </c>
      <c r="E1269" s="7" t="s">
        <v>1632</v>
      </c>
      <c r="F1269" s="5"/>
      <c r="G1269" s="22"/>
    </row>
    <row r="1270" spans="1:7" ht="20.25" customHeight="1">
      <c r="A1270" s="10">
        <v>31169</v>
      </c>
      <c r="B1270" s="10">
        <v>35169</v>
      </c>
      <c r="C1270" s="10">
        <f t="shared" si="19"/>
        <v>31169</v>
      </c>
      <c r="D1270" s="99" t="s">
        <v>549</v>
      </c>
      <c r="E1270" s="7" t="s">
        <v>1633</v>
      </c>
      <c r="F1270" s="5"/>
      <c r="G1270" s="22"/>
    </row>
    <row r="1271" spans="1:7" ht="20.25" customHeight="1">
      <c r="A1271" s="10">
        <v>31170</v>
      </c>
      <c r="B1271" s="10">
        <v>35170</v>
      </c>
      <c r="C1271" s="10">
        <f t="shared" si="19"/>
        <v>31170</v>
      </c>
      <c r="D1271" s="99" t="s">
        <v>549</v>
      </c>
      <c r="E1271" s="7" t="s">
        <v>1634</v>
      </c>
      <c r="F1271" s="5"/>
      <c r="G1271" s="22"/>
    </row>
    <row r="1272" spans="1:7" ht="20.25" customHeight="1">
      <c r="A1272" s="10">
        <v>31171</v>
      </c>
      <c r="B1272" s="10">
        <v>35171</v>
      </c>
      <c r="C1272" s="10">
        <f t="shared" si="19"/>
        <v>31171</v>
      </c>
      <c r="D1272" s="99" t="s">
        <v>549</v>
      </c>
      <c r="E1272" s="7" t="s">
        <v>1635</v>
      </c>
      <c r="F1272" s="5"/>
      <c r="G1272" s="22"/>
    </row>
    <row r="1273" spans="1:7" ht="20.25" customHeight="1">
      <c r="A1273" s="10">
        <v>31172</v>
      </c>
      <c r="B1273" s="10">
        <v>35172</v>
      </c>
      <c r="C1273" s="10">
        <f t="shared" si="19"/>
        <v>31172</v>
      </c>
      <c r="D1273" s="99" t="s">
        <v>549</v>
      </c>
      <c r="E1273" s="7" t="s">
        <v>1636</v>
      </c>
      <c r="F1273" s="5"/>
      <c r="G1273" s="22"/>
    </row>
    <row r="1274" spans="1:7" ht="20.25" customHeight="1">
      <c r="A1274" s="10">
        <v>31173</v>
      </c>
      <c r="B1274" s="10">
        <v>35173</v>
      </c>
      <c r="C1274" s="10">
        <f t="shared" si="19"/>
        <v>31173</v>
      </c>
      <c r="D1274" s="99" t="s">
        <v>549</v>
      </c>
      <c r="E1274" s="7" t="s">
        <v>1637</v>
      </c>
      <c r="F1274" s="5"/>
      <c r="G1274" s="22"/>
    </row>
    <row r="1275" spans="1:7" ht="20.25" customHeight="1">
      <c r="A1275" s="10">
        <v>31174</v>
      </c>
      <c r="B1275" s="10">
        <v>35174</v>
      </c>
      <c r="C1275" s="10">
        <f t="shared" si="19"/>
        <v>31174</v>
      </c>
      <c r="D1275" s="99" t="s">
        <v>549</v>
      </c>
      <c r="E1275" s="7" t="s">
        <v>1638</v>
      </c>
      <c r="F1275" s="5"/>
      <c r="G1275" s="22"/>
    </row>
    <row r="1276" spans="1:7" ht="20.25" customHeight="1">
      <c r="A1276" s="10">
        <v>31175</v>
      </c>
      <c r="B1276" s="10">
        <v>35175</v>
      </c>
      <c r="C1276" s="10">
        <f t="shared" si="19"/>
        <v>31175</v>
      </c>
      <c r="D1276" s="99" t="s">
        <v>549</v>
      </c>
      <c r="E1276" s="7" t="s">
        <v>1639</v>
      </c>
      <c r="F1276" s="5"/>
      <c r="G1276" s="22" t="s">
        <v>1640</v>
      </c>
    </row>
    <row r="1277" spans="1:7" ht="20.25" customHeight="1">
      <c r="A1277" s="10">
        <v>31176</v>
      </c>
      <c r="B1277" s="10">
        <v>35176</v>
      </c>
      <c r="C1277" s="10">
        <f t="shared" si="19"/>
        <v>31176</v>
      </c>
      <c r="D1277" s="99" t="s">
        <v>549</v>
      </c>
      <c r="E1277" s="7" t="s">
        <v>1641</v>
      </c>
      <c r="F1277" s="5"/>
      <c r="G1277" s="22" t="s">
        <v>1640</v>
      </c>
    </row>
    <row r="1278" spans="1:7" ht="20.25" customHeight="1">
      <c r="A1278" s="10">
        <v>31177</v>
      </c>
      <c r="B1278" s="10">
        <v>35177</v>
      </c>
      <c r="C1278" s="10">
        <f t="shared" si="19"/>
        <v>31177</v>
      </c>
      <c r="D1278" s="99" t="s">
        <v>549</v>
      </c>
      <c r="E1278" s="7" t="s">
        <v>1642</v>
      </c>
      <c r="F1278" s="5"/>
      <c r="G1278" s="22" t="s">
        <v>1317</v>
      </c>
    </row>
    <row r="1279" spans="1:7" ht="20.25" customHeight="1">
      <c r="A1279" s="10">
        <v>31178</v>
      </c>
      <c r="B1279" s="10">
        <v>35178</v>
      </c>
      <c r="C1279" s="10">
        <f t="shared" si="19"/>
        <v>31178</v>
      </c>
      <c r="D1279" s="99" t="s">
        <v>549</v>
      </c>
      <c r="E1279" s="7" t="s">
        <v>1643</v>
      </c>
      <c r="F1279" s="5"/>
      <c r="G1279" s="22" t="s">
        <v>1317</v>
      </c>
    </row>
    <row r="1280" spans="1:7" ht="20.25" customHeight="1">
      <c r="A1280" s="10">
        <v>31179</v>
      </c>
      <c r="B1280" s="10">
        <v>35179</v>
      </c>
      <c r="C1280" s="10">
        <f t="shared" si="19"/>
        <v>31179</v>
      </c>
      <c r="D1280" s="99" t="s">
        <v>567</v>
      </c>
      <c r="E1280" s="7" t="s">
        <v>1644</v>
      </c>
      <c r="F1280" s="5"/>
      <c r="G1280" s="22"/>
    </row>
    <row r="1281" spans="1:7" ht="20.25" customHeight="1">
      <c r="A1281" s="10">
        <v>31180</v>
      </c>
      <c r="B1281" s="10">
        <v>35180</v>
      </c>
      <c r="C1281" s="10">
        <f t="shared" si="19"/>
        <v>31180</v>
      </c>
      <c r="D1281" s="99" t="s">
        <v>567</v>
      </c>
      <c r="E1281" s="7" t="s">
        <v>1645</v>
      </c>
      <c r="F1281" s="5"/>
      <c r="G1281" s="22"/>
    </row>
    <row r="1282" spans="1:7" ht="20.25" customHeight="1">
      <c r="A1282" s="10">
        <v>31181</v>
      </c>
      <c r="B1282" s="10">
        <v>35181</v>
      </c>
      <c r="C1282" s="10">
        <f t="shared" si="19"/>
        <v>31181</v>
      </c>
      <c r="D1282" s="99" t="s">
        <v>567</v>
      </c>
      <c r="E1282" s="7" t="s">
        <v>1646</v>
      </c>
      <c r="F1282" s="5"/>
      <c r="G1282" s="22"/>
    </row>
    <row r="1283" spans="1:7" ht="20.25" customHeight="1">
      <c r="A1283" s="10">
        <v>31182</v>
      </c>
      <c r="B1283" s="10">
        <v>35182</v>
      </c>
      <c r="C1283" s="10">
        <f t="shared" si="19"/>
        <v>31182</v>
      </c>
      <c r="D1283" s="99" t="s">
        <v>567</v>
      </c>
      <c r="E1283" s="7" t="s">
        <v>1647</v>
      </c>
      <c r="F1283" s="5"/>
      <c r="G1283" s="22"/>
    </row>
    <row r="1284" spans="1:7" ht="20.25" customHeight="1">
      <c r="A1284" s="10">
        <v>31183</v>
      </c>
      <c r="B1284" s="10">
        <v>35183</v>
      </c>
      <c r="C1284" s="10">
        <f t="shared" si="19"/>
        <v>31183</v>
      </c>
      <c r="D1284" s="99" t="s">
        <v>567</v>
      </c>
      <c r="E1284" s="7" t="s">
        <v>1648</v>
      </c>
      <c r="F1284" s="5"/>
      <c r="G1284" s="22"/>
    </row>
    <row r="1285" spans="1:7" ht="20.25" customHeight="1">
      <c r="A1285" s="10">
        <v>31184</v>
      </c>
      <c r="B1285" s="10">
        <v>35184</v>
      </c>
      <c r="C1285" s="10">
        <f t="shared" ref="C1285:C1348" si="20">IF(ISERROR(FIND("B_Epic",E1285)),A1285,A1285+10000)</f>
        <v>31184</v>
      </c>
      <c r="D1285" s="99" t="s">
        <v>567</v>
      </c>
      <c r="E1285" s="7" t="s">
        <v>1649</v>
      </c>
      <c r="F1285" s="5"/>
      <c r="G1285" s="22"/>
    </row>
    <row r="1286" spans="1:7" ht="20.25" customHeight="1">
      <c r="A1286" s="10">
        <v>31185</v>
      </c>
      <c r="B1286" s="10">
        <v>35185</v>
      </c>
      <c r="C1286" s="10">
        <f t="shared" si="20"/>
        <v>31185</v>
      </c>
      <c r="D1286" s="99" t="s">
        <v>567</v>
      </c>
      <c r="E1286" s="7" t="s">
        <v>1650</v>
      </c>
      <c r="F1286" s="5"/>
      <c r="G1286" s="22"/>
    </row>
    <row r="1287" spans="1:7" ht="20.25" customHeight="1">
      <c r="A1287" s="10">
        <v>31186</v>
      </c>
      <c r="B1287" s="10">
        <v>35186</v>
      </c>
      <c r="C1287" s="10">
        <f t="shared" si="20"/>
        <v>31186</v>
      </c>
      <c r="D1287" s="99" t="s">
        <v>567</v>
      </c>
      <c r="E1287" s="7" t="s">
        <v>1651</v>
      </c>
      <c r="F1287" s="5"/>
      <c r="G1287" s="22"/>
    </row>
    <row r="1288" spans="1:7" ht="20.25" customHeight="1">
      <c r="A1288" s="10">
        <v>31187</v>
      </c>
      <c r="B1288" s="10">
        <v>35187</v>
      </c>
      <c r="C1288" s="10">
        <f t="shared" si="20"/>
        <v>41187</v>
      </c>
      <c r="D1288" s="99" t="s">
        <v>567</v>
      </c>
      <c r="E1288" s="7" t="s">
        <v>1652</v>
      </c>
      <c r="F1288" s="5" t="s">
        <v>619</v>
      </c>
      <c r="G1288" s="22"/>
    </row>
    <row r="1289" spans="1:7" ht="20.25" customHeight="1">
      <c r="A1289" s="10">
        <v>31188</v>
      </c>
      <c r="B1289" s="10">
        <v>35188</v>
      </c>
      <c r="C1289" s="10">
        <f t="shared" si="20"/>
        <v>31188</v>
      </c>
      <c r="D1289" s="10" t="s">
        <v>549</v>
      </c>
      <c r="E1289" s="7" t="s">
        <v>1653</v>
      </c>
      <c r="F1289" s="5"/>
      <c r="G1289" s="22"/>
    </row>
    <row r="1290" spans="1:7" ht="20.25" customHeight="1">
      <c r="A1290" s="10">
        <v>31189</v>
      </c>
      <c r="B1290" s="10">
        <v>35189</v>
      </c>
      <c r="C1290" s="10">
        <f t="shared" si="20"/>
        <v>31189</v>
      </c>
      <c r="D1290" s="10" t="s">
        <v>549</v>
      </c>
      <c r="E1290" s="7" t="s">
        <v>1654</v>
      </c>
      <c r="F1290" s="5"/>
      <c r="G1290" s="22"/>
    </row>
    <row r="1291" spans="1:7" ht="20.25" customHeight="1">
      <c r="A1291" s="10">
        <v>31190</v>
      </c>
      <c r="B1291" s="10">
        <v>35190</v>
      </c>
      <c r="C1291" s="10">
        <f t="shared" si="20"/>
        <v>31190</v>
      </c>
      <c r="D1291" s="99" t="s">
        <v>567</v>
      </c>
      <c r="E1291" s="7" t="s">
        <v>1655</v>
      </c>
      <c r="F1291" s="5"/>
      <c r="G1291" s="22"/>
    </row>
    <row r="1292" spans="1:7" ht="20.25" customHeight="1">
      <c r="A1292" s="10">
        <v>31191</v>
      </c>
      <c r="B1292" s="10">
        <v>35191</v>
      </c>
      <c r="C1292" s="10">
        <f t="shared" si="20"/>
        <v>31191</v>
      </c>
      <c r="D1292" s="99" t="s">
        <v>567</v>
      </c>
      <c r="E1292" s="7" t="s">
        <v>1656</v>
      </c>
      <c r="F1292" s="5"/>
      <c r="G1292" s="22"/>
    </row>
    <row r="1293" spans="1:7" ht="20.25" customHeight="1">
      <c r="A1293" s="10">
        <v>31192</v>
      </c>
      <c r="B1293" s="10">
        <v>35192</v>
      </c>
      <c r="C1293" s="10">
        <f t="shared" si="20"/>
        <v>31192</v>
      </c>
      <c r="D1293" s="10" t="s">
        <v>567</v>
      </c>
      <c r="E1293" s="7" t="s">
        <v>912</v>
      </c>
      <c r="F1293" s="5"/>
      <c r="G1293" s="22"/>
    </row>
    <row r="1294" spans="1:7" ht="20.25" customHeight="1">
      <c r="A1294" s="10">
        <v>31193</v>
      </c>
      <c r="B1294" s="10">
        <v>35193</v>
      </c>
      <c r="C1294" s="10">
        <f t="shared" si="20"/>
        <v>31193</v>
      </c>
      <c r="D1294" s="10" t="s">
        <v>567</v>
      </c>
      <c r="E1294" s="7" t="s">
        <v>1657</v>
      </c>
      <c r="F1294" s="5"/>
      <c r="G1294" s="22"/>
    </row>
    <row r="1295" spans="1:7" ht="20.25" customHeight="1">
      <c r="A1295" s="10">
        <v>31194</v>
      </c>
      <c r="B1295" s="10">
        <v>35194</v>
      </c>
      <c r="C1295" s="10">
        <f t="shared" si="20"/>
        <v>31194</v>
      </c>
      <c r="D1295" s="10" t="s">
        <v>567</v>
      </c>
      <c r="E1295" s="7" t="s">
        <v>1658</v>
      </c>
      <c r="F1295" s="5"/>
      <c r="G1295" s="22"/>
    </row>
    <row r="1296" spans="1:7" ht="20.25" customHeight="1">
      <c r="A1296" s="10">
        <v>31195</v>
      </c>
      <c r="B1296" s="10">
        <v>35195</v>
      </c>
      <c r="C1296" s="10">
        <f t="shared" si="20"/>
        <v>31195</v>
      </c>
      <c r="D1296" s="10" t="s">
        <v>567</v>
      </c>
      <c r="E1296" s="103" t="s">
        <v>1659</v>
      </c>
      <c r="G1296" s="22" t="s">
        <v>147</v>
      </c>
    </row>
    <row r="1297" spans="1:7" ht="20.25" customHeight="1">
      <c r="A1297" s="10">
        <v>31196</v>
      </c>
      <c r="B1297" s="10">
        <v>35196</v>
      </c>
      <c r="C1297" s="10">
        <f t="shared" si="20"/>
        <v>31196</v>
      </c>
      <c r="D1297" s="10" t="s">
        <v>567</v>
      </c>
      <c r="E1297" s="7" t="s">
        <v>1660</v>
      </c>
      <c r="F1297" s="5"/>
      <c r="G1297" s="22" t="s">
        <v>147</v>
      </c>
    </row>
    <row r="1298" spans="1:7" ht="20.25" customHeight="1">
      <c r="A1298" s="10">
        <v>31197</v>
      </c>
      <c r="B1298" s="10">
        <v>35197</v>
      </c>
      <c r="C1298" s="10">
        <f t="shared" si="20"/>
        <v>31197</v>
      </c>
      <c r="D1298" s="10" t="s">
        <v>549</v>
      </c>
      <c r="E1298" s="7"/>
      <c r="F1298" s="5"/>
      <c r="G1298" s="22"/>
    </row>
    <row r="1299" spans="1:7" ht="20.25" customHeight="1">
      <c r="A1299" s="10">
        <v>31198</v>
      </c>
      <c r="B1299" s="10">
        <v>35198</v>
      </c>
      <c r="C1299" s="10">
        <f t="shared" si="20"/>
        <v>31198</v>
      </c>
      <c r="D1299" s="10" t="s">
        <v>549</v>
      </c>
      <c r="E1299" s="212"/>
      <c r="F1299" s="5"/>
      <c r="G1299" s="22"/>
    </row>
    <row r="1300" spans="1:7" ht="20.25" customHeight="1">
      <c r="A1300" s="10">
        <v>31199</v>
      </c>
      <c r="B1300" s="10">
        <v>35199</v>
      </c>
      <c r="C1300" s="10">
        <f t="shared" si="20"/>
        <v>31199</v>
      </c>
      <c r="D1300" s="10" t="s">
        <v>549</v>
      </c>
      <c r="E1300" s="7"/>
      <c r="F1300" s="7"/>
      <c r="G1300" s="22"/>
    </row>
    <row r="1301" spans="1:7" ht="20.25" customHeight="1">
      <c r="A1301" s="10">
        <v>31200</v>
      </c>
      <c r="B1301" s="10">
        <v>35200</v>
      </c>
      <c r="C1301" s="10">
        <f t="shared" si="20"/>
        <v>41200</v>
      </c>
      <c r="D1301" s="10" t="s">
        <v>567</v>
      </c>
      <c r="E1301" s="26" t="s">
        <v>1661</v>
      </c>
      <c r="F1301" s="5" t="s">
        <v>619</v>
      </c>
      <c r="G1301" s="22"/>
    </row>
    <row r="1302" spans="1:7" ht="20.25" customHeight="1">
      <c r="A1302" s="10">
        <v>31201</v>
      </c>
      <c r="B1302" s="10">
        <v>35201</v>
      </c>
      <c r="C1302" s="10">
        <f t="shared" si="20"/>
        <v>31201</v>
      </c>
      <c r="D1302" s="10" t="s">
        <v>549</v>
      </c>
      <c r="E1302" s="7"/>
      <c r="F1302" s="5"/>
      <c r="G1302" s="22"/>
    </row>
    <row r="1303" spans="1:7" ht="20.25" customHeight="1">
      <c r="A1303" s="10">
        <v>31202</v>
      </c>
      <c r="B1303" s="10">
        <v>35202</v>
      </c>
      <c r="C1303" s="10">
        <f t="shared" si="20"/>
        <v>31202</v>
      </c>
      <c r="D1303" s="10" t="s">
        <v>549</v>
      </c>
      <c r="E1303" s="7" t="s">
        <v>1662</v>
      </c>
      <c r="F1303" s="5"/>
      <c r="G1303" s="22"/>
    </row>
    <row r="1304" spans="1:7" ht="20.25" customHeight="1">
      <c r="A1304" s="10">
        <v>31203</v>
      </c>
      <c r="B1304" s="10">
        <v>35203</v>
      </c>
      <c r="C1304" s="10">
        <f t="shared" si="20"/>
        <v>41203</v>
      </c>
      <c r="D1304" s="10" t="s">
        <v>567</v>
      </c>
      <c r="E1304" s="7" t="s">
        <v>1663</v>
      </c>
      <c r="F1304" s="5" t="s">
        <v>619</v>
      </c>
      <c r="G1304" s="22"/>
    </row>
    <row r="1305" spans="1:7" ht="20.25" customHeight="1">
      <c r="A1305" s="10">
        <v>31204</v>
      </c>
      <c r="B1305" s="10">
        <v>35204</v>
      </c>
      <c r="C1305" s="10">
        <f t="shared" si="20"/>
        <v>31204</v>
      </c>
      <c r="D1305" s="10" t="s">
        <v>567</v>
      </c>
      <c r="E1305" s="218"/>
      <c r="G1305" s="22"/>
    </row>
    <row r="1306" spans="1:7" ht="20.25" customHeight="1">
      <c r="A1306" s="10">
        <v>31205</v>
      </c>
      <c r="B1306" s="10">
        <v>35205</v>
      </c>
      <c r="C1306" s="10">
        <f t="shared" si="20"/>
        <v>31205</v>
      </c>
      <c r="D1306" s="102" t="s">
        <v>549</v>
      </c>
      <c r="E1306" s="1" t="s">
        <v>1664</v>
      </c>
      <c r="F1306" s="162"/>
      <c r="G1306" t="s">
        <v>1665</v>
      </c>
    </row>
    <row r="1307" spans="1:7" ht="20.25" customHeight="1">
      <c r="A1307" s="10">
        <v>31206</v>
      </c>
      <c r="B1307" s="10">
        <v>35206</v>
      </c>
      <c r="C1307" s="10">
        <f t="shared" si="20"/>
        <v>31206</v>
      </c>
      <c r="D1307" s="99" t="s">
        <v>549</v>
      </c>
      <c r="E1307" s="7"/>
      <c r="F1307" s="166"/>
      <c r="G1307" s="22"/>
    </row>
    <row r="1308" spans="1:7" ht="20.25" customHeight="1">
      <c r="A1308" s="10">
        <v>31207</v>
      </c>
      <c r="B1308" s="10">
        <v>35207</v>
      </c>
      <c r="C1308" s="10">
        <f t="shared" si="20"/>
        <v>31207</v>
      </c>
      <c r="D1308" s="99" t="s">
        <v>567</v>
      </c>
      <c r="E1308" s="7" t="s">
        <v>1666</v>
      </c>
      <c r="F1308" s="166"/>
      <c r="G1308" s="22"/>
    </row>
    <row r="1309" spans="1:7" ht="20.25" customHeight="1">
      <c r="A1309" s="10">
        <v>31208</v>
      </c>
      <c r="B1309" s="10">
        <v>35208</v>
      </c>
      <c r="C1309" s="10">
        <f t="shared" si="20"/>
        <v>31208</v>
      </c>
      <c r="D1309" s="99" t="s">
        <v>549</v>
      </c>
      <c r="E1309" s="7" t="s">
        <v>1667</v>
      </c>
      <c r="F1309" s="166"/>
      <c r="G1309" s="22" t="s">
        <v>1668</v>
      </c>
    </row>
    <row r="1310" spans="1:7" ht="20.25" customHeight="1">
      <c r="A1310" s="10">
        <v>31209</v>
      </c>
      <c r="B1310" s="10">
        <v>35209</v>
      </c>
      <c r="C1310" s="10">
        <f t="shared" si="20"/>
        <v>31209</v>
      </c>
      <c r="D1310" s="99" t="s">
        <v>549</v>
      </c>
      <c r="E1310" s="7" t="s">
        <v>1669</v>
      </c>
      <c r="F1310" s="166"/>
      <c r="G1310" s="22" t="s">
        <v>1668</v>
      </c>
    </row>
    <row r="1311" spans="1:7" ht="20.25" customHeight="1">
      <c r="A1311" s="10">
        <v>31210</v>
      </c>
      <c r="B1311" s="10">
        <v>35210</v>
      </c>
      <c r="C1311" s="10">
        <f t="shared" si="20"/>
        <v>31210</v>
      </c>
      <c r="D1311" s="99" t="s">
        <v>549</v>
      </c>
      <c r="E1311" s="7" t="s">
        <v>1670</v>
      </c>
      <c r="F1311" s="166"/>
      <c r="G1311" s="22" t="s">
        <v>1671</v>
      </c>
    </row>
    <row r="1312" spans="1:7" ht="20.25" customHeight="1">
      <c r="A1312" s="10">
        <v>31211</v>
      </c>
      <c r="B1312" s="10">
        <v>35211</v>
      </c>
      <c r="C1312" s="10">
        <f t="shared" si="20"/>
        <v>41211</v>
      </c>
      <c r="D1312" s="10" t="s">
        <v>567</v>
      </c>
      <c r="E1312" s="7" t="s">
        <v>1672</v>
      </c>
      <c r="F1312" s="5" t="s">
        <v>619</v>
      </c>
      <c r="G1312" s="22"/>
    </row>
    <row r="1313" spans="1:7" ht="20.25" customHeight="1">
      <c r="A1313" s="10">
        <v>31212</v>
      </c>
      <c r="B1313" s="10">
        <v>35212</v>
      </c>
      <c r="C1313" s="10">
        <f t="shared" si="20"/>
        <v>31212</v>
      </c>
      <c r="D1313" s="99" t="s">
        <v>549</v>
      </c>
      <c r="E1313" s="7" t="s">
        <v>1673</v>
      </c>
      <c r="F1313" s="166"/>
      <c r="G1313" s="22" t="s">
        <v>1674</v>
      </c>
    </row>
    <row r="1314" spans="1:7" ht="20.25" customHeight="1">
      <c r="A1314" s="10">
        <v>31213</v>
      </c>
      <c r="B1314" s="10">
        <v>35213</v>
      </c>
      <c r="C1314" s="10">
        <f t="shared" si="20"/>
        <v>31213</v>
      </c>
      <c r="D1314" s="99" t="s">
        <v>549</v>
      </c>
      <c r="E1314" s="7" t="s">
        <v>1675</v>
      </c>
      <c r="F1314" s="166"/>
      <c r="G1314" s="22"/>
    </row>
    <row r="1315" spans="1:7" ht="20.25" customHeight="1">
      <c r="A1315" s="10">
        <v>31214</v>
      </c>
      <c r="B1315" s="10">
        <v>35214</v>
      </c>
      <c r="C1315" s="10">
        <f t="shared" si="20"/>
        <v>31214</v>
      </c>
      <c r="D1315" s="99" t="s">
        <v>549</v>
      </c>
      <c r="E1315" s="7" t="s">
        <v>1676</v>
      </c>
      <c r="F1315" s="166"/>
      <c r="G1315" s="22"/>
    </row>
    <row r="1316" spans="1:7" ht="20.25" customHeight="1">
      <c r="A1316" s="10">
        <v>31215</v>
      </c>
      <c r="B1316" s="10">
        <v>35215</v>
      </c>
      <c r="C1316" s="10">
        <f t="shared" si="20"/>
        <v>31215</v>
      </c>
      <c r="D1316" s="10" t="s">
        <v>567</v>
      </c>
      <c r="E1316" s="7" t="s">
        <v>1677</v>
      </c>
      <c r="F1316" s="166"/>
      <c r="G1316" s="22"/>
    </row>
    <row r="1317" spans="1:7" ht="20.25" customHeight="1">
      <c r="A1317" s="10">
        <v>31216</v>
      </c>
      <c r="B1317" s="10">
        <v>35216</v>
      </c>
      <c r="C1317" s="10">
        <f t="shared" si="20"/>
        <v>31216</v>
      </c>
      <c r="D1317" s="99" t="s">
        <v>549</v>
      </c>
      <c r="E1317" s="7" t="s">
        <v>1678</v>
      </c>
      <c r="F1317" s="166"/>
      <c r="G1317" s="22" t="s">
        <v>1679</v>
      </c>
    </row>
    <row r="1318" spans="1:7" ht="20.25" customHeight="1">
      <c r="A1318" s="10">
        <v>31217</v>
      </c>
      <c r="B1318" s="10">
        <v>35217</v>
      </c>
      <c r="C1318" s="10">
        <f t="shared" si="20"/>
        <v>31217</v>
      </c>
      <c r="D1318" s="99" t="s">
        <v>549</v>
      </c>
      <c r="E1318" s="7" t="s">
        <v>1680</v>
      </c>
      <c r="F1318" s="166"/>
      <c r="G1318" s="22" t="s">
        <v>1679</v>
      </c>
    </row>
    <row r="1319" spans="1:7" ht="20.25" customHeight="1">
      <c r="A1319" s="10">
        <v>31218</v>
      </c>
      <c r="B1319" s="10">
        <v>35218</v>
      </c>
      <c r="C1319" s="10">
        <f t="shared" si="20"/>
        <v>31218</v>
      </c>
      <c r="D1319" s="99" t="s">
        <v>549</v>
      </c>
      <c r="E1319" s="7" t="s">
        <v>1681</v>
      </c>
      <c r="F1319" s="166"/>
      <c r="G1319" s="22" t="s">
        <v>1679</v>
      </c>
    </row>
    <row r="1320" spans="1:7" ht="20.25" customHeight="1">
      <c r="A1320" s="10">
        <v>31219</v>
      </c>
      <c r="B1320" s="10">
        <v>35219</v>
      </c>
      <c r="C1320" s="10">
        <f t="shared" si="20"/>
        <v>31219</v>
      </c>
      <c r="D1320" s="99" t="s">
        <v>549</v>
      </c>
      <c r="E1320" s="7" t="s">
        <v>1682</v>
      </c>
      <c r="F1320" s="166"/>
      <c r="G1320" s="9" t="s">
        <v>1683</v>
      </c>
    </row>
    <row r="1321" spans="1:7" ht="20.25" customHeight="1">
      <c r="A1321" s="10">
        <v>31220</v>
      </c>
      <c r="B1321" s="10">
        <v>35220</v>
      </c>
      <c r="C1321" s="10">
        <f t="shared" si="20"/>
        <v>31220</v>
      </c>
      <c r="D1321" s="99" t="s">
        <v>549</v>
      </c>
      <c r="E1321" s="7" t="s">
        <v>1684</v>
      </c>
      <c r="F1321" s="166"/>
      <c r="G1321" s="9" t="s">
        <v>1683</v>
      </c>
    </row>
    <row r="1322" spans="1:7" ht="20.25" customHeight="1">
      <c r="A1322" s="10">
        <v>31221</v>
      </c>
      <c r="B1322" s="10">
        <v>35221</v>
      </c>
      <c r="C1322" s="10">
        <f t="shared" si="20"/>
        <v>31221</v>
      </c>
      <c r="D1322" s="99" t="s">
        <v>549</v>
      </c>
      <c r="E1322" s="7" t="s">
        <v>1685</v>
      </c>
      <c r="F1322" s="166"/>
      <c r="G1322" s="9" t="s">
        <v>1683</v>
      </c>
    </row>
    <row r="1323" spans="1:7" ht="20.25" customHeight="1">
      <c r="A1323" s="10">
        <v>31222</v>
      </c>
      <c r="B1323" s="10">
        <v>35222</v>
      </c>
      <c r="C1323" s="10">
        <f t="shared" si="20"/>
        <v>31222</v>
      </c>
      <c r="D1323" s="99" t="s">
        <v>549</v>
      </c>
      <c r="E1323" s="7" t="s">
        <v>1686</v>
      </c>
      <c r="F1323" s="166"/>
      <c r="G1323" s="22" t="s">
        <v>1687</v>
      </c>
    </row>
    <row r="1324" spans="1:7" ht="20.25" customHeight="1">
      <c r="A1324" s="10">
        <v>31223</v>
      </c>
      <c r="B1324" s="10">
        <v>35223</v>
      </c>
      <c r="C1324" s="10">
        <f t="shared" si="20"/>
        <v>31223</v>
      </c>
      <c r="D1324" s="99" t="s">
        <v>549</v>
      </c>
      <c r="E1324" s="7" t="s">
        <v>1688</v>
      </c>
      <c r="F1324" s="166"/>
      <c r="G1324" s="22" t="s">
        <v>1689</v>
      </c>
    </row>
    <row r="1325" spans="1:7" ht="20.25" customHeight="1">
      <c r="A1325" s="10">
        <v>31224</v>
      </c>
      <c r="B1325" s="10">
        <v>35224</v>
      </c>
      <c r="C1325" s="10">
        <f t="shared" si="20"/>
        <v>31224</v>
      </c>
      <c r="D1325" s="99" t="s">
        <v>549</v>
      </c>
      <c r="E1325" s="7" t="s">
        <v>1690</v>
      </c>
      <c r="F1325" s="166"/>
      <c r="G1325" s="22" t="s">
        <v>1689</v>
      </c>
    </row>
    <row r="1326" spans="1:7" ht="20.25" customHeight="1">
      <c r="A1326" s="10">
        <v>31225</v>
      </c>
      <c r="B1326" s="10">
        <v>35225</v>
      </c>
      <c r="C1326" s="10">
        <f t="shared" si="20"/>
        <v>31225</v>
      </c>
      <c r="D1326" s="99" t="s">
        <v>549</v>
      </c>
      <c r="E1326" s="7"/>
      <c r="F1326" s="109"/>
      <c r="G1326" s="22"/>
    </row>
    <row r="1327" spans="1:7" ht="20.25" customHeight="1">
      <c r="A1327" s="10">
        <v>31226</v>
      </c>
      <c r="B1327" s="10">
        <v>35226</v>
      </c>
      <c r="C1327" s="10">
        <f t="shared" si="20"/>
        <v>31226</v>
      </c>
      <c r="D1327" s="10" t="s">
        <v>549</v>
      </c>
      <c r="E1327" s="7"/>
      <c r="F1327" s="109"/>
      <c r="G1327" s="22"/>
    </row>
    <row r="1328" spans="1:7" ht="20.25" customHeight="1">
      <c r="A1328" s="10">
        <v>31227</v>
      </c>
      <c r="B1328" s="10">
        <v>35227</v>
      </c>
      <c r="C1328" s="10">
        <f t="shared" si="20"/>
        <v>31227</v>
      </c>
      <c r="D1328" s="99" t="s">
        <v>549</v>
      </c>
      <c r="E1328" s="7" t="s">
        <v>1691</v>
      </c>
      <c r="F1328" s="166"/>
      <c r="G1328" s="22" t="s">
        <v>1692</v>
      </c>
    </row>
    <row r="1329" spans="1:7" ht="20.25" customHeight="1">
      <c r="A1329" s="10">
        <v>31228</v>
      </c>
      <c r="B1329" s="10">
        <v>35228</v>
      </c>
      <c r="C1329" s="10">
        <f t="shared" si="20"/>
        <v>31228</v>
      </c>
      <c r="D1329" s="99" t="s">
        <v>549</v>
      </c>
      <c r="E1329" s="7" t="s">
        <v>1693</v>
      </c>
      <c r="F1329" s="166"/>
      <c r="G1329" s="22" t="s">
        <v>1692</v>
      </c>
    </row>
    <row r="1330" spans="1:7" ht="20.25" customHeight="1">
      <c r="A1330" s="10">
        <v>31229</v>
      </c>
      <c r="B1330" s="10">
        <v>35229</v>
      </c>
      <c r="C1330" s="10">
        <f t="shared" si="20"/>
        <v>31229</v>
      </c>
      <c r="D1330" s="99" t="s">
        <v>567</v>
      </c>
      <c r="E1330" s="7"/>
      <c r="F1330" s="5"/>
      <c r="G1330" s="22"/>
    </row>
    <row r="1331" spans="1:7" ht="20.25" customHeight="1">
      <c r="A1331" s="10">
        <v>31230</v>
      </c>
      <c r="B1331" s="10">
        <v>35230</v>
      </c>
      <c r="C1331" s="10">
        <f t="shared" si="20"/>
        <v>31230</v>
      </c>
      <c r="D1331" s="99" t="s">
        <v>567</v>
      </c>
      <c r="E1331" s="7" t="s">
        <v>1694</v>
      </c>
      <c r="F1331" s="166"/>
      <c r="G1331" s="22"/>
    </row>
    <row r="1332" spans="1:7" ht="20.25" customHeight="1">
      <c r="A1332" s="10">
        <v>31231</v>
      </c>
      <c r="B1332" s="10">
        <v>35231</v>
      </c>
      <c r="C1332" s="10">
        <f t="shared" si="20"/>
        <v>31231</v>
      </c>
      <c r="D1332" s="99" t="s">
        <v>567</v>
      </c>
      <c r="E1332" s="7" t="s">
        <v>1695</v>
      </c>
      <c r="F1332" s="166"/>
      <c r="G1332" s="22"/>
    </row>
    <row r="1333" spans="1:7" ht="20.25" customHeight="1">
      <c r="A1333" s="10">
        <v>31232</v>
      </c>
      <c r="B1333" s="10">
        <v>35232</v>
      </c>
      <c r="C1333" s="10">
        <f t="shared" si="20"/>
        <v>31232</v>
      </c>
      <c r="D1333" s="99" t="s">
        <v>549</v>
      </c>
      <c r="E1333" s="7" t="s">
        <v>1696</v>
      </c>
      <c r="F1333" s="166"/>
      <c r="G1333" s="22" t="s">
        <v>1668</v>
      </c>
    </row>
    <row r="1334" spans="1:7" ht="20.25" customHeight="1">
      <c r="A1334" s="10">
        <v>31233</v>
      </c>
      <c r="B1334" s="10">
        <v>35233</v>
      </c>
      <c r="C1334" s="10">
        <f t="shared" si="20"/>
        <v>41233</v>
      </c>
      <c r="D1334" s="10" t="s">
        <v>567</v>
      </c>
      <c r="E1334" s="7" t="s">
        <v>1697</v>
      </c>
      <c r="F1334" s="5" t="s">
        <v>619</v>
      </c>
      <c r="G1334" s="22"/>
    </row>
    <row r="1335" spans="1:7" ht="20.25" customHeight="1">
      <c r="A1335" s="10">
        <v>31234</v>
      </c>
      <c r="B1335" s="10">
        <v>35234</v>
      </c>
      <c r="C1335" s="10">
        <f t="shared" si="20"/>
        <v>31234</v>
      </c>
      <c r="D1335" s="99" t="s">
        <v>549</v>
      </c>
      <c r="E1335" s="7" t="s">
        <v>1698</v>
      </c>
      <c r="F1335" s="166"/>
      <c r="G1335" s="22" t="s">
        <v>1668</v>
      </c>
    </row>
    <row r="1336" spans="1:7" ht="20.25" customHeight="1">
      <c r="A1336" s="10">
        <v>31235</v>
      </c>
      <c r="B1336" s="10">
        <v>35235</v>
      </c>
      <c r="C1336" s="10">
        <f t="shared" si="20"/>
        <v>31235</v>
      </c>
      <c r="D1336" s="99" t="s">
        <v>549</v>
      </c>
      <c r="E1336" s="7" t="s">
        <v>1699</v>
      </c>
      <c r="F1336" s="166"/>
      <c r="G1336" s="22" t="s">
        <v>1700</v>
      </c>
    </row>
    <row r="1337" spans="1:7" ht="20.25" customHeight="1">
      <c r="A1337" s="10">
        <v>31236</v>
      </c>
      <c r="B1337" s="10">
        <v>35236</v>
      </c>
      <c r="C1337" s="10">
        <f t="shared" si="20"/>
        <v>31236</v>
      </c>
      <c r="D1337" s="99" t="s">
        <v>549</v>
      </c>
      <c r="E1337" s="7" t="s">
        <v>1701</v>
      </c>
      <c r="F1337" s="166"/>
      <c r="G1337" s="22" t="s">
        <v>1700</v>
      </c>
    </row>
    <row r="1338" spans="1:7" ht="20.25" customHeight="1">
      <c r="A1338" s="10">
        <v>31237</v>
      </c>
      <c r="B1338" s="10">
        <v>35237</v>
      </c>
      <c r="C1338" s="10">
        <f t="shared" si="20"/>
        <v>31237</v>
      </c>
      <c r="D1338" s="99" t="s">
        <v>549</v>
      </c>
      <c r="E1338" s="7" t="s">
        <v>1702</v>
      </c>
      <c r="F1338" s="166"/>
      <c r="G1338" s="22" t="s">
        <v>1700</v>
      </c>
    </row>
    <row r="1339" spans="1:7" ht="20.25" customHeight="1">
      <c r="A1339" s="10">
        <v>31238</v>
      </c>
      <c r="B1339" s="10">
        <v>35238</v>
      </c>
      <c r="C1339" s="10">
        <f t="shared" si="20"/>
        <v>31238</v>
      </c>
      <c r="D1339" s="99" t="s">
        <v>549</v>
      </c>
      <c r="E1339" s="7" t="s">
        <v>1703</v>
      </c>
      <c r="F1339" s="166"/>
      <c r="G1339" s="22" t="s">
        <v>1700</v>
      </c>
    </row>
    <row r="1340" spans="1:7" ht="20.25" customHeight="1">
      <c r="A1340" s="10">
        <v>31239</v>
      </c>
      <c r="B1340" s="10">
        <v>35239</v>
      </c>
      <c r="C1340" s="10">
        <f t="shared" si="20"/>
        <v>31239</v>
      </c>
      <c r="D1340" s="99" t="s">
        <v>549</v>
      </c>
      <c r="E1340" s="7" t="s">
        <v>1704</v>
      </c>
      <c r="F1340" s="166"/>
      <c r="G1340" s="22" t="s">
        <v>1705</v>
      </c>
    </row>
    <row r="1341" spans="1:7" ht="20.25" customHeight="1">
      <c r="A1341" s="10">
        <v>31240</v>
      </c>
      <c r="B1341" s="10">
        <v>35240</v>
      </c>
      <c r="C1341" s="10">
        <f t="shared" si="20"/>
        <v>31240</v>
      </c>
      <c r="D1341" s="99" t="s">
        <v>549</v>
      </c>
      <c r="E1341" s="7" t="s">
        <v>1706</v>
      </c>
      <c r="F1341" s="166"/>
      <c r="G1341" s="22" t="s">
        <v>1705</v>
      </c>
    </row>
    <row r="1342" spans="1:7" ht="20.25" customHeight="1">
      <c r="A1342" s="10">
        <v>31241</v>
      </c>
      <c r="B1342" s="10">
        <v>35241</v>
      </c>
      <c r="C1342" s="10">
        <f t="shared" si="20"/>
        <v>31241</v>
      </c>
      <c r="D1342" s="99" t="s">
        <v>549</v>
      </c>
      <c r="E1342" s="7" t="s">
        <v>1707</v>
      </c>
      <c r="F1342" s="166"/>
      <c r="G1342" s="22" t="s">
        <v>1708</v>
      </c>
    </row>
    <row r="1343" spans="1:7" ht="20.25" customHeight="1">
      <c r="A1343" s="10">
        <v>31242</v>
      </c>
      <c r="B1343" s="10">
        <v>35242</v>
      </c>
      <c r="C1343" s="10">
        <f t="shared" si="20"/>
        <v>31242</v>
      </c>
      <c r="D1343" s="99" t="s">
        <v>549</v>
      </c>
      <c r="E1343" s="7" t="s">
        <v>1709</v>
      </c>
      <c r="F1343" s="166"/>
      <c r="G1343" s="22" t="s">
        <v>1708</v>
      </c>
    </row>
    <row r="1344" spans="1:7" ht="20.25" customHeight="1">
      <c r="A1344" s="10">
        <v>31243</v>
      </c>
      <c r="B1344" s="10">
        <v>35243</v>
      </c>
      <c r="C1344" s="10">
        <f t="shared" si="20"/>
        <v>31243</v>
      </c>
      <c r="D1344" s="99" t="s">
        <v>549</v>
      </c>
      <c r="E1344" s="7" t="s">
        <v>1710</v>
      </c>
      <c r="F1344" s="166"/>
      <c r="G1344" s="22" t="s">
        <v>1711</v>
      </c>
    </row>
    <row r="1345" spans="1:7" ht="20.25" customHeight="1">
      <c r="A1345" s="10">
        <v>31244</v>
      </c>
      <c r="B1345" s="10">
        <v>35244</v>
      </c>
      <c r="C1345" s="10">
        <f t="shared" si="20"/>
        <v>31244</v>
      </c>
      <c r="D1345" s="99" t="s">
        <v>549</v>
      </c>
      <c r="E1345" s="7" t="s">
        <v>1712</v>
      </c>
      <c r="F1345" s="166"/>
      <c r="G1345" s="22" t="s">
        <v>1711</v>
      </c>
    </row>
    <row r="1346" spans="1:7" ht="20.25" customHeight="1">
      <c r="A1346" s="10">
        <v>31245</v>
      </c>
      <c r="B1346" s="10">
        <v>35245</v>
      </c>
      <c r="C1346" s="10">
        <f t="shared" si="20"/>
        <v>31245</v>
      </c>
      <c r="D1346" s="99" t="s">
        <v>549</v>
      </c>
      <c r="E1346" s="7" t="s">
        <v>1713</v>
      </c>
      <c r="F1346" s="166"/>
      <c r="G1346" s="22"/>
    </row>
    <row r="1347" spans="1:7" ht="20.25" customHeight="1">
      <c r="A1347" s="10">
        <v>31246</v>
      </c>
      <c r="B1347" s="10">
        <v>35246</v>
      </c>
      <c r="C1347" s="10">
        <f t="shared" si="20"/>
        <v>31246</v>
      </c>
      <c r="D1347" s="99" t="s">
        <v>549</v>
      </c>
      <c r="E1347" s="7" t="s">
        <v>1714</v>
      </c>
      <c r="F1347" s="166"/>
      <c r="G1347" s="22" t="s">
        <v>1715</v>
      </c>
    </row>
    <row r="1348" spans="1:7" ht="20.25" customHeight="1">
      <c r="A1348" s="10">
        <v>31247</v>
      </c>
      <c r="B1348" s="10">
        <v>35247</v>
      </c>
      <c r="C1348" s="10">
        <f t="shared" si="20"/>
        <v>31247</v>
      </c>
      <c r="D1348" s="99" t="s">
        <v>549</v>
      </c>
      <c r="E1348" s="7" t="s">
        <v>1716</v>
      </c>
      <c r="F1348" s="166"/>
      <c r="G1348" s="22" t="s">
        <v>1715</v>
      </c>
    </row>
    <row r="1349" spans="1:7" ht="20.25" customHeight="1">
      <c r="A1349" s="10">
        <v>31248</v>
      </c>
      <c r="B1349" s="10">
        <v>35248</v>
      </c>
      <c r="C1349" s="10">
        <f t="shared" ref="C1349:C1412" si="21">IF(ISERROR(FIND("B_Epic",E1349)),A1349,A1349+10000)</f>
        <v>31248</v>
      </c>
      <c r="D1349" s="99" t="s">
        <v>549</v>
      </c>
      <c r="E1349" s="7" t="s">
        <v>1717</v>
      </c>
      <c r="F1349" s="166"/>
      <c r="G1349" s="22" t="s">
        <v>1715</v>
      </c>
    </row>
    <row r="1350" spans="1:7" ht="20.25" customHeight="1">
      <c r="A1350" s="10">
        <v>31249</v>
      </c>
      <c r="B1350" s="10">
        <v>35249</v>
      </c>
      <c r="C1350" s="10">
        <f t="shared" si="21"/>
        <v>31249</v>
      </c>
      <c r="D1350" s="10" t="s">
        <v>567</v>
      </c>
      <c r="E1350" s="7" t="s">
        <v>1718</v>
      </c>
      <c r="F1350" s="166"/>
      <c r="G1350" s="22"/>
    </row>
    <row r="1351" spans="1:7" ht="20.25" customHeight="1">
      <c r="A1351" s="10">
        <v>31250</v>
      </c>
      <c r="B1351" s="10">
        <v>35250</v>
      </c>
      <c r="C1351" s="10">
        <f t="shared" si="21"/>
        <v>31250</v>
      </c>
      <c r="D1351" s="10" t="s">
        <v>567</v>
      </c>
      <c r="E1351" s="7" t="s">
        <v>1719</v>
      </c>
      <c r="F1351" s="166"/>
      <c r="G1351" s="22"/>
    </row>
    <row r="1352" spans="1:7" ht="20.25" customHeight="1">
      <c r="A1352" s="10">
        <v>31251</v>
      </c>
      <c r="B1352" s="10">
        <v>35251</v>
      </c>
      <c r="C1352" s="10">
        <f t="shared" si="21"/>
        <v>31251</v>
      </c>
      <c r="D1352" s="99" t="s">
        <v>549</v>
      </c>
      <c r="E1352" s="7" t="s">
        <v>1720</v>
      </c>
      <c r="F1352" s="166"/>
      <c r="G1352" s="22"/>
    </row>
    <row r="1353" spans="1:7" ht="20.25" customHeight="1">
      <c r="A1353" s="10">
        <v>31252</v>
      </c>
      <c r="B1353" s="10">
        <v>35252</v>
      </c>
      <c r="C1353" s="10">
        <f t="shared" si="21"/>
        <v>31252</v>
      </c>
      <c r="D1353" s="99" t="s">
        <v>549</v>
      </c>
      <c r="E1353" s="7" t="s">
        <v>1721</v>
      </c>
      <c r="F1353" s="166"/>
      <c r="G1353" s="22"/>
    </row>
    <row r="1354" spans="1:7" ht="20.25" customHeight="1">
      <c r="A1354" s="10">
        <v>31253</v>
      </c>
      <c r="B1354" s="10">
        <v>35253</v>
      </c>
      <c r="C1354" s="10">
        <f t="shared" si="21"/>
        <v>31253</v>
      </c>
      <c r="D1354" s="99" t="s">
        <v>549</v>
      </c>
      <c r="E1354" s="7" t="s">
        <v>1722</v>
      </c>
      <c r="F1354" s="166"/>
      <c r="G1354" s="22"/>
    </row>
    <row r="1355" spans="1:7" ht="20.25" customHeight="1">
      <c r="A1355" s="10">
        <v>31254</v>
      </c>
      <c r="B1355" s="10">
        <v>35254</v>
      </c>
      <c r="C1355" s="10">
        <f t="shared" si="21"/>
        <v>31254</v>
      </c>
      <c r="D1355" s="99" t="s">
        <v>549</v>
      </c>
      <c r="E1355" s="7" t="s">
        <v>1723</v>
      </c>
      <c r="F1355" s="166"/>
      <c r="G1355" s="22"/>
    </row>
    <row r="1356" spans="1:7" ht="20.25" customHeight="1">
      <c r="A1356" s="10">
        <v>31255</v>
      </c>
      <c r="B1356" s="10">
        <v>35255</v>
      </c>
      <c r="C1356" s="10">
        <f t="shared" si="21"/>
        <v>31255</v>
      </c>
      <c r="D1356" s="99" t="s">
        <v>549</v>
      </c>
      <c r="E1356" s="7" t="s">
        <v>1724</v>
      </c>
      <c r="F1356" s="166"/>
      <c r="G1356" s="22"/>
    </row>
    <row r="1357" spans="1:7" ht="20.25" customHeight="1">
      <c r="A1357" s="10">
        <v>31256</v>
      </c>
      <c r="B1357" s="10">
        <v>35256</v>
      </c>
      <c r="C1357" s="10">
        <f t="shared" si="21"/>
        <v>31256</v>
      </c>
      <c r="D1357" s="99" t="s">
        <v>549</v>
      </c>
      <c r="E1357" s="7" t="s">
        <v>1725</v>
      </c>
      <c r="F1357" s="166"/>
      <c r="G1357" s="22"/>
    </row>
    <row r="1358" spans="1:7" ht="20.25" customHeight="1">
      <c r="A1358" s="10">
        <v>31257</v>
      </c>
      <c r="B1358" s="10">
        <v>35257</v>
      </c>
      <c r="C1358" s="10">
        <f t="shared" si="21"/>
        <v>31257</v>
      </c>
      <c r="D1358" s="99" t="s">
        <v>549</v>
      </c>
      <c r="E1358" s="7" t="s">
        <v>1726</v>
      </c>
      <c r="F1358" s="166"/>
      <c r="G1358" s="22"/>
    </row>
    <row r="1359" spans="1:7" ht="20.25" customHeight="1">
      <c r="A1359" s="10">
        <v>31258</v>
      </c>
      <c r="B1359" s="10">
        <v>35258</v>
      </c>
      <c r="C1359" s="10">
        <f t="shared" si="21"/>
        <v>31258</v>
      </c>
      <c r="D1359" s="10" t="s">
        <v>567</v>
      </c>
      <c r="E1359" s="7" t="s">
        <v>1727</v>
      </c>
      <c r="F1359" s="166"/>
      <c r="G1359" s="22"/>
    </row>
    <row r="1360" spans="1:7" ht="20.25" customHeight="1">
      <c r="A1360" s="10">
        <v>31259</v>
      </c>
      <c r="B1360" s="10">
        <v>35259</v>
      </c>
      <c r="C1360" s="10">
        <f t="shared" si="21"/>
        <v>31259</v>
      </c>
      <c r="D1360" s="10" t="s">
        <v>567</v>
      </c>
      <c r="E1360" s="7" t="s">
        <v>1728</v>
      </c>
      <c r="F1360" s="166"/>
      <c r="G1360" s="22"/>
    </row>
    <row r="1361" spans="1:7" ht="20.25" customHeight="1">
      <c r="A1361" s="10">
        <v>31260</v>
      </c>
      <c r="B1361" s="10">
        <v>35260</v>
      </c>
      <c r="C1361" s="10">
        <f t="shared" si="21"/>
        <v>31260</v>
      </c>
      <c r="D1361" s="99" t="s">
        <v>549</v>
      </c>
      <c r="E1361" s="7" t="s">
        <v>1729</v>
      </c>
      <c r="F1361" s="166"/>
      <c r="G1361" s="22" t="s">
        <v>1730</v>
      </c>
    </row>
    <row r="1362" spans="1:7" ht="20.25" customHeight="1">
      <c r="A1362" s="10">
        <v>31261</v>
      </c>
      <c r="B1362" s="10">
        <v>35261</v>
      </c>
      <c r="C1362" s="10">
        <f t="shared" si="21"/>
        <v>31261</v>
      </c>
      <c r="D1362" s="99" t="s">
        <v>549</v>
      </c>
      <c r="E1362" s="7" t="s">
        <v>1731</v>
      </c>
      <c r="F1362" s="166"/>
      <c r="G1362" s="22" t="s">
        <v>1730</v>
      </c>
    </row>
    <row r="1363" spans="1:7" ht="20.25" customHeight="1">
      <c r="A1363" s="10">
        <v>31262</v>
      </c>
      <c r="B1363" s="10">
        <v>35262</v>
      </c>
      <c r="C1363" s="10">
        <f t="shared" si="21"/>
        <v>31262</v>
      </c>
      <c r="D1363" s="99" t="s">
        <v>549</v>
      </c>
      <c r="E1363" s="7" t="s">
        <v>1732</v>
      </c>
      <c r="F1363" s="166"/>
      <c r="G1363" s="22" t="s">
        <v>1730</v>
      </c>
    </row>
    <row r="1364" spans="1:7" ht="20.25" customHeight="1">
      <c r="A1364" s="10">
        <v>31263</v>
      </c>
      <c r="B1364" s="10">
        <v>35263</v>
      </c>
      <c r="C1364" s="10">
        <f t="shared" si="21"/>
        <v>41263</v>
      </c>
      <c r="D1364" s="10" t="s">
        <v>567</v>
      </c>
      <c r="E1364" s="7" t="s">
        <v>1733</v>
      </c>
      <c r="F1364" s="5" t="s">
        <v>619</v>
      </c>
      <c r="G1364" s="22"/>
    </row>
    <row r="1365" spans="1:7" ht="20.25" customHeight="1">
      <c r="A1365" s="10">
        <v>31264</v>
      </c>
      <c r="B1365" s="10">
        <v>35264</v>
      </c>
      <c r="C1365" s="10">
        <f t="shared" si="21"/>
        <v>31264</v>
      </c>
      <c r="D1365" s="99" t="s">
        <v>549</v>
      </c>
      <c r="E1365" s="7" t="s">
        <v>1734</v>
      </c>
      <c r="F1365" s="166"/>
      <c r="G1365" s="22"/>
    </row>
    <row r="1366" spans="1:7" ht="20.25" customHeight="1">
      <c r="A1366" s="10">
        <v>31265</v>
      </c>
      <c r="B1366" s="10">
        <v>35265</v>
      </c>
      <c r="C1366" s="10">
        <f t="shared" si="21"/>
        <v>31265</v>
      </c>
      <c r="D1366" s="99" t="s">
        <v>549</v>
      </c>
      <c r="E1366" s="7" t="s">
        <v>1735</v>
      </c>
      <c r="F1366" s="166"/>
      <c r="G1366" s="22"/>
    </row>
    <row r="1367" spans="1:7" ht="20.25" customHeight="1">
      <c r="A1367" s="10">
        <v>31266</v>
      </c>
      <c r="B1367" s="10">
        <v>35266</v>
      </c>
      <c r="C1367" s="10">
        <f t="shared" si="21"/>
        <v>31266</v>
      </c>
      <c r="D1367" s="10" t="s">
        <v>567</v>
      </c>
      <c r="E1367" s="7"/>
      <c r="G1367" s="22"/>
    </row>
    <row r="1368" spans="1:7" ht="20.25" customHeight="1">
      <c r="A1368" s="10">
        <v>31267</v>
      </c>
      <c r="B1368" s="10">
        <v>35267</v>
      </c>
      <c r="C1368" s="10">
        <f t="shared" si="21"/>
        <v>31267</v>
      </c>
      <c r="D1368" s="99" t="s">
        <v>549</v>
      </c>
      <c r="E1368" s="7" t="s">
        <v>1736</v>
      </c>
      <c r="F1368" s="166"/>
      <c r="G1368" s="22" t="s">
        <v>1737</v>
      </c>
    </row>
    <row r="1369" spans="1:7" ht="20.25" customHeight="1">
      <c r="A1369" s="10">
        <v>31268</v>
      </c>
      <c r="B1369" s="10">
        <v>35268</v>
      </c>
      <c r="C1369" s="10">
        <f t="shared" si="21"/>
        <v>31268</v>
      </c>
      <c r="D1369" s="99" t="s">
        <v>549</v>
      </c>
      <c r="E1369" s="7" t="s">
        <v>1738</v>
      </c>
      <c r="F1369" s="166"/>
      <c r="G1369" s="22" t="s">
        <v>1711</v>
      </c>
    </row>
    <row r="1370" spans="1:7" ht="20.25" customHeight="1">
      <c r="A1370" s="10">
        <v>31269</v>
      </c>
      <c r="B1370" s="10">
        <v>35269</v>
      </c>
      <c r="C1370" s="10">
        <f t="shared" si="21"/>
        <v>31269</v>
      </c>
      <c r="D1370" s="99" t="s">
        <v>549</v>
      </c>
      <c r="E1370" s="7" t="s">
        <v>1739</v>
      </c>
      <c r="F1370" s="166"/>
      <c r="G1370" s="22" t="s">
        <v>1711</v>
      </c>
    </row>
    <row r="1371" spans="1:7" ht="20.25" customHeight="1">
      <c r="A1371" s="10">
        <v>31270</v>
      </c>
      <c r="B1371" s="10">
        <v>35270</v>
      </c>
      <c r="C1371" s="10">
        <f t="shared" si="21"/>
        <v>31270</v>
      </c>
      <c r="D1371" s="99" t="s">
        <v>549</v>
      </c>
      <c r="E1371" s="7" t="s">
        <v>1740</v>
      </c>
      <c r="F1371" s="166"/>
      <c r="G1371" s="22"/>
    </row>
    <row r="1372" spans="1:7" ht="20.25" customHeight="1">
      <c r="A1372" s="10">
        <v>31271</v>
      </c>
      <c r="B1372" s="10">
        <v>35271</v>
      </c>
      <c r="C1372" s="10">
        <f t="shared" si="21"/>
        <v>31271</v>
      </c>
      <c r="D1372" s="99" t="s">
        <v>549</v>
      </c>
      <c r="E1372" s="7" t="s">
        <v>1741</v>
      </c>
      <c r="F1372" s="166"/>
      <c r="G1372" s="22"/>
    </row>
    <row r="1373" spans="1:7" ht="20.25" customHeight="1">
      <c r="A1373" s="10">
        <v>31272</v>
      </c>
      <c r="B1373" s="10">
        <v>35272</v>
      </c>
      <c r="C1373" s="10">
        <f t="shared" si="21"/>
        <v>31272</v>
      </c>
      <c r="D1373" s="99" t="s">
        <v>549</v>
      </c>
      <c r="E1373" s="7" t="s">
        <v>1742</v>
      </c>
      <c r="F1373" s="166"/>
      <c r="G1373" s="22"/>
    </row>
    <row r="1374" spans="1:7" ht="20.25" customHeight="1">
      <c r="A1374" s="10">
        <v>31273</v>
      </c>
      <c r="B1374" s="10">
        <v>35273</v>
      </c>
      <c r="C1374" s="10">
        <f t="shared" si="21"/>
        <v>31273</v>
      </c>
      <c r="D1374" s="99" t="s">
        <v>549</v>
      </c>
      <c r="E1374" s="7" t="s">
        <v>1743</v>
      </c>
      <c r="F1374" s="166"/>
      <c r="G1374" s="22"/>
    </row>
    <row r="1375" spans="1:7" ht="20.25" customHeight="1">
      <c r="A1375" s="10">
        <v>31274</v>
      </c>
      <c r="B1375" s="10">
        <v>35274</v>
      </c>
      <c r="C1375" s="10">
        <f t="shared" si="21"/>
        <v>31274</v>
      </c>
      <c r="D1375" s="99" t="s">
        <v>549</v>
      </c>
      <c r="E1375" s="7" t="s">
        <v>1744</v>
      </c>
      <c r="F1375" s="166"/>
      <c r="G1375" s="22"/>
    </row>
    <row r="1376" spans="1:7" ht="20.25" customHeight="1">
      <c r="A1376" s="10">
        <v>31275</v>
      </c>
      <c r="B1376" s="10">
        <v>35275</v>
      </c>
      <c r="C1376" s="10">
        <f t="shared" si="21"/>
        <v>31275</v>
      </c>
      <c r="D1376" s="99" t="s">
        <v>549</v>
      </c>
      <c r="E1376" s="7" t="s">
        <v>1745</v>
      </c>
      <c r="F1376" s="166"/>
      <c r="G1376" s="22"/>
    </row>
    <row r="1377" spans="1:7" ht="20.25" customHeight="1">
      <c r="A1377" s="10">
        <v>31276</v>
      </c>
      <c r="B1377" s="10">
        <v>35276</v>
      </c>
      <c r="C1377" s="10">
        <f t="shared" si="21"/>
        <v>31276</v>
      </c>
      <c r="D1377" s="99" t="s">
        <v>549</v>
      </c>
      <c r="E1377" s="7" t="s">
        <v>1746</v>
      </c>
      <c r="F1377" s="166"/>
      <c r="G1377" s="22"/>
    </row>
    <row r="1378" spans="1:7" ht="20.25" customHeight="1">
      <c r="A1378" s="10">
        <v>31277</v>
      </c>
      <c r="B1378" s="10">
        <v>35277</v>
      </c>
      <c r="C1378" s="10">
        <f t="shared" si="21"/>
        <v>31277</v>
      </c>
      <c r="D1378" s="99" t="s">
        <v>549</v>
      </c>
      <c r="E1378" s="7" t="s">
        <v>1747</v>
      </c>
      <c r="F1378" s="166"/>
      <c r="G1378" s="22" t="s">
        <v>1711</v>
      </c>
    </row>
    <row r="1379" spans="1:7" ht="20.25" customHeight="1">
      <c r="A1379" s="10">
        <v>31278</v>
      </c>
      <c r="B1379" s="10">
        <v>35278</v>
      </c>
      <c r="C1379" s="10">
        <f t="shared" si="21"/>
        <v>31278</v>
      </c>
      <c r="D1379" s="99" t="s">
        <v>549</v>
      </c>
      <c r="E1379" s="7" t="s">
        <v>1748</v>
      </c>
      <c r="F1379" s="166"/>
      <c r="G1379" s="22"/>
    </row>
    <row r="1380" spans="1:7" ht="20.25" customHeight="1">
      <c r="A1380" s="10">
        <v>31279</v>
      </c>
      <c r="B1380" s="10">
        <v>35279</v>
      </c>
      <c r="C1380" s="10">
        <f t="shared" si="21"/>
        <v>31279</v>
      </c>
      <c r="D1380" s="99" t="s">
        <v>549</v>
      </c>
      <c r="E1380" s="7" t="s">
        <v>1749</v>
      </c>
      <c r="F1380" s="166"/>
      <c r="G1380" s="22"/>
    </row>
    <row r="1381" spans="1:7" ht="20.25" customHeight="1">
      <c r="A1381" s="10">
        <v>31280</v>
      </c>
      <c r="B1381" s="10">
        <v>35280</v>
      </c>
      <c r="C1381" s="10">
        <f t="shared" si="21"/>
        <v>31280</v>
      </c>
      <c r="D1381" s="99" t="s">
        <v>549</v>
      </c>
      <c r="E1381" s="7" t="s">
        <v>1750</v>
      </c>
      <c r="F1381" s="166"/>
      <c r="G1381" s="22"/>
    </row>
    <row r="1382" spans="1:7" ht="20.25" customHeight="1">
      <c r="A1382" s="10">
        <v>31281</v>
      </c>
      <c r="B1382" s="10">
        <v>35281</v>
      </c>
      <c r="C1382" s="10">
        <f t="shared" si="21"/>
        <v>31281</v>
      </c>
      <c r="D1382" s="99" t="s">
        <v>549</v>
      </c>
      <c r="E1382" s="7" t="s">
        <v>1751</v>
      </c>
      <c r="F1382" s="166"/>
      <c r="G1382" s="22"/>
    </row>
    <row r="1383" spans="1:7" ht="20.25" customHeight="1">
      <c r="A1383" s="10">
        <v>31282</v>
      </c>
      <c r="B1383" s="10">
        <v>35282</v>
      </c>
      <c r="C1383" s="10">
        <f t="shared" si="21"/>
        <v>31282</v>
      </c>
      <c r="D1383" s="99" t="s">
        <v>549</v>
      </c>
      <c r="E1383" s="7" t="s">
        <v>1752</v>
      </c>
      <c r="F1383" s="166"/>
      <c r="G1383" s="22"/>
    </row>
    <row r="1384" spans="1:7" ht="20.25" customHeight="1">
      <c r="A1384" s="10">
        <v>31283</v>
      </c>
      <c r="B1384" s="10">
        <v>35283</v>
      </c>
      <c r="C1384" s="10">
        <f t="shared" si="21"/>
        <v>31283</v>
      </c>
      <c r="D1384" s="99" t="s">
        <v>549</v>
      </c>
      <c r="E1384" s="7" t="s">
        <v>1753</v>
      </c>
      <c r="F1384" s="166"/>
      <c r="G1384" s="22"/>
    </row>
    <row r="1385" spans="1:7" ht="20.25" customHeight="1">
      <c r="A1385" s="10">
        <v>31284</v>
      </c>
      <c r="B1385" s="10">
        <v>35284</v>
      </c>
      <c r="C1385" s="10">
        <f t="shared" si="21"/>
        <v>31284</v>
      </c>
      <c r="D1385" s="99" t="s">
        <v>549</v>
      </c>
      <c r="E1385" s="7" t="s">
        <v>1754</v>
      </c>
      <c r="F1385" s="166"/>
      <c r="G1385" s="22"/>
    </row>
    <row r="1386" spans="1:7" ht="20.25" customHeight="1">
      <c r="A1386" s="10">
        <v>31285</v>
      </c>
      <c r="B1386" s="10">
        <v>35285</v>
      </c>
      <c r="C1386" s="10">
        <f t="shared" si="21"/>
        <v>31285</v>
      </c>
      <c r="D1386" s="99" t="s">
        <v>549</v>
      </c>
      <c r="E1386" s="7" t="s">
        <v>1755</v>
      </c>
      <c r="F1386" s="166"/>
      <c r="G1386" s="22"/>
    </row>
    <row r="1387" spans="1:7" ht="20.25" customHeight="1">
      <c r="A1387" s="10">
        <v>31286</v>
      </c>
      <c r="B1387" s="10">
        <v>35286</v>
      </c>
      <c r="C1387" s="10">
        <f t="shared" si="21"/>
        <v>31286</v>
      </c>
      <c r="D1387" s="99" t="s">
        <v>549</v>
      </c>
      <c r="E1387" s="7" t="s">
        <v>1756</v>
      </c>
      <c r="F1387" s="166"/>
      <c r="G1387" s="22"/>
    </row>
    <row r="1388" spans="1:7" ht="20.25" customHeight="1">
      <c r="A1388" s="10">
        <v>31287</v>
      </c>
      <c r="B1388" s="10">
        <v>35287</v>
      </c>
      <c r="C1388" s="10">
        <f t="shared" si="21"/>
        <v>31287</v>
      </c>
      <c r="D1388" s="99" t="s">
        <v>549</v>
      </c>
      <c r="E1388" s="7" t="s">
        <v>1757</v>
      </c>
      <c r="F1388" s="166"/>
      <c r="G1388" s="22"/>
    </row>
    <row r="1389" spans="1:7" ht="20.25" customHeight="1">
      <c r="A1389" s="10">
        <v>31288</v>
      </c>
      <c r="B1389" s="10">
        <v>35288</v>
      </c>
      <c r="C1389" s="10">
        <f t="shared" si="21"/>
        <v>31288</v>
      </c>
      <c r="D1389" s="10" t="s">
        <v>567</v>
      </c>
      <c r="E1389" s="7"/>
      <c r="G1389" s="22"/>
    </row>
    <row r="1390" spans="1:7" ht="20.25" customHeight="1">
      <c r="A1390" s="10">
        <v>31289</v>
      </c>
      <c r="B1390" s="10">
        <v>35289</v>
      </c>
      <c r="C1390" s="10">
        <f t="shared" si="21"/>
        <v>41289</v>
      </c>
      <c r="D1390" s="10" t="s">
        <v>567</v>
      </c>
      <c r="E1390" s="7" t="s">
        <v>1758</v>
      </c>
      <c r="F1390" s="5" t="s">
        <v>619</v>
      </c>
      <c r="G1390" s="22"/>
    </row>
    <row r="1391" spans="1:7" ht="20.25" customHeight="1">
      <c r="A1391" s="10">
        <v>31290</v>
      </c>
      <c r="B1391" s="10">
        <v>35290</v>
      </c>
      <c r="C1391" s="10">
        <f t="shared" si="21"/>
        <v>31290</v>
      </c>
      <c r="D1391" s="10" t="s">
        <v>567</v>
      </c>
      <c r="E1391" s="7"/>
      <c r="G1391" s="22"/>
    </row>
    <row r="1392" spans="1:7" ht="20.25" customHeight="1">
      <c r="A1392" s="10">
        <v>31291</v>
      </c>
      <c r="B1392" s="10">
        <v>35291</v>
      </c>
      <c r="C1392" s="10">
        <f t="shared" si="21"/>
        <v>41291</v>
      </c>
      <c r="D1392" s="10" t="s">
        <v>567</v>
      </c>
      <c r="E1392" s="7" t="s">
        <v>1759</v>
      </c>
      <c r="F1392" s="5" t="s">
        <v>619</v>
      </c>
      <c r="G1392" s="22"/>
    </row>
    <row r="1393" spans="1:7" ht="20.25" customHeight="1">
      <c r="A1393" s="10">
        <v>31292</v>
      </c>
      <c r="B1393" s="10">
        <v>35292</v>
      </c>
      <c r="C1393" s="10">
        <f t="shared" si="21"/>
        <v>31292</v>
      </c>
      <c r="D1393" s="99" t="s">
        <v>549</v>
      </c>
      <c r="E1393" s="7" t="s">
        <v>1760</v>
      </c>
      <c r="F1393" s="166"/>
      <c r="G1393" s="22"/>
    </row>
    <row r="1394" spans="1:7" ht="20.25" customHeight="1">
      <c r="A1394" s="10">
        <v>31293</v>
      </c>
      <c r="B1394" s="10">
        <v>35293</v>
      </c>
      <c r="C1394" s="10">
        <f t="shared" si="21"/>
        <v>31293</v>
      </c>
      <c r="D1394" s="99" t="s">
        <v>549</v>
      </c>
      <c r="E1394" s="7" t="s">
        <v>1761</v>
      </c>
      <c r="F1394" s="166"/>
      <c r="G1394" s="22"/>
    </row>
    <row r="1395" spans="1:7" ht="20.25" customHeight="1">
      <c r="A1395" s="10">
        <v>31294</v>
      </c>
      <c r="B1395" s="10">
        <v>35294</v>
      </c>
      <c r="C1395" s="10">
        <f t="shared" si="21"/>
        <v>31294</v>
      </c>
      <c r="D1395" s="99" t="s">
        <v>549</v>
      </c>
      <c r="E1395" s="7"/>
      <c r="F1395" s="166"/>
      <c r="G1395" s="22"/>
    </row>
    <row r="1396" spans="1:7" ht="20.25" customHeight="1">
      <c r="A1396" s="10">
        <v>31295</v>
      </c>
      <c r="B1396" s="10">
        <v>35295</v>
      </c>
      <c r="C1396" s="10">
        <f t="shared" si="21"/>
        <v>31295</v>
      </c>
      <c r="D1396" s="99" t="s">
        <v>549</v>
      </c>
      <c r="E1396" s="7"/>
      <c r="F1396" s="166"/>
      <c r="G1396" s="22"/>
    </row>
    <row r="1397" spans="1:7" ht="20.25" customHeight="1">
      <c r="A1397" s="10">
        <v>31296</v>
      </c>
      <c r="B1397" s="10">
        <v>35296</v>
      </c>
      <c r="C1397" s="10">
        <f t="shared" si="21"/>
        <v>31296</v>
      </c>
      <c r="D1397" s="10" t="s">
        <v>567</v>
      </c>
      <c r="E1397" s="7" t="s">
        <v>1762</v>
      </c>
      <c r="F1397" s="166"/>
      <c r="G1397" s="22"/>
    </row>
    <row r="1398" spans="1:7" ht="20.25" customHeight="1">
      <c r="A1398" s="10">
        <v>31297</v>
      </c>
      <c r="B1398" s="10">
        <v>35297</v>
      </c>
      <c r="C1398" s="10">
        <f t="shared" si="21"/>
        <v>41297</v>
      </c>
      <c r="D1398" s="10" t="s">
        <v>549</v>
      </c>
      <c r="E1398" s="7" t="s">
        <v>1763</v>
      </c>
      <c r="F1398" s="5" t="s">
        <v>635</v>
      </c>
      <c r="G1398" s="22"/>
    </row>
    <row r="1399" spans="1:7" ht="20.25" customHeight="1">
      <c r="A1399" s="10">
        <v>31298</v>
      </c>
      <c r="B1399" s="10">
        <v>35298</v>
      </c>
      <c r="C1399" s="10">
        <f t="shared" si="21"/>
        <v>31298</v>
      </c>
      <c r="D1399" s="99" t="s">
        <v>549</v>
      </c>
      <c r="E1399" s="7" t="s">
        <v>1764</v>
      </c>
      <c r="F1399" s="166"/>
      <c r="G1399" s="22"/>
    </row>
    <row r="1400" spans="1:7" ht="20.25" customHeight="1">
      <c r="A1400" s="10">
        <v>31299</v>
      </c>
      <c r="B1400" s="10">
        <v>35299</v>
      </c>
      <c r="C1400" s="10">
        <f t="shared" si="21"/>
        <v>31299</v>
      </c>
      <c r="D1400" s="99" t="s">
        <v>567</v>
      </c>
      <c r="E1400" s="7" t="s">
        <v>1765</v>
      </c>
      <c r="F1400" s="166"/>
      <c r="G1400" s="22"/>
    </row>
    <row r="1401" spans="1:7" ht="20.25" customHeight="1">
      <c r="A1401" s="10">
        <v>31300</v>
      </c>
      <c r="B1401" s="10">
        <v>35300</v>
      </c>
      <c r="C1401" s="10">
        <f t="shared" si="21"/>
        <v>31300</v>
      </c>
      <c r="D1401" s="99" t="s">
        <v>567</v>
      </c>
      <c r="E1401" s="7" t="s">
        <v>1766</v>
      </c>
      <c r="F1401" s="166"/>
      <c r="G1401" s="22"/>
    </row>
    <row r="1402" spans="1:7" ht="20.25" customHeight="1">
      <c r="A1402" s="10">
        <v>31301</v>
      </c>
      <c r="B1402" s="10">
        <v>35301</v>
      </c>
      <c r="C1402" s="10">
        <f t="shared" si="21"/>
        <v>31301</v>
      </c>
      <c r="D1402" s="99" t="s">
        <v>567</v>
      </c>
      <c r="E1402" s="7" t="s">
        <v>1767</v>
      </c>
      <c r="F1402" s="166"/>
      <c r="G1402" s="22"/>
    </row>
    <row r="1403" spans="1:7" ht="20.25" customHeight="1">
      <c r="A1403" s="10">
        <v>31302</v>
      </c>
      <c r="B1403" s="10">
        <v>35302</v>
      </c>
      <c r="C1403" s="10">
        <f t="shared" si="21"/>
        <v>31302</v>
      </c>
      <c r="D1403" s="99" t="s">
        <v>567</v>
      </c>
      <c r="E1403" s="7" t="s">
        <v>1768</v>
      </c>
      <c r="F1403" s="166"/>
      <c r="G1403" s="22"/>
    </row>
    <row r="1404" spans="1:7" ht="20.25" customHeight="1">
      <c r="A1404" s="10">
        <v>31303</v>
      </c>
      <c r="B1404" s="10">
        <v>35303</v>
      </c>
      <c r="C1404" s="10">
        <f t="shared" si="21"/>
        <v>31303</v>
      </c>
      <c r="D1404" s="99" t="s">
        <v>567</v>
      </c>
      <c r="E1404" s="7" t="s">
        <v>1769</v>
      </c>
      <c r="F1404" s="166"/>
      <c r="G1404" s="22"/>
    </row>
    <row r="1405" spans="1:7" ht="20.25" customHeight="1">
      <c r="A1405" s="10">
        <v>31304</v>
      </c>
      <c r="B1405" s="10">
        <v>35304</v>
      </c>
      <c r="C1405" s="10">
        <f t="shared" si="21"/>
        <v>31304</v>
      </c>
      <c r="D1405" s="99" t="s">
        <v>549</v>
      </c>
      <c r="E1405" s="7" t="s">
        <v>1770</v>
      </c>
      <c r="F1405" s="166"/>
      <c r="G1405" s="22"/>
    </row>
    <row r="1406" spans="1:7" ht="20.25" customHeight="1">
      <c r="A1406" s="10">
        <v>31305</v>
      </c>
      <c r="B1406" s="10">
        <v>35305</v>
      </c>
      <c r="C1406" s="10">
        <f t="shared" si="21"/>
        <v>31305</v>
      </c>
      <c r="D1406" s="99" t="s">
        <v>549</v>
      </c>
      <c r="E1406" s="7" t="s">
        <v>1771</v>
      </c>
      <c r="F1406" s="166"/>
      <c r="G1406" s="22"/>
    </row>
    <row r="1407" spans="1:7" ht="20.25" customHeight="1">
      <c r="A1407" s="10">
        <v>31306</v>
      </c>
      <c r="B1407" s="10">
        <v>35306</v>
      </c>
      <c r="C1407" s="10">
        <f t="shared" si="21"/>
        <v>31306</v>
      </c>
      <c r="D1407" s="99" t="s">
        <v>549</v>
      </c>
      <c r="E1407" s="7" t="s">
        <v>1772</v>
      </c>
      <c r="F1407" s="166"/>
      <c r="G1407" s="22"/>
    </row>
    <row r="1408" spans="1:7" ht="20.25" customHeight="1">
      <c r="A1408" s="10">
        <v>31307</v>
      </c>
      <c r="B1408" s="10">
        <v>35307</v>
      </c>
      <c r="C1408" s="10">
        <f t="shared" si="21"/>
        <v>31307</v>
      </c>
      <c r="D1408" s="99" t="s">
        <v>549</v>
      </c>
      <c r="E1408" s="7" t="s">
        <v>1773</v>
      </c>
      <c r="F1408" s="166"/>
      <c r="G1408" s="22"/>
    </row>
    <row r="1409" spans="1:7" ht="20.25" customHeight="1">
      <c r="A1409" s="10">
        <v>31308</v>
      </c>
      <c r="B1409" s="10">
        <v>35308</v>
      </c>
      <c r="C1409" s="10">
        <f t="shared" si="21"/>
        <v>31308</v>
      </c>
      <c r="D1409" s="99" t="s">
        <v>549</v>
      </c>
      <c r="E1409" s="7" t="s">
        <v>1774</v>
      </c>
      <c r="F1409" s="166"/>
      <c r="G1409" s="22"/>
    </row>
    <row r="1410" spans="1:7" ht="20.25" customHeight="1">
      <c r="A1410" s="10">
        <v>31309</v>
      </c>
      <c r="B1410" s="10">
        <v>35309</v>
      </c>
      <c r="C1410" s="10">
        <f t="shared" si="21"/>
        <v>31309</v>
      </c>
      <c r="D1410" s="99" t="s">
        <v>549</v>
      </c>
      <c r="E1410" s="7" t="s">
        <v>1775</v>
      </c>
      <c r="F1410" s="166"/>
      <c r="G1410" s="22"/>
    </row>
    <row r="1411" spans="1:7" ht="20.25" customHeight="1">
      <c r="A1411" s="10">
        <v>31310</v>
      </c>
      <c r="B1411" s="10">
        <v>35310</v>
      </c>
      <c r="C1411" s="10">
        <f t="shared" si="21"/>
        <v>31310</v>
      </c>
      <c r="D1411" s="99" t="s">
        <v>549</v>
      </c>
      <c r="E1411" s="7" t="s">
        <v>1776</v>
      </c>
      <c r="F1411" s="166"/>
      <c r="G1411" s="22"/>
    </row>
    <row r="1412" spans="1:7" ht="20.25" customHeight="1">
      <c r="A1412" s="10">
        <v>31311</v>
      </c>
      <c r="B1412" s="10">
        <v>35311</v>
      </c>
      <c r="C1412" s="10">
        <f t="shared" si="21"/>
        <v>31311</v>
      </c>
      <c r="D1412" s="99" t="s">
        <v>549</v>
      </c>
      <c r="E1412" s="7" t="s">
        <v>1777</v>
      </c>
      <c r="F1412" s="166"/>
      <c r="G1412" s="22"/>
    </row>
    <row r="1413" spans="1:7" ht="20.25" customHeight="1">
      <c r="A1413" s="10">
        <v>31312</v>
      </c>
      <c r="B1413" s="10">
        <v>35312</v>
      </c>
      <c r="C1413" s="10">
        <f t="shared" ref="C1413:C1476" si="22">IF(ISERROR(FIND("B_Epic",E1413)),A1413,A1413+10000)</f>
        <v>31312</v>
      </c>
      <c r="D1413" s="99" t="s">
        <v>549</v>
      </c>
      <c r="E1413" s="7" t="s">
        <v>1778</v>
      </c>
      <c r="F1413" s="166"/>
      <c r="G1413" s="22"/>
    </row>
    <row r="1414" spans="1:7" ht="20.25" customHeight="1">
      <c r="A1414" s="10">
        <v>31313</v>
      </c>
      <c r="B1414" s="10">
        <v>35313</v>
      </c>
      <c r="C1414" s="10">
        <f t="shared" si="22"/>
        <v>31313</v>
      </c>
      <c r="D1414" s="99" t="s">
        <v>549</v>
      </c>
      <c r="E1414" s="7" t="s">
        <v>1779</v>
      </c>
      <c r="F1414" s="166"/>
      <c r="G1414" s="22"/>
    </row>
    <row r="1415" spans="1:7" ht="20.25" customHeight="1">
      <c r="A1415" s="10">
        <v>31314</v>
      </c>
      <c r="B1415" s="10">
        <v>35314</v>
      </c>
      <c r="C1415" s="10">
        <f t="shared" si="22"/>
        <v>31314</v>
      </c>
      <c r="D1415" s="99" t="s">
        <v>549</v>
      </c>
      <c r="E1415" s="7" t="s">
        <v>1780</v>
      </c>
      <c r="F1415" s="166"/>
      <c r="G1415" s="22"/>
    </row>
    <row r="1416" spans="1:7" ht="20.25" customHeight="1">
      <c r="A1416" s="10">
        <v>31315</v>
      </c>
      <c r="B1416" s="10">
        <v>35315</v>
      </c>
      <c r="C1416" s="10">
        <f t="shared" si="22"/>
        <v>31315</v>
      </c>
      <c r="D1416" s="99" t="s">
        <v>549</v>
      </c>
      <c r="E1416" s="7" t="s">
        <v>1781</v>
      </c>
      <c r="F1416" s="166"/>
      <c r="G1416" s="22"/>
    </row>
    <row r="1417" spans="1:7" ht="20.25" customHeight="1">
      <c r="A1417" s="10">
        <v>31316</v>
      </c>
      <c r="B1417" s="10">
        <v>35316</v>
      </c>
      <c r="C1417" s="10">
        <f t="shared" si="22"/>
        <v>31316</v>
      </c>
      <c r="D1417" s="10" t="s">
        <v>549</v>
      </c>
      <c r="E1417" s="7"/>
      <c r="F1417" s="7"/>
      <c r="G1417" s="22"/>
    </row>
    <row r="1418" spans="1:7" ht="20.25" customHeight="1">
      <c r="A1418" s="10">
        <v>31317</v>
      </c>
      <c r="B1418" s="10">
        <v>35317</v>
      </c>
      <c r="C1418" s="10">
        <f t="shared" si="22"/>
        <v>31317</v>
      </c>
      <c r="D1418" s="99" t="s">
        <v>549</v>
      </c>
      <c r="E1418" s="7" t="s">
        <v>1782</v>
      </c>
      <c r="F1418" s="166"/>
      <c r="G1418" s="22"/>
    </row>
    <row r="1419" spans="1:7" ht="20.25" customHeight="1">
      <c r="A1419" s="10">
        <v>31318</v>
      </c>
      <c r="B1419" s="10">
        <v>35318</v>
      </c>
      <c r="C1419" s="10">
        <f t="shared" si="22"/>
        <v>31318</v>
      </c>
      <c r="D1419" s="99" t="s">
        <v>549</v>
      </c>
      <c r="E1419" s="7" t="s">
        <v>1783</v>
      </c>
      <c r="F1419" s="166"/>
      <c r="G1419" s="22"/>
    </row>
    <row r="1420" spans="1:7" ht="20.25" customHeight="1">
      <c r="A1420" s="10">
        <v>31319</v>
      </c>
      <c r="B1420" s="10">
        <v>35319</v>
      </c>
      <c r="C1420" s="10">
        <f t="shared" si="22"/>
        <v>31319</v>
      </c>
      <c r="D1420" s="99" t="s">
        <v>549</v>
      </c>
      <c r="E1420" s="7" t="s">
        <v>1784</v>
      </c>
      <c r="F1420" s="166"/>
      <c r="G1420" s="22"/>
    </row>
    <row r="1421" spans="1:7" ht="20.25" customHeight="1">
      <c r="A1421" s="10">
        <v>31320</v>
      </c>
      <c r="B1421" s="10">
        <v>35320</v>
      </c>
      <c r="C1421" s="10">
        <f t="shared" si="22"/>
        <v>31320</v>
      </c>
      <c r="D1421" s="99" t="s">
        <v>549</v>
      </c>
      <c r="E1421" s="7" t="s">
        <v>1785</v>
      </c>
      <c r="F1421" s="166"/>
      <c r="G1421" s="22"/>
    </row>
    <row r="1422" spans="1:7" ht="20.25" customHeight="1">
      <c r="A1422" s="10">
        <v>31321</v>
      </c>
      <c r="B1422" s="10">
        <v>35321</v>
      </c>
      <c r="C1422" s="10">
        <f t="shared" si="22"/>
        <v>31321</v>
      </c>
      <c r="D1422" s="99" t="s">
        <v>549</v>
      </c>
      <c r="E1422" s="7" t="s">
        <v>1786</v>
      </c>
      <c r="F1422" s="166"/>
      <c r="G1422" s="22"/>
    </row>
    <row r="1423" spans="1:7" ht="20.25" customHeight="1">
      <c r="A1423" s="10">
        <v>31322</v>
      </c>
      <c r="B1423" s="10">
        <v>35322</v>
      </c>
      <c r="C1423" s="10">
        <f t="shared" si="22"/>
        <v>31322</v>
      </c>
      <c r="D1423" s="99" t="s">
        <v>549</v>
      </c>
      <c r="E1423" s="7" t="s">
        <v>1787</v>
      </c>
      <c r="F1423" s="166"/>
      <c r="G1423" s="22"/>
    </row>
    <row r="1424" spans="1:7" ht="20.25" customHeight="1">
      <c r="A1424" s="10">
        <v>31323</v>
      </c>
      <c r="B1424" s="10">
        <v>35323</v>
      </c>
      <c r="C1424" s="10">
        <f t="shared" si="22"/>
        <v>31323</v>
      </c>
      <c r="D1424" s="99" t="s">
        <v>549</v>
      </c>
      <c r="E1424" s="7" t="s">
        <v>1788</v>
      </c>
      <c r="F1424" s="5"/>
      <c r="G1424" s="22"/>
    </row>
    <row r="1425" spans="1:7" ht="20.25" customHeight="1">
      <c r="A1425" s="10">
        <v>31324</v>
      </c>
      <c r="B1425" s="10">
        <v>35324</v>
      </c>
      <c r="C1425" s="10">
        <f t="shared" si="22"/>
        <v>31324</v>
      </c>
      <c r="D1425" s="99" t="s">
        <v>549</v>
      </c>
      <c r="E1425" s="7" t="s">
        <v>1789</v>
      </c>
      <c r="F1425" s="166"/>
      <c r="G1425" s="22"/>
    </row>
    <row r="1426" spans="1:7" ht="20.25" customHeight="1">
      <c r="A1426" s="10">
        <v>31325</v>
      </c>
      <c r="B1426" s="10">
        <v>35325</v>
      </c>
      <c r="C1426" s="10">
        <f t="shared" si="22"/>
        <v>31325</v>
      </c>
      <c r="D1426" s="99" t="s">
        <v>549</v>
      </c>
      <c r="E1426" s="7" t="s">
        <v>1790</v>
      </c>
      <c r="F1426" s="166"/>
      <c r="G1426" s="22"/>
    </row>
    <row r="1427" spans="1:7" ht="20.25" customHeight="1">
      <c r="A1427" s="10">
        <v>31326</v>
      </c>
      <c r="B1427" s="10">
        <v>35326</v>
      </c>
      <c r="C1427" s="10">
        <f t="shared" si="22"/>
        <v>31326</v>
      </c>
      <c r="D1427" s="99" t="s">
        <v>549</v>
      </c>
      <c r="E1427" s="7" t="s">
        <v>1791</v>
      </c>
      <c r="F1427" s="166"/>
      <c r="G1427" s="22"/>
    </row>
    <row r="1428" spans="1:7" ht="20.25" customHeight="1">
      <c r="A1428" s="10">
        <v>31327</v>
      </c>
      <c r="B1428" s="10">
        <v>35327</v>
      </c>
      <c r="C1428" s="10">
        <f t="shared" si="22"/>
        <v>31327</v>
      </c>
      <c r="D1428" s="99" t="s">
        <v>549</v>
      </c>
      <c r="E1428" s="7" t="s">
        <v>1792</v>
      </c>
      <c r="F1428" s="166"/>
      <c r="G1428" s="22"/>
    </row>
    <row r="1429" spans="1:7" ht="20.25" customHeight="1">
      <c r="A1429" s="10">
        <v>31328</v>
      </c>
      <c r="B1429" s="10">
        <v>35328</v>
      </c>
      <c r="C1429" s="10">
        <f t="shared" si="22"/>
        <v>31328</v>
      </c>
      <c r="D1429" s="99" t="s">
        <v>549</v>
      </c>
      <c r="E1429" s="7" t="s">
        <v>1793</v>
      </c>
      <c r="F1429" s="166"/>
      <c r="G1429" s="22"/>
    </row>
    <row r="1430" spans="1:7" ht="20.25" customHeight="1">
      <c r="A1430" s="10">
        <v>31329</v>
      </c>
      <c r="B1430" s="10">
        <v>35329</v>
      </c>
      <c r="C1430" s="10">
        <f t="shared" si="22"/>
        <v>31329</v>
      </c>
      <c r="D1430" s="99" t="s">
        <v>549</v>
      </c>
      <c r="E1430" s="7" t="s">
        <v>1794</v>
      </c>
      <c r="F1430" s="166"/>
      <c r="G1430" s="22"/>
    </row>
    <row r="1431" spans="1:7" ht="20.25" customHeight="1">
      <c r="A1431" s="10">
        <v>31330</v>
      </c>
      <c r="B1431" s="10">
        <v>35330</v>
      </c>
      <c r="C1431" s="10">
        <f t="shared" si="22"/>
        <v>31330</v>
      </c>
      <c r="D1431" s="99" t="s">
        <v>549</v>
      </c>
      <c r="E1431" s="7" t="s">
        <v>1795</v>
      </c>
      <c r="F1431" s="166"/>
      <c r="G1431" s="22"/>
    </row>
    <row r="1432" spans="1:7" ht="20.25" customHeight="1">
      <c r="A1432" s="10">
        <v>31331</v>
      </c>
      <c r="B1432" s="10">
        <v>35331</v>
      </c>
      <c r="C1432" s="10">
        <f t="shared" si="22"/>
        <v>31331</v>
      </c>
      <c r="D1432" s="99" t="s">
        <v>549</v>
      </c>
      <c r="E1432" s="7" t="s">
        <v>1796</v>
      </c>
      <c r="F1432" s="166"/>
      <c r="G1432" s="22"/>
    </row>
    <row r="1433" spans="1:7" ht="20.25" customHeight="1">
      <c r="A1433" s="10">
        <v>31332</v>
      </c>
      <c r="B1433" s="10">
        <v>35332</v>
      </c>
      <c r="C1433" s="10">
        <f t="shared" si="22"/>
        <v>31332</v>
      </c>
      <c r="D1433" s="99" t="s">
        <v>549</v>
      </c>
      <c r="E1433" s="7" t="s">
        <v>1797</v>
      </c>
      <c r="F1433" s="166"/>
      <c r="G1433" s="22"/>
    </row>
    <row r="1434" spans="1:7" ht="20.25" customHeight="1">
      <c r="A1434" s="10">
        <v>31333</v>
      </c>
      <c r="B1434" s="10">
        <v>35333</v>
      </c>
      <c r="C1434" s="10">
        <f t="shared" si="22"/>
        <v>31333</v>
      </c>
      <c r="D1434" s="99" t="s">
        <v>549</v>
      </c>
      <c r="E1434" s="7" t="s">
        <v>1798</v>
      </c>
      <c r="F1434" s="166"/>
      <c r="G1434" s="22"/>
    </row>
    <row r="1435" spans="1:7" ht="20.25" customHeight="1">
      <c r="A1435" s="10">
        <v>31334</v>
      </c>
      <c r="B1435" s="10">
        <v>35334</v>
      </c>
      <c r="C1435" s="10">
        <f t="shared" si="22"/>
        <v>31334</v>
      </c>
      <c r="D1435" s="99" t="s">
        <v>567</v>
      </c>
      <c r="E1435" s="7" t="s">
        <v>1799</v>
      </c>
      <c r="F1435" s="166"/>
      <c r="G1435" s="22"/>
    </row>
    <row r="1436" spans="1:7" ht="20.25" customHeight="1">
      <c r="A1436" s="10">
        <v>31335</v>
      </c>
      <c r="B1436" s="10">
        <v>35335</v>
      </c>
      <c r="C1436" s="10">
        <f t="shared" si="22"/>
        <v>31335</v>
      </c>
      <c r="D1436" s="99" t="s">
        <v>567</v>
      </c>
      <c r="E1436" s="7" t="s">
        <v>1800</v>
      </c>
      <c r="F1436" s="166"/>
      <c r="G1436" s="22"/>
    </row>
    <row r="1437" spans="1:7" ht="20.25" customHeight="1">
      <c r="A1437" s="10">
        <v>31336</v>
      </c>
      <c r="B1437" s="10">
        <v>35336</v>
      </c>
      <c r="C1437" s="10">
        <f t="shared" si="22"/>
        <v>31336</v>
      </c>
      <c r="D1437" s="99" t="s">
        <v>567</v>
      </c>
      <c r="E1437" s="7" t="s">
        <v>1801</v>
      </c>
      <c r="F1437" s="166"/>
      <c r="G1437" s="22"/>
    </row>
    <row r="1438" spans="1:7" ht="20.25" customHeight="1">
      <c r="A1438" s="10">
        <v>31337</v>
      </c>
      <c r="B1438" s="10">
        <v>35337</v>
      </c>
      <c r="C1438" s="10">
        <f t="shared" si="22"/>
        <v>31337</v>
      </c>
      <c r="D1438" s="99" t="s">
        <v>549</v>
      </c>
      <c r="E1438" s="121" t="s">
        <v>1802</v>
      </c>
      <c r="F1438" s="166"/>
      <c r="G1438" s="22"/>
    </row>
    <row r="1439" spans="1:7" ht="20.25" customHeight="1">
      <c r="A1439" s="10">
        <v>31338</v>
      </c>
      <c r="B1439" s="10">
        <v>35338</v>
      </c>
      <c r="C1439" s="10">
        <f t="shared" si="22"/>
        <v>31338</v>
      </c>
      <c r="D1439" s="99" t="s">
        <v>567</v>
      </c>
      <c r="E1439" s="7" t="s">
        <v>1803</v>
      </c>
      <c r="F1439" s="166"/>
      <c r="G1439" s="22"/>
    </row>
    <row r="1440" spans="1:7" ht="20.25" customHeight="1">
      <c r="A1440" s="10">
        <v>31339</v>
      </c>
      <c r="B1440" s="10">
        <v>35339</v>
      </c>
      <c r="C1440" s="10">
        <f t="shared" si="22"/>
        <v>31339</v>
      </c>
      <c r="D1440" s="99" t="s">
        <v>567</v>
      </c>
      <c r="E1440" s="7" t="s">
        <v>1804</v>
      </c>
      <c r="F1440" s="166"/>
      <c r="G1440" s="22"/>
    </row>
    <row r="1441" spans="1:7" ht="20.25" customHeight="1">
      <c r="A1441" s="10">
        <v>31340</v>
      </c>
      <c r="B1441" s="10">
        <v>35340</v>
      </c>
      <c r="C1441" s="10">
        <f t="shared" si="22"/>
        <v>31340</v>
      </c>
      <c r="D1441" s="99" t="s">
        <v>567</v>
      </c>
      <c r="E1441" s="7" t="s">
        <v>1805</v>
      </c>
      <c r="F1441" s="166"/>
      <c r="G1441" s="22"/>
    </row>
    <row r="1442" spans="1:7" ht="20.25" customHeight="1">
      <c r="A1442" s="10">
        <v>31341</v>
      </c>
      <c r="B1442" s="10">
        <v>35341</v>
      </c>
      <c r="C1442" s="10">
        <f t="shared" si="22"/>
        <v>31341</v>
      </c>
      <c r="D1442" s="99" t="s">
        <v>549</v>
      </c>
      <c r="E1442" s="7" t="s">
        <v>1806</v>
      </c>
      <c r="F1442" s="166"/>
      <c r="G1442" s="22"/>
    </row>
    <row r="1443" spans="1:7" ht="20.25" customHeight="1">
      <c r="A1443" s="10">
        <v>31342</v>
      </c>
      <c r="B1443" s="10">
        <v>35342</v>
      </c>
      <c r="C1443" s="10">
        <f t="shared" si="22"/>
        <v>31342</v>
      </c>
      <c r="D1443" s="99" t="s">
        <v>549</v>
      </c>
      <c r="E1443" s="7" t="s">
        <v>1807</v>
      </c>
      <c r="F1443" s="166"/>
      <c r="G1443" s="22"/>
    </row>
    <row r="1444" spans="1:7" ht="20.25" customHeight="1">
      <c r="A1444" s="10">
        <v>31343</v>
      </c>
      <c r="B1444" s="10">
        <v>35343</v>
      </c>
      <c r="C1444" s="10">
        <f t="shared" si="22"/>
        <v>31343</v>
      </c>
      <c r="D1444" s="99" t="s">
        <v>549</v>
      </c>
      <c r="E1444" s="7" t="s">
        <v>1808</v>
      </c>
      <c r="F1444" s="166"/>
      <c r="G1444" s="22"/>
    </row>
    <row r="1445" spans="1:7" ht="20.25" customHeight="1">
      <c r="A1445" s="10">
        <v>31344</v>
      </c>
      <c r="B1445" s="10">
        <v>35344</v>
      </c>
      <c r="C1445" s="10">
        <f t="shared" si="22"/>
        <v>31344</v>
      </c>
      <c r="D1445" s="10" t="s">
        <v>549</v>
      </c>
      <c r="E1445" s="7"/>
      <c r="F1445" s="7"/>
      <c r="G1445" s="22"/>
    </row>
    <row r="1446" spans="1:7" ht="20.25" customHeight="1">
      <c r="A1446" s="10">
        <v>31345</v>
      </c>
      <c r="B1446" s="10">
        <v>35345</v>
      </c>
      <c r="C1446" s="10">
        <f t="shared" si="22"/>
        <v>31345</v>
      </c>
      <c r="D1446" s="99" t="s">
        <v>549</v>
      </c>
      <c r="E1446" s="7" t="s">
        <v>1809</v>
      </c>
      <c r="F1446" s="166"/>
      <c r="G1446" s="22"/>
    </row>
    <row r="1447" spans="1:7" ht="20.25" customHeight="1">
      <c r="A1447" s="10">
        <v>31346</v>
      </c>
      <c r="B1447" s="10">
        <v>35346</v>
      </c>
      <c r="C1447" s="10">
        <f t="shared" si="22"/>
        <v>31346</v>
      </c>
      <c r="D1447" s="99" t="s">
        <v>549</v>
      </c>
      <c r="E1447" s="7" t="s">
        <v>1810</v>
      </c>
      <c r="F1447" s="166"/>
      <c r="G1447" s="22"/>
    </row>
    <row r="1448" spans="1:7" ht="20.25" customHeight="1">
      <c r="A1448" s="10">
        <v>31347</v>
      </c>
      <c r="B1448" s="10">
        <v>35347</v>
      </c>
      <c r="C1448" s="10">
        <f t="shared" si="22"/>
        <v>31347</v>
      </c>
      <c r="D1448" s="99" t="s">
        <v>549</v>
      </c>
      <c r="E1448" s="7" t="s">
        <v>1811</v>
      </c>
      <c r="F1448" s="166"/>
      <c r="G1448" s="22"/>
    </row>
    <row r="1449" spans="1:7" ht="20.25" customHeight="1">
      <c r="A1449" s="10">
        <v>31348</v>
      </c>
      <c r="B1449" s="10">
        <v>35348</v>
      </c>
      <c r="C1449" s="10">
        <f t="shared" si="22"/>
        <v>31348</v>
      </c>
      <c r="D1449" s="99" t="s">
        <v>549</v>
      </c>
      <c r="E1449" s="7" t="s">
        <v>1812</v>
      </c>
      <c r="F1449" s="166"/>
      <c r="G1449" s="22"/>
    </row>
    <row r="1450" spans="1:7" ht="20.25" customHeight="1">
      <c r="A1450" s="10">
        <v>31349</v>
      </c>
      <c r="B1450" s="10">
        <v>35349</v>
      </c>
      <c r="C1450" s="10">
        <f t="shared" si="22"/>
        <v>31349</v>
      </c>
      <c r="D1450" s="99" t="s">
        <v>549</v>
      </c>
      <c r="E1450" s="7" t="s">
        <v>1813</v>
      </c>
      <c r="F1450" s="166"/>
      <c r="G1450" s="22"/>
    </row>
    <row r="1451" spans="1:7" ht="20.25" customHeight="1">
      <c r="A1451" s="10">
        <v>31350</v>
      </c>
      <c r="B1451" s="10">
        <v>35350</v>
      </c>
      <c r="C1451" s="10">
        <f t="shared" si="22"/>
        <v>31350</v>
      </c>
      <c r="D1451" s="99" t="s">
        <v>549</v>
      </c>
      <c r="E1451" s="7" t="s">
        <v>1814</v>
      </c>
      <c r="F1451" s="166"/>
      <c r="G1451" s="22"/>
    </row>
    <row r="1452" spans="1:7" ht="20.25" customHeight="1">
      <c r="A1452" s="10">
        <v>31351</v>
      </c>
      <c r="B1452" s="10">
        <v>35351</v>
      </c>
      <c r="C1452" s="10">
        <f t="shared" si="22"/>
        <v>31351</v>
      </c>
      <c r="D1452" s="99" t="s">
        <v>567</v>
      </c>
      <c r="E1452" s="7" t="s">
        <v>1815</v>
      </c>
      <c r="F1452" s="166"/>
      <c r="G1452" s="22"/>
    </row>
    <row r="1453" spans="1:7" ht="20.25" customHeight="1">
      <c r="A1453" s="10">
        <v>31352</v>
      </c>
      <c r="B1453" s="10">
        <v>35352</v>
      </c>
      <c r="C1453" s="10">
        <f t="shared" si="22"/>
        <v>31352</v>
      </c>
      <c r="D1453" s="99" t="s">
        <v>567</v>
      </c>
      <c r="E1453" s="7" t="s">
        <v>1816</v>
      </c>
      <c r="F1453" s="166"/>
      <c r="G1453" s="22"/>
    </row>
    <row r="1454" spans="1:7" ht="20.25" customHeight="1">
      <c r="A1454" s="10">
        <v>31353</v>
      </c>
      <c r="B1454" s="10">
        <v>35353</v>
      </c>
      <c r="C1454" s="10">
        <f t="shared" si="22"/>
        <v>31353</v>
      </c>
      <c r="D1454" s="99" t="s">
        <v>549</v>
      </c>
      <c r="E1454" s="7" t="s">
        <v>1817</v>
      </c>
      <c r="F1454" s="166"/>
      <c r="G1454" s="22"/>
    </row>
    <row r="1455" spans="1:7" ht="20.25" customHeight="1">
      <c r="A1455" s="10">
        <v>31354</v>
      </c>
      <c r="B1455" s="10">
        <v>35354</v>
      </c>
      <c r="C1455" s="10">
        <f t="shared" si="22"/>
        <v>31354</v>
      </c>
      <c r="D1455" s="99" t="s">
        <v>549</v>
      </c>
      <c r="E1455" s="7" t="s">
        <v>1818</v>
      </c>
      <c r="F1455" s="166"/>
      <c r="G1455" s="22"/>
    </row>
    <row r="1456" spans="1:7" ht="20.25" customHeight="1">
      <c r="A1456" s="10">
        <v>31355</v>
      </c>
      <c r="B1456" s="10">
        <v>35355</v>
      </c>
      <c r="C1456" s="10">
        <f t="shared" si="22"/>
        <v>31355</v>
      </c>
      <c r="D1456" s="99" t="s">
        <v>549</v>
      </c>
      <c r="E1456" s="7" t="s">
        <v>1819</v>
      </c>
      <c r="F1456" s="166"/>
      <c r="G1456" s="22"/>
    </row>
    <row r="1457" spans="1:7" ht="20.25" customHeight="1">
      <c r="A1457" s="10">
        <v>31356</v>
      </c>
      <c r="B1457" s="10">
        <v>35356</v>
      </c>
      <c r="C1457" s="10">
        <f t="shared" si="22"/>
        <v>31356</v>
      </c>
      <c r="D1457" s="99" t="s">
        <v>549</v>
      </c>
      <c r="E1457" s="7" t="s">
        <v>1820</v>
      </c>
      <c r="F1457" s="166"/>
      <c r="G1457" s="22"/>
    </row>
    <row r="1458" spans="1:7" ht="20.25" customHeight="1">
      <c r="A1458" s="10">
        <v>31357</v>
      </c>
      <c r="B1458" s="10">
        <v>35357</v>
      </c>
      <c r="C1458" s="10">
        <f t="shared" si="22"/>
        <v>41357</v>
      </c>
      <c r="D1458" s="10" t="s">
        <v>549</v>
      </c>
      <c r="E1458" s="1" t="s">
        <v>1821</v>
      </c>
      <c r="F1458" s="109" t="s">
        <v>1822</v>
      </c>
      <c r="G1458" s="22"/>
    </row>
    <row r="1459" spans="1:7" ht="20.25" customHeight="1">
      <c r="A1459" s="10">
        <v>31358</v>
      </c>
      <c r="B1459" s="10">
        <v>35358</v>
      </c>
      <c r="C1459" s="10">
        <f t="shared" si="22"/>
        <v>31358</v>
      </c>
      <c r="D1459" s="99" t="s">
        <v>549</v>
      </c>
      <c r="E1459" s="7" t="s">
        <v>1823</v>
      </c>
      <c r="F1459" s="166"/>
      <c r="G1459" s="22"/>
    </row>
    <row r="1460" spans="1:7" ht="20.25" customHeight="1">
      <c r="A1460" s="10">
        <v>31359</v>
      </c>
      <c r="B1460" s="10">
        <v>35359</v>
      </c>
      <c r="C1460" s="10">
        <f t="shared" si="22"/>
        <v>31359</v>
      </c>
      <c r="D1460" s="99" t="s">
        <v>549</v>
      </c>
      <c r="E1460" s="7" t="s">
        <v>1824</v>
      </c>
      <c r="F1460" s="166"/>
      <c r="G1460" s="22"/>
    </row>
    <row r="1461" spans="1:7" ht="20.25" customHeight="1">
      <c r="A1461" s="10">
        <v>31360</v>
      </c>
      <c r="B1461" s="10">
        <v>35360</v>
      </c>
      <c r="C1461" s="10">
        <f t="shared" si="22"/>
        <v>31360</v>
      </c>
      <c r="D1461" s="99" t="s">
        <v>549</v>
      </c>
      <c r="E1461" s="7" t="s">
        <v>1825</v>
      </c>
      <c r="F1461" s="166"/>
      <c r="G1461" s="22"/>
    </row>
    <row r="1462" spans="1:7" ht="20.25" customHeight="1">
      <c r="A1462" s="10">
        <v>31361</v>
      </c>
      <c r="B1462" s="10">
        <v>35361</v>
      </c>
      <c r="C1462" s="10">
        <f t="shared" si="22"/>
        <v>31361</v>
      </c>
      <c r="D1462" s="99" t="s">
        <v>549</v>
      </c>
      <c r="E1462" s="7" t="s">
        <v>1826</v>
      </c>
      <c r="F1462" s="166"/>
      <c r="G1462" s="22"/>
    </row>
    <row r="1463" spans="1:7" ht="20.25" customHeight="1">
      <c r="A1463" s="10">
        <v>31362</v>
      </c>
      <c r="B1463" s="10">
        <v>35362</v>
      </c>
      <c r="C1463" s="10">
        <f t="shared" si="22"/>
        <v>31362</v>
      </c>
      <c r="D1463" s="99" t="s">
        <v>549</v>
      </c>
      <c r="E1463" s="7" t="s">
        <v>1827</v>
      </c>
      <c r="F1463" s="166"/>
      <c r="G1463" s="22"/>
    </row>
    <row r="1464" spans="1:7" ht="20.25" customHeight="1">
      <c r="A1464" s="10">
        <v>31363</v>
      </c>
      <c r="B1464" s="10">
        <v>35363</v>
      </c>
      <c r="C1464" s="10">
        <f t="shared" si="22"/>
        <v>31363</v>
      </c>
      <c r="D1464" s="99" t="s">
        <v>549</v>
      </c>
      <c r="E1464" s="7" t="s">
        <v>1828</v>
      </c>
      <c r="F1464" s="166"/>
      <c r="G1464" s="22"/>
    </row>
    <row r="1465" spans="1:7" ht="20.25" customHeight="1">
      <c r="A1465" s="10">
        <v>31364</v>
      </c>
      <c r="B1465" s="10">
        <v>35364</v>
      </c>
      <c r="C1465" s="10">
        <f t="shared" si="22"/>
        <v>31364</v>
      </c>
      <c r="D1465" s="99" t="s">
        <v>549</v>
      </c>
      <c r="E1465" s="7" t="s">
        <v>1829</v>
      </c>
      <c r="F1465" s="166"/>
      <c r="G1465" s="22"/>
    </row>
    <row r="1466" spans="1:7" ht="20.25" customHeight="1">
      <c r="A1466" s="10">
        <v>31365</v>
      </c>
      <c r="B1466" s="10">
        <v>35365</v>
      </c>
      <c r="C1466" s="10">
        <f t="shared" si="22"/>
        <v>31365</v>
      </c>
      <c r="D1466" s="99" t="s">
        <v>549</v>
      </c>
      <c r="E1466" s="7" t="s">
        <v>1830</v>
      </c>
      <c r="F1466" s="166"/>
      <c r="G1466" s="22"/>
    </row>
    <row r="1467" spans="1:7" ht="20.25" customHeight="1">
      <c r="A1467" s="10">
        <v>31366</v>
      </c>
      <c r="B1467" s="10">
        <v>35366</v>
      </c>
      <c r="C1467" s="10">
        <f t="shared" si="22"/>
        <v>31366</v>
      </c>
      <c r="D1467" s="99" t="s">
        <v>549</v>
      </c>
      <c r="E1467" s="7" t="s">
        <v>1831</v>
      </c>
      <c r="F1467" s="166"/>
      <c r="G1467" s="22"/>
    </row>
    <row r="1468" spans="1:7" ht="20.25" customHeight="1">
      <c r="A1468" s="10">
        <v>31367</v>
      </c>
      <c r="B1468" s="10">
        <v>35367</v>
      </c>
      <c r="C1468" s="10">
        <f t="shared" si="22"/>
        <v>31367</v>
      </c>
      <c r="D1468" s="99" t="s">
        <v>549</v>
      </c>
      <c r="E1468" s="7" t="s">
        <v>1832</v>
      </c>
      <c r="F1468" s="166"/>
      <c r="G1468" s="22"/>
    </row>
    <row r="1469" spans="1:7" ht="20.25" customHeight="1">
      <c r="A1469" s="10">
        <v>31368</v>
      </c>
      <c r="B1469" s="10">
        <v>35368</v>
      </c>
      <c r="C1469" s="10">
        <f t="shared" si="22"/>
        <v>31368</v>
      </c>
      <c r="D1469" s="99" t="s">
        <v>549</v>
      </c>
      <c r="E1469" s="7" t="s">
        <v>1833</v>
      </c>
      <c r="F1469" s="166"/>
      <c r="G1469" s="22"/>
    </row>
    <row r="1470" spans="1:7" ht="20.25" customHeight="1">
      <c r="A1470" s="10">
        <v>31369</v>
      </c>
      <c r="B1470" s="10">
        <v>35369</v>
      </c>
      <c r="C1470" s="10">
        <f t="shared" si="22"/>
        <v>31369</v>
      </c>
      <c r="D1470" s="99" t="s">
        <v>549</v>
      </c>
      <c r="E1470" s="7" t="s">
        <v>1834</v>
      </c>
      <c r="F1470" s="166"/>
      <c r="G1470" s="22"/>
    </row>
    <row r="1471" spans="1:7" ht="20.25" customHeight="1">
      <c r="A1471" s="10">
        <v>31370</v>
      </c>
      <c r="B1471" s="10">
        <v>35370</v>
      </c>
      <c r="C1471" s="10">
        <f t="shared" si="22"/>
        <v>31370</v>
      </c>
      <c r="D1471" s="99" t="s">
        <v>549</v>
      </c>
      <c r="E1471" s="7" t="s">
        <v>1835</v>
      </c>
      <c r="F1471" s="166"/>
      <c r="G1471" s="22"/>
    </row>
    <row r="1472" spans="1:7" ht="20.25" customHeight="1">
      <c r="A1472" s="10">
        <v>31371</v>
      </c>
      <c r="B1472" s="10">
        <v>35371</v>
      </c>
      <c r="C1472" s="10">
        <f t="shared" si="22"/>
        <v>31371</v>
      </c>
      <c r="D1472" s="99" t="s">
        <v>567</v>
      </c>
      <c r="E1472" s="7" t="s">
        <v>1836</v>
      </c>
      <c r="F1472" s="166"/>
      <c r="G1472" s="22"/>
    </row>
    <row r="1473" spans="1:7" ht="20.25" customHeight="1">
      <c r="A1473" s="10">
        <v>31372</v>
      </c>
      <c r="B1473" s="10">
        <v>35372</v>
      </c>
      <c r="C1473" s="10">
        <f t="shared" si="22"/>
        <v>31372</v>
      </c>
      <c r="D1473" s="99" t="s">
        <v>567</v>
      </c>
      <c r="E1473" s="7" t="s">
        <v>1837</v>
      </c>
      <c r="F1473" s="166"/>
      <c r="G1473" s="22"/>
    </row>
    <row r="1474" spans="1:7" ht="20.25" customHeight="1">
      <c r="A1474" s="10">
        <v>31373</v>
      </c>
      <c r="B1474" s="10">
        <v>35373</v>
      </c>
      <c r="C1474" s="10">
        <f t="shared" si="22"/>
        <v>31373</v>
      </c>
      <c r="D1474" s="99" t="s">
        <v>567</v>
      </c>
      <c r="E1474" s="7" t="s">
        <v>1838</v>
      </c>
      <c r="F1474" s="166"/>
      <c r="G1474" s="22"/>
    </row>
    <row r="1475" spans="1:7" ht="20.25" customHeight="1">
      <c r="A1475" s="10">
        <v>31374</v>
      </c>
      <c r="B1475" s="10">
        <v>35374</v>
      </c>
      <c r="C1475" s="10">
        <f t="shared" si="22"/>
        <v>31374</v>
      </c>
      <c r="D1475" s="99" t="s">
        <v>549</v>
      </c>
      <c r="E1475" s="7" t="s">
        <v>1839</v>
      </c>
      <c r="F1475" s="166"/>
      <c r="G1475" s="22"/>
    </row>
    <row r="1476" spans="1:7" ht="20.25" customHeight="1">
      <c r="A1476" s="10">
        <v>31375</v>
      </c>
      <c r="B1476" s="10">
        <v>35375</v>
      </c>
      <c r="C1476" s="10">
        <f t="shared" si="22"/>
        <v>41375</v>
      </c>
      <c r="D1476" s="10" t="s">
        <v>567</v>
      </c>
      <c r="E1476" s="7" t="s">
        <v>1840</v>
      </c>
      <c r="F1476" s="5" t="s">
        <v>619</v>
      </c>
      <c r="G1476" s="22"/>
    </row>
    <row r="1477" spans="1:7" ht="20.25" customHeight="1">
      <c r="A1477" s="10">
        <v>31376</v>
      </c>
      <c r="B1477" s="10">
        <v>35376</v>
      </c>
      <c r="C1477" s="10">
        <f t="shared" ref="C1477:C1540" si="23">IF(ISERROR(FIND("B_Epic",E1477)),A1477,A1477+10000)</f>
        <v>41376</v>
      </c>
      <c r="D1477" s="10" t="s">
        <v>567</v>
      </c>
      <c r="E1477" s="7" t="s">
        <v>1841</v>
      </c>
      <c r="F1477" s="5" t="s">
        <v>619</v>
      </c>
      <c r="G1477" s="22"/>
    </row>
    <row r="1478" spans="1:7" ht="20.25" customHeight="1">
      <c r="A1478" s="10">
        <v>31377</v>
      </c>
      <c r="B1478" s="10">
        <v>35377</v>
      </c>
      <c r="C1478" s="10">
        <f t="shared" si="23"/>
        <v>31377</v>
      </c>
      <c r="D1478" s="10" t="s">
        <v>549</v>
      </c>
      <c r="E1478" s="7" t="s">
        <v>1842</v>
      </c>
      <c r="F1478" s="5"/>
      <c r="G1478" s="22"/>
    </row>
    <row r="1479" spans="1:7" ht="20.25" customHeight="1">
      <c r="A1479" s="10">
        <v>31378</v>
      </c>
      <c r="B1479" s="10">
        <v>35378</v>
      </c>
      <c r="C1479" s="10">
        <f t="shared" si="23"/>
        <v>31378</v>
      </c>
      <c r="D1479" s="10" t="s">
        <v>549</v>
      </c>
      <c r="E1479" s="7" t="s">
        <v>1843</v>
      </c>
      <c r="F1479" s="5"/>
      <c r="G1479" s="22"/>
    </row>
    <row r="1480" spans="1:7" ht="20.25" customHeight="1">
      <c r="A1480" s="10">
        <v>31379</v>
      </c>
      <c r="B1480" s="10">
        <v>35379</v>
      </c>
      <c r="C1480" s="10">
        <f t="shared" si="23"/>
        <v>31379</v>
      </c>
      <c r="D1480" s="10" t="s">
        <v>567</v>
      </c>
      <c r="E1480" s="168"/>
      <c r="F1480" s="5"/>
      <c r="G1480" s="219"/>
    </row>
    <row r="1481" spans="1:7" ht="20.25" customHeight="1">
      <c r="A1481" s="10">
        <v>31380</v>
      </c>
      <c r="B1481" s="10">
        <v>35380</v>
      </c>
      <c r="C1481" s="10">
        <f t="shared" si="23"/>
        <v>31380</v>
      </c>
      <c r="D1481" s="99" t="s">
        <v>567</v>
      </c>
      <c r="E1481" s="7" t="s">
        <v>1844</v>
      </c>
      <c r="F1481" s="166"/>
      <c r="G1481" s="22"/>
    </row>
    <row r="1482" spans="1:7" ht="20.25" customHeight="1">
      <c r="A1482" s="10">
        <v>31381</v>
      </c>
      <c r="B1482" s="10">
        <v>35381</v>
      </c>
      <c r="C1482" s="10">
        <f t="shared" si="23"/>
        <v>31381</v>
      </c>
      <c r="D1482" s="99" t="s">
        <v>567</v>
      </c>
      <c r="E1482" s="7" t="s">
        <v>1845</v>
      </c>
      <c r="F1482" s="166"/>
      <c r="G1482" s="22"/>
    </row>
    <row r="1483" spans="1:7" ht="20.25" customHeight="1">
      <c r="A1483" s="10">
        <v>31382</v>
      </c>
      <c r="B1483" s="10">
        <v>35382</v>
      </c>
      <c r="C1483" s="10">
        <f t="shared" si="23"/>
        <v>31382</v>
      </c>
      <c r="D1483" s="99" t="s">
        <v>567</v>
      </c>
      <c r="E1483" s="7" t="s">
        <v>1846</v>
      </c>
      <c r="F1483" s="166"/>
      <c r="G1483" s="22"/>
    </row>
    <row r="1484" spans="1:7" ht="20.25" customHeight="1">
      <c r="A1484" s="10">
        <v>31383</v>
      </c>
      <c r="B1484" s="10">
        <v>35383</v>
      </c>
      <c r="C1484" s="10">
        <f t="shared" si="23"/>
        <v>31383</v>
      </c>
      <c r="D1484" s="99" t="s">
        <v>549</v>
      </c>
      <c r="E1484" s="7" t="s">
        <v>1847</v>
      </c>
      <c r="F1484" s="166"/>
      <c r="G1484" s="22"/>
    </row>
    <row r="1485" spans="1:7" ht="20.25" customHeight="1">
      <c r="A1485" s="10">
        <v>31384</v>
      </c>
      <c r="B1485" s="10">
        <v>35384</v>
      </c>
      <c r="C1485" s="10">
        <f t="shared" si="23"/>
        <v>31384</v>
      </c>
      <c r="D1485" s="99" t="s">
        <v>549</v>
      </c>
      <c r="E1485" s="7" t="s">
        <v>1848</v>
      </c>
      <c r="F1485" s="166"/>
      <c r="G1485" s="22"/>
    </row>
    <row r="1486" spans="1:7" ht="20.25" customHeight="1">
      <c r="A1486" s="10">
        <v>31385</v>
      </c>
      <c r="B1486" s="10">
        <v>35385</v>
      </c>
      <c r="C1486" s="10">
        <f t="shared" si="23"/>
        <v>31385</v>
      </c>
      <c r="D1486" s="99" t="s">
        <v>549</v>
      </c>
      <c r="E1486" s="7" t="s">
        <v>1849</v>
      </c>
      <c r="F1486" s="166"/>
      <c r="G1486" s="22"/>
    </row>
    <row r="1487" spans="1:7" ht="20.25" customHeight="1">
      <c r="A1487" s="10">
        <v>31386</v>
      </c>
      <c r="B1487" s="10">
        <v>35386</v>
      </c>
      <c r="C1487" s="10">
        <f t="shared" si="23"/>
        <v>31386</v>
      </c>
      <c r="D1487" s="99" t="s">
        <v>549</v>
      </c>
      <c r="E1487" s="7" t="s">
        <v>1850</v>
      </c>
      <c r="F1487" s="166"/>
      <c r="G1487" s="22"/>
    </row>
    <row r="1488" spans="1:7" ht="20.25" customHeight="1">
      <c r="A1488" s="10">
        <v>31387</v>
      </c>
      <c r="B1488" s="10">
        <v>35387</v>
      </c>
      <c r="C1488" s="10">
        <f t="shared" si="23"/>
        <v>31387</v>
      </c>
      <c r="D1488" s="10" t="s">
        <v>567</v>
      </c>
      <c r="E1488" s="7" t="s">
        <v>1851</v>
      </c>
      <c r="F1488" s="166"/>
      <c r="G1488" s="22"/>
    </row>
    <row r="1489" spans="1:7" ht="20.25" customHeight="1">
      <c r="A1489" s="10">
        <v>31388</v>
      </c>
      <c r="B1489" s="10">
        <v>35388</v>
      </c>
      <c r="C1489" s="10">
        <f t="shared" si="23"/>
        <v>31388</v>
      </c>
      <c r="D1489" s="10" t="s">
        <v>567</v>
      </c>
      <c r="E1489" s="7" t="s">
        <v>1852</v>
      </c>
      <c r="F1489" s="166"/>
      <c r="G1489" s="22"/>
    </row>
    <row r="1490" spans="1:7" ht="20.25" customHeight="1">
      <c r="A1490" s="10">
        <v>31389</v>
      </c>
      <c r="B1490" s="10">
        <v>35389</v>
      </c>
      <c r="C1490" s="10">
        <f t="shared" si="23"/>
        <v>31389</v>
      </c>
      <c r="D1490" s="10" t="s">
        <v>567</v>
      </c>
      <c r="E1490" s="7" t="s">
        <v>1853</v>
      </c>
      <c r="F1490" s="166"/>
      <c r="G1490" s="22"/>
    </row>
    <row r="1491" spans="1:7" ht="20.25" customHeight="1">
      <c r="A1491" s="10">
        <v>31390</v>
      </c>
      <c r="B1491" s="10">
        <v>35390</v>
      </c>
      <c r="C1491" s="10">
        <f t="shared" si="23"/>
        <v>31390</v>
      </c>
      <c r="D1491" s="10" t="s">
        <v>567</v>
      </c>
      <c r="E1491" s="7" t="s">
        <v>1854</v>
      </c>
      <c r="F1491" s="166"/>
      <c r="G1491" s="22"/>
    </row>
    <row r="1492" spans="1:7" ht="20.25" customHeight="1">
      <c r="A1492" s="10">
        <v>31391</v>
      </c>
      <c r="B1492" s="10">
        <v>35391</v>
      </c>
      <c r="C1492" s="10">
        <f t="shared" si="23"/>
        <v>31391</v>
      </c>
      <c r="D1492" s="99" t="s">
        <v>549</v>
      </c>
      <c r="E1492" s="7" t="s">
        <v>1855</v>
      </c>
      <c r="F1492" s="166"/>
      <c r="G1492" s="22"/>
    </row>
    <row r="1493" spans="1:7" ht="20.25" customHeight="1">
      <c r="A1493" s="10">
        <v>31392</v>
      </c>
      <c r="B1493" s="10">
        <v>35392</v>
      </c>
      <c r="C1493" s="10">
        <f t="shared" si="23"/>
        <v>31392</v>
      </c>
      <c r="D1493" s="99" t="s">
        <v>549</v>
      </c>
      <c r="E1493" s="7" t="s">
        <v>1856</v>
      </c>
      <c r="F1493" s="166"/>
      <c r="G1493" s="22"/>
    </row>
    <row r="1494" spans="1:7" ht="20.25" customHeight="1">
      <c r="A1494" s="10">
        <v>31393</v>
      </c>
      <c r="B1494" s="10">
        <v>35393</v>
      </c>
      <c r="C1494" s="10">
        <f t="shared" si="23"/>
        <v>31393</v>
      </c>
      <c r="D1494" s="99" t="s">
        <v>549</v>
      </c>
      <c r="E1494" s="7" t="s">
        <v>1857</v>
      </c>
      <c r="F1494" s="166"/>
      <c r="G1494" s="22"/>
    </row>
    <row r="1495" spans="1:7" ht="20.25" customHeight="1">
      <c r="A1495" s="10">
        <v>31394</v>
      </c>
      <c r="B1495" s="10">
        <v>35394</v>
      </c>
      <c r="C1495" s="10">
        <f t="shared" si="23"/>
        <v>41394</v>
      </c>
      <c r="D1495" s="10" t="s">
        <v>567</v>
      </c>
      <c r="E1495" s="7" t="s">
        <v>1858</v>
      </c>
      <c r="F1495" s="5" t="s">
        <v>619</v>
      </c>
      <c r="G1495" s="22"/>
    </row>
    <row r="1496" spans="1:7" ht="20.25" customHeight="1">
      <c r="A1496" s="10">
        <v>31395</v>
      </c>
      <c r="B1496" s="10">
        <v>35395</v>
      </c>
      <c r="C1496" s="10">
        <f t="shared" si="23"/>
        <v>31395</v>
      </c>
      <c r="D1496" s="99" t="s">
        <v>549</v>
      </c>
      <c r="E1496" s="7" t="s">
        <v>1859</v>
      </c>
      <c r="F1496" s="166"/>
      <c r="G1496" s="22"/>
    </row>
    <row r="1497" spans="1:7" ht="20.25" customHeight="1">
      <c r="A1497" s="10">
        <v>31396</v>
      </c>
      <c r="B1497" s="10">
        <v>35396</v>
      </c>
      <c r="C1497" s="10">
        <f t="shared" si="23"/>
        <v>31396</v>
      </c>
      <c r="D1497" s="99" t="s">
        <v>549</v>
      </c>
      <c r="E1497" s="7" t="s">
        <v>1860</v>
      </c>
      <c r="F1497" s="166"/>
      <c r="G1497" s="22"/>
    </row>
    <row r="1498" spans="1:7" ht="20.25" customHeight="1">
      <c r="A1498" s="10">
        <v>31397</v>
      </c>
      <c r="B1498" s="10">
        <v>35397</v>
      </c>
      <c r="C1498" s="10">
        <f t="shared" si="23"/>
        <v>31397</v>
      </c>
      <c r="D1498" s="99" t="s">
        <v>549</v>
      </c>
      <c r="E1498" s="7" t="s">
        <v>1861</v>
      </c>
      <c r="F1498" s="166"/>
      <c r="G1498" s="22"/>
    </row>
    <row r="1499" spans="1:7" ht="20.25" customHeight="1">
      <c r="A1499" s="10">
        <v>31398</v>
      </c>
      <c r="B1499" s="10">
        <v>35398</v>
      </c>
      <c r="C1499" s="10">
        <f t="shared" si="23"/>
        <v>31398</v>
      </c>
      <c r="D1499" s="99" t="s">
        <v>549</v>
      </c>
      <c r="E1499" s="7" t="s">
        <v>1862</v>
      </c>
      <c r="F1499" s="166"/>
      <c r="G1499" s="22"/>
    </row>
    <row r="1500" spans="1:7" ht="20.25" customHeight="1">
      <c r="A1500" s="10">
        <v>31399</v>
      </c>
      <c r="B1500" s="10">
        <v>35399</v>
      </c>
      <c r="C1500" s="10">
        <f t="shared" si="23"/>
        <v>31399</v>
      </c>
      <c r="D1500" s="99" t="s">
        <v>549</v>
      </c>
      <c r="E1500" s="7" t="s">
        <v>1863</v>
      </c>
      <c r="F1500" s="166"/>
      <c r="G1500" s="22"/>
    </row>
    <row r="1501" spans="1:7" ht="20.25" customHeight="1">
      <c r="A1501" s="10">
        <v>31400</v>
      </c>
      <c r="B1501" s="10">
        <v>35400</v>
      </c>
      <c r="C1501" s="10">
        <f t="shared" si="23"/>
        <v>31400</v>
      </c>
      <c r="D1501" s="99" t="s">
        <v>549</v>
      </c>
      <c r="E1501" s="7"/>
      <c r="F1501" s="166"/>
      <c r="G1501" s="22"/>
    </row>
    <row r="1502" spans="1:7" ht="20.25" customHeight="1">
      <c r="A1502" s="10">
        <v>31401</v>
      </c>
      <c r="B1502" s="10">
        <v>35401</v>
      </c>
      <c r="C1502" s="10">
        <f t="shared" si="23"/>
        <v>31401</v>
      </c>
      <c r="D1502" s="99" t="s">
        <v>549</v>
      </c>
      <c r="E1502" s="7" t="s">
        <v>1864</v>
      </c>
      <c r="F1502" s="166"/>
      <c r="G1502" s="22"/>
    </row>
    <row r="1503" spans="1:7" ht="20.25" customHeight="1">
      <c r="A1503" s="10">
        <v>31402</v>
      </c>
      <c r="B1503" s="10">
        <v>35402</v>
      </c>
      <c r="C1503" s="10">
        <f t="shared" si="23"/>
        <v>31402</v>
      </c>
      <c r="D1503" s="99" t="s">
        <v>549</v>
      </c>
      <c r="E1503" s="121" t="s">
        <v>1865</v>
      </c>
      <c r="F1503" s="166"/>
      <c r="G1503" s="22"/>
    </row>
    <row r="1504" spans="1:7" ht="20.25" customHeight="1">
      <c r="A1504" s="10">
        <v>31403</v>
      </c>
      <c r="B1504" s="10">
        <v>35403</v>
      </c>
      <c r="C1504" s="10">
        <f t="shared" si="23"/>
        <v>31403</v>
      </c>
      <c r="D1504" s="99" t="s">
        <v>549</v>
      </c>
      <c r="E1504" s="7" t="s">
        <v>1866</v>
      </c>
      <c r="F1504" s="166"/>
      <c r="G1504" s="22"/>
    </row>
    <row r="1505" spans="1:7" ht="20.25" customHeight="1">
      <c r="A1505" s="10">
        <v>31404</v>
      </c>
      <c r="B1505" s="10">
        <v>35404</v>
      </c>
      <c r="C1505" s="10">
        <f t="shared" si="23"/>
        <v>31404</v>
      </c>
      <c r="D1505" s="99" t="s">
        <v>549</v>
      </c>
      <c r="E1505" s="7" t="s">
        <v>1867</v>
      </c>
      <c r="F1505" s="166"/>
      <c r="G1505" s="22"/>
    </row>
    <row r="1506" spans="1:7" ht="20.25" customHeight="1">
      <c r="A1506" s="10">
        <v>31405</v>
      </c>
      <c r="B1506" s="10">
        <v>35405</v>
      </c>
      <c r="C1506" s="10">
        <f t="shared" si="23"/>
        <v>31405</v>
      </c>
      <c r="D1506" s="99" t="s">
        <v>567</v>
      </c>
      <c r="E1506" s="7" t="s">
        <v>1868</v>
      </c>
      <c r="F1506" s="166"/>
      <c r="G1506" s="22"/>
    </row>
    <row r="1507" spans="1:7" ht="20.25" customHeight="1">
      <c r="A1507" s="10">
        <v>31406</v>
      </c>
      <c r="B1507" s="10">
        <v>35406</v>
      </c>
      <c r="C1507" s="10">
        <f t="shared" si="23"/>
        <v>31406</v>
      </c>
      <c r="D1507" s="99" t="s">
        <v>567</v>
      </c>
      <c r="E1507" s="7" t="s">
        <v>1869</v>
      </c>
      <c r="F1507" s="166"/>
      <c r="G1507" s="22"/>
    </row>
    <row r="1508" spans="1:7" ht="20.25" customHeight="1">
      <c r="A1508" s="10">
        <v>31407</v>
      </c>
      <c r="B1508" s="10">
        <v>35407</v>
      </c>
      <c r="C1508" s="10">
        <f t="shared" si="23"/>
        <v>31407</v>
      </c>
      <c r="D1508" s="99" t="s">
        <v>567</v>
      </c>
      <c r="E1508" s="7" t="s">
        <v>1870</v>
      </c>
      <c r="F1508" s="166"/>
      <c r="G1508" s="22"/>
    </row>
    <row r="1509" spans="1:7" ht="20.25" customHeight="1">
      <c r="A1509" s="10">
        <v>31408</v>
      </c>
      <c r="B1509" s="10">
        <v>35408</v>
      </c>
      <c r="C1509" s="10">
        <f t="shared" si="23"/>
        <v>31408</v>
      </c>
      <c r="D1509" s="99" t="s">
        <v>567</v>
      </c>
      <c r="E1509" s="7" t="s">
        <v>1871</v>
      </c>
      <c r="F1509" s="166"/>
      <c r="G1509" s="22"/>
    </row>
    <row r="1510" spans="1:7" ht="20.25" customHeight="1">
      <c r="A1510" s="10">
        <v>31409</v>
      </c>
      <c r="B1510" s="10">
        <v>35409</v>
      </c>
      <c r="C1510" s="10">
        <f t="shared" si="23"/>
        <v>31409</v>
      </c>
      <c r="D1510" s="99" t="s">
        <v>549</v>
      </c>
      <c r="E1510" s="7" t="s">
        <v>1872</v>
      </c>
      <c r="F1510" s="166"/>
      <c r="G1510" s="22"/>
    </row>
    <row r="1511" spans="1:7" ht="20.25" customHeight="1">
      <c r="A1511" s="10">
        <v>31410</v>
      </c>
      <c r="B1511" s="10">
        <v>35410</v>
      </c>
      <c r="C1511" s="10">
        <f t="shared" si="23"/>
        <v>31410</v>
      </c>
      <c r="D1511" s="99" t="s">
        <v>549</v>
      </c>
      <c r="E1511" s="7" t="s">
        <v>1873</v>
      </c>
      <c r="F1511" s="166"/>
      <c r="G1511" s="22"/>
    </row>
    <row r="1512" spans="1:7" ht="20.25" customHeight="1">
      <c r="A1512" s="10">
        <v>31411</v>
      </c>
      <c r="B1512" s="10">
        <v>35411</v>
      </c>
      <c r="C1512" s="10">
        <f t="shared" si="23"/>
        <v>31411</v>
      </c>
      <c r="D1512" s="99" t="s">
        <v>549</v>
      </c>
      <c r="E1512" s="7" t="s">
        <v>1874</v>
      </c>
      <c r="F1512" s="166"/>
      <c r="G1512" s="22"/>
    </row>
    <row r="1513" spans="1:7" ht="20.25" customHeight="1">
      <c r="A1513" s="10">
        <v>31412</v>
      </c>
      <c r="B1513" s="10">
        <v>35412</v>
      </c>
      <c r="C1513" s="10">
        <f t="shared" si="23"/>
        <v>31412</v>
      </c>
      <c r="D1513" s="99" t="s">
        <v>549</v>
      </c>
      <c r="E1513" s="7" t="s">
        <v>1875</v>
      </c>
      <c r="F1513" s="166"/>
      <c r="G1513" s="22"/>
    </row>
    <row r="1514" spans="1:7" ht="20.25" customHeight="1">
      <c r="A1514" s="10">
        <v>31413</v>
      </c>
      <c r="B1514" s="10">
        <v>35413</v>
      </c>
      <c r="C1514" s="10">
        <f t="shared" si="23"/>
        <v>31413</v>
      </c>
      <c r="D1514" s="99" t="s">
        <v>549</v>
      </c>
      <c r="E1514" s="7" t="s">
        <v>1876</v>
      </c>
      <c r="F1514" s="166"/>
      <c r="G1514" s="22"/>
    </row>
    <row r="1515" spans="1:7" ht="20.25" customHeight="1">
      <c r="A1515" s="10">
        <v>31414</v>
      </c>
      <c r="B1515" s="10">
        <v>35414</v>
      </c>
      <c r="C1515" s="10">
        <f t="shared" si="23"/>
        <v>31414</v>
      </c>
      <c r="D1515" s="10" t="s">
        <v>549</v>
      </c>
      <c r="E1515" s="218"/>
      <c r="G1515" s="22"/>
    </row>
    <row r="1516" spans="1:7" ht="20.25" customHeight="1">
      <c r="A1516" s="10">
        <v>31415</v>
      </c>
      <c r="B1516" s="10">
        <v>35415</v>
      </c>
      <c r="C1516" s="10">
        <f t="shared" si="23"/>
        <v>41415</v>
      </c>
      <c r="D1516" s="10" t="s">
        <v>567</v>
      </c>
      <c r="E1516" s="7" t="s">
        <v>1877</v>
      </c>
      <c r="F1516" s="5" t="s">
        <v>619</v>
      </c>
      <c r="G1516" s="22"/>
    </row>
    <row r="1517" spans="1:7" ht="20.25" customHeight="1">
      <c r="A1517" s="10">
        <v>31416</v>
      </c>
      <c r="B1517" s="10">
        <v>35416</v>
      </c>
      <c r="C1517" s="10">
        <f t="shared" si="23"/>
        <v>31416</v>
      </c>
      <c r="D1517" s="99" t="s">
        <v>549</v>
      </c>
      <c r="E1517" s="7" t="s">
        <v>1878</v>
      </c>
      <c r="F1517" s="166"/>
      <c r="G1517" s="22"/>
    </row>
    <row r="1518" spans="1:7" ht="20.25" customHeight="1">
      <c r="A1518" s="10">
        <v>31417</v>
      </c>
      <c r="B1518" s="10">
        <v>35417</v>
      </c>
      <c r="C1518" s="10">
        <f t="shared" si="23"/>
        <v>31417</v>
      </c>
      <c r="D1518" s="99" t="s">
        <v>549</v>
      </c>
      <c r="E1518" s="121" t="s">
        <v>1879</v>
      </c>
      <c r="F1518" s="166"/>
      <c r="G1518" s="22"/>
    </row>
    <row r="1519" spans="1:7" ht="20.25" customHeight="1">
      <c r="A1519" s="10">
        <v>31418</v>
      </c>
      <c r="B1519" s="10">
        <v>35418</v>
      </c>
      <c r="C1519" s="10">
        <f t="shared" si="23"/>
        <v>31418</v>
      </c>
      <c r="D1519" s="99" t="s">
        <v>549</v>
      </c>
      <c r="E1519" t="s">
        <v>1880</v>
      </c>
      <c r="F1519" s="166"/>
      <c r="G1519" s="22"/>
    </row>
    <row r="1520" spans="1:7" ht="20.25" customHeight="1">
      <c r="A1520" s="10">
        <v>31419</v>
      </c>
      <c r="B1520" s="10">
        <v>35419</v>
      </c>
      <c r="C1520" s="10">
        <f t="shared" si="23"/>
        <v>31419</v>
      </c>
      <c r="D1520" s="99" t="s">
        <v>549</v>
      </c>
      <c r="E1520" t="s">
        <v>1881</v>
      </c>
      <c r="F1520" s="166"/>
      <c r="G1520" s="22"/>
    </row>
    <row r="1521" spans="1:7" ht="20.25" customHeight="1">
      <c r="A1521" s="10">
        <v>31420</v>
      </c>
      <c r="B1521" s="10">
        <v>35420</v>
      </c>
      <c r="C1521" s="10">
        <f t="shared" si="23"/>
        <v>31420</v>
      </c>
      <c r="D1521" s="99" t="s">
        <v>567</v>
      </c>
      <c r="E1521" s="7" t="s">
        <v>1882</v>
      </c>
      <c r="F1521" s="166"/>
      <c r="G1521" s="22"/>
    </row>
    <row r="1522" spans="1:7" ht="20.25" customHeight="1">
      <c r="A1522" s="10">
        <v>31421</v>
      </c>
      <c r="B1522" s="10">
        <v>35421</v>
      </c>
      <c r="C1522" s="10">
        <f t="shared" si="23"/>
        <v>31421</v>
      </c>
      <c r="D1522" s="99" t="s">
        <v>549</v>
      </c>
      <c r="E1522" s="7" t="s">
        <v>1883</v>
      </c>
      <c r="F1522" s="166"/>
      <c r="G1522" s="22"/>
    </row>
    <row r="1523" spans="1:7" ht="20.25" customHeight="1">
      <c r="A1523" s="10">
        <v>31422</v>
      </c>
      <c r="B1523" s="10">
        <v>35422</v>
      </c>
      <c r="C1523" s="10">
        <f t="shared" si="23"/>
        <v>31422</v>
      </c>
      <c r="D1523" s="99" t="s">
        <v>549</v>
      </c>
      <c r="E1523" s="7" t="s">
        <v>1884</v>
      </c>
      <c r="F1523" s="166"/>
      <c r="G1523" s="22"/>
    </row>
    <row r="1524" spans="1:7" ht="20.25" customHeight="1">
      <c r="A1524" s="10">
        <v>31423</v>
      </c>
      <c r="B1524" s="10">
        <v>35423</v>
      </c>
      <c r="C1524" s="10">
        <f t="shared" si="23"/>
        <v>31423</v>
      </c>
      <c r="D1524" s="99" t="s">
        <v>549</v>
      </c>
      <c r="E1524" s="7" t="s">
        <v>1885</v>
      </c>
      <c r="F1524" s="166"/>
      <c r="G1524" s="22"/>
    </row>
    <row r="1525" spans="1:7" ht="20.25" customHeight="1">
      <c r="A1525" s="10">
        <v>31424</v>
      </c>
      <c r="B1525" s="10">
        <v>35424</v>
      </c>
      <c r="C1525" s="10">
        <f t="shared" si="23"/>
        <v>31424</v>
      </c>
      <c r="D1525" s="99" t="s">
        <v>549</v>
      </c>
      <c r="E1525" s="7" t="s">
        <v>1886</v>
      </c>
      <c r="F1525" s="166"/>
      <c r="G1525" s="22"/>
    </row>
    <row r="1526" spans="1:7" ht="20.25" customHeight="1">
      <c r="A1526" s="10">
        <v>31425</v>
      </c>
      <c r="B1526" s="10">
        <v>35425</v>
      </c>
      <c r="C1526" s="10">
        <f t="shared" si="23"/>
        <v>31425</v>
      </c>
      <c r="D1526" s="99" t="s">
        <v>549</v>
      </c>
      <c r="E1526" s="7" t="s">
        <v>1887</v>
      </c>
      <c r="F1526" s="166"/>
      <c r="G1526" s="22"/>
    </row>
    <row r="1527" spans="1:7" ht="20.25" customHeight="1">
      <c r="A1527" s="10">
        <v>31426</v>
      </c>
      <c r="B1527" s="10">
        <v>35426</v>
      </c>
      <c r="C1527" s="10">
        <f t="shared" si="23"/>
        <v>31426</v>
      </c>
      <c r="D1527" s="99" t="s">
        <v>549</v>
      </c>
      <c r="E1527" s="7" t="s">
        <v>1888</v>
      </c>
      <c r="F1527" s="166"/>
      <c r="G1527" s="22"/>
    </row>
    <row r="1528" spans="1:7" ht="20.25" customHeight="1">
      <c r="A1528" s="10">
        <v>31427</v>
      </c>
      <c r="B1528" s="10">
        <v>35427</v>
      </c>
      <c r="C1528" s="10">
        <f t="shared" si="23"/>
        <v>31427</v>
      </c>
      <c r="D1528" s="99" t="s">
        <v>549</v>
      </c>
      <c r="E1528" s="7" t="s">
        <v>1889</v>
      </c>
      <c r="F1528" s="166"/>
      <c r="G1528" s="22"/>
    </row>
    <row r="1529" spans="1:7" ht="20.25" customHeight="1">
      <c r="A1529" s="10">
        <v>31428</v>
      </c>
      <c r="B1529" s="10">
        <v>35428</v>
      </c>
      <c r="C1529" s="10">
        <f t="shared" si="23"/>
        <v>31428</v>
      </c>
      <c r="D1529" s="99" t="s">
        <v>549</v>
      </c>
      <c r="E1529" s="7" t="s">
        <v>1890</v>
      </c>
      <c r="F1529" s="166"/>
      <c r="G1529" s="22"/>
    </row>
    <row r="1530" spans="1:7" ht="20.25" customHeight="1">
      <c r="A1530" s="10">
        <v>31429</v>
      </c>
      <c r="B1530" s="10">
        <v>35429</v>
      </c>
      <c r="C1530" s="10">
        <f t="shared" si="23"/>
        <v>31429</v>
      </c>
      <c r="D1530" s="99" t="s">
        <v>549</v>
      </c>
      <c r="E1530" s="7" t="s">
        <v>1891</v>
      </c>
      <c r="F1530" s="166"/>
      <c r="G1530" s="22"/>
    </row>
    <row r="1531" spans="1:7" ht="20.25" customHeight="1">
      <c r="A1531" s="10">
        <v>31430</v>
      </c>
      <c r="B1531" s="10">
        <v>35430</v>
      </c>
      <c r="C1531" s="10">
        <f t="shared" si="23"/>
        <v>31430</v>
      </c>
      <c r="D1531" s="99" t="s">
        <v>549</v>
      </c>
      <c r="E1531" s="7" t="s">
        <v>1892</v>
      </c>
      <c r="F1531" s="166"/>
      <c r="G1531" s="22"/>
    </row>
    <row r="1532" spans="1:7" ht="20.25" customHeight="1">
      <c r="A1532" s="10">
        <v>31431</v>
      </c>
      <c r="B1532" s="10">
        <v>35431</v>
      </c>
      <c r="C1532" s="10">
        <f t="shared" si="23"/>
        <v>31431</v>
      </c>
      <c r="D1532" s="99" t="s">
        <v>549</v>
      </c>
      <c r="E1532" s="7" t="s">
        <v>1893</v>
      </c>
      <c r="F1532" s="166"/>
      <c r="G1532" s="22"/>
    </row>
    <row r="1533" spans="1:7" ht="20.25" customHeight="1">
      <c r="A1533" s="10">
        <v>31432</v>
      </c>
      <c r="B1533" s="10">
        <v>35432</v>
      </c>
      <c r="C1533" s="10">
        <f t="shared" si="23"/>
        <v>31432</v>
      </c>
      <c r="D1533" s="99" t="s">
        <v>549</v>
      </c>
      <c r="E1533" s="7" t="s">
        <v>1378</v>
      </c>
      <c r="F1533" s="166"/>
      <c r="G1533" s="22"/>
    </row>
    <row r="1534" spans="1:7" ht="20.25" customHeight="1">
      <c r="A1534" s="10">
        <v>31433</v>
      </c>
      <c r="B1534" s="10">
        <v>35433</v>
      </c>
      <c r="C1534" s="10">
        <f t="shared" si="23"/>
        <v>31433</v>
      </c>
      <c r="D1534" s="99" t="s">
        <v>549</v>
      </c>
      <c r="E1534" s="7" t="s">
        <v>1380</v>
      </c>
      <c r="F1534" s="166"/>
      <c r="G1534" s="22"/>
    </row>
    <row r="1535" spans="1:7" ht="20.25" customHeight="1">
      <c r="A1535" s="10">
        <v>31434</v>
      </c>
      <c r="B1535" s="10">
        <v>35434</v>
      </c>
      <c r="C1535" s="10">
        <f t="shared" si="23"/>
        <v>31434</v>
      </c>
      <c r="D1535" s="99" t="s">
        <v>549</v>
      </c>
      <c r="E1535" s="7" t="s">
        <v>1872</v>
      </c>
      <c r="F1535" s="166"/>
      <c r="G1535" s="22"/>
    </row>
    <row r="1536" spans="1:7" ht="20.25" customHeight="1">
      <c r="A1536" s="10">
        <v>31435</v>
      </c>
      <c r="B1536" s="10">
        <v>35435</v>
      </c>
      <c r="C1536" s="10">
        <f t="shared" si="23"/>
        <v>31435</v>
      </c>
      <c r="D1536" s="99" t="s">
        <v>549</v>
      </c>
      <c r="E1536" s="7" t="s">
        <v>1894</v>
      </c>
      <c r="F1536" s="166"/>
      <c r="G1536" s="22"/>
    </row>
    <row r="1537" spans="1:7" ht="20.25" customHeight="1">
      <c r="A1537" s="10">
        <v>31436</v>
      </c>
      <c r="B1537" s="10">
        <v>35436</v>
      </c>
      <c r="C1537" s="10">
        <f t="shared" si="23"/>
        <v>31436</v>
      </c>
      <c r="D1537" s="99" t="s">
        <v>549</v>
      </c>
      <c r="E1537" s="7" t="s">
        <v>1350</v>
      </c>
      <c r="F1537" s="166"/>
      <c r="G1537" s="22"/>
    </row>
    <row r="1538" spans="1:7" ht="20.25" customHeight="1">
      <c r="A1538" s="10">
        <v>31437</v>
      </c>
      <c r="B1538" s="10">
        <v>35437</v>
      </c>
      <c r="C1538" s="10">
        <f t="shared" si="23"/>
        <v>31437</v>
      </c>
      <c r="D1538" s="99" t="s">
        <v>549</v>
      </c>
      <c r="E1538" s="7" t="s">
        <v>1360</v>
      </c>
      <c r="F1538" s="166"/>
      <c r="G1538" s="22"/>
    </row>
    <row r="1539" spans="1:7" ht="20.25" customHeight="1">
      <c r="A1539" s="10">
        <v>31438</v>
      </c>
      <c r="B1539" s="10">
        <v>35438</v>
      </c>
      <c r="C1539" s="10">
        <f t="shared" si="23"/>
        <v>31438</v>
      </c>
      <c r="D1539" s="99" t="s">
        <v>549</v>
      </c>
      <c r="E1539" s="7" t="s">
        <v>1379</v>
      </c>
      <c r="F1539" s="166"/>
      <c r="G1539" s="22"/>
    </row>
    <row r="1540" spans="1:7" ht="20.25" customHeight="1">
      <c r="A1540" s="10">
        <v>31439</v>
      </c>
      <c r="B1540" s="10">
        <v>35439</v>
      </c>
      <c r="C1540" s="10">
        <f t="shared" si="23"/>
        <v>31439</v>
      </c>
      <c r="D1540" s="99" t="s">
        <v>549</v>
      </c>
      <c r="E1540" s="7" t="s">
        <v>1352</v>
      </c>
      <c r="F1540" s="166"/>
      <c r="G1540" s="22"/>
    </row>
    <row r="1541" spans="1:7" ht="20.25" customHeight="1">
      <c r="A1541" s="10">
        <v>31440</v>
      </c>
      <c r="B1541" s="10">
        <v>35440</v>
      </c>
      <c r="C1541" s="10">
        <f t="shared" ref="C1541:C1604" si="24">IF(ISERROR(FIND("B_Epic",E1541)),A1541,A1541+10000)</f>
        <v>31440</v>
      </c>
      <c r="D1541" s="99" t="s">
        <v>549</v>
      </c>
      <c r="E1541" s="7" t="s">
        <v>657</v>
      </c>
      <c r="F1541" s="166"/>
      <c r="G1541" s="22"/>
    </row>
    <row r="1542" spans="1:7" ht="20.25" customHeight="1">
      <c r="A1542" s="10">
        <v>31441</v>
      </c>
      <c r="B1542" s="10">
        <v>35441</v>
      </c>
      <c r="C1542" s="10">
        <f t="shared" si="24"/>
        <v>31441</v>
      </c>
      <c r="D1542" s="99" t="s">
        <v>549</v>
      </c>
      <c r="E1542" s="7" t="s">
        <v>1895</v>
      </c>
      <c r="F1542" s="166"/>
      <c r="G1542" s="22"/>
    </row>
    <row r="1543" spans="1:7" ht="20.25" customHeight="1">
      <c r="A1543" s="10">
        <v>31442</v>
      </c>
      <c r="B1543" s="10">
        <v>35442</v>
      </c>
      <c r="C1543" s="10">
        <f t="shared" si="24"/>
        <v>31442</v>
      </c>
      <c r="D1543" s="99" t="s">
        <v>549</v>
      </c>
      <c r="E1543" s="7" t="s">
        <v>1896</v>
      </c>
      <c r="F1543" s="166"/>
      <c r="G1543" s="22"/>
    </row>
    <row r="1544" spans="1:7" ht="20.25" customHeight="1">
      <c r="A1544" s="10">
        <v>31443</v>
      </c>
      <c r="B1544" s="10">
        <v>35443</v>
      </c>
      <c r="C1544" s="10">
        <f t="shared" si="24"/>
        <v>31443</v>
      </c>
      <c r="D1544" s="99" t="s">
        <v>549</v>
      </c>
      <c r="E1544" s="7" t="s">
        <v>1897</v>
      </c>
      <c r="F1544" s="166"/>
      <c r="G1544" s="22"/>
    </row>
    <row r="1545" spans="1:7" ht="20.25" customHeight="1">
      <c r="A1545" s="10">
        <v>31444</v>
      </c>
      <c r="B1545" s="10">
        <v>35444</v>
      </c>
      <c r="C1545" s="10">
        <f t="shared" si="24"/>
        <v>31444</v>
      </c>
      <c r="D1545" s="99" t="s">
        <v>549</v>
      </c>
      <c r="E1545" s="7" t="s">
        <v>1898</v>
      </c>
      <c r="F1545" s="166"/>
      <c r="G1545" s="22"/>
    </row>
    <row r="1546" spans="1:7" ht="20.25" customHeight="1">
      <c r="A1546" s="10">
        <v>31445</v>
      </c>
      <c r="B1546" s="10">
        <v>35445</v>
      </c>
      <c r="C1546" s="10">
        <f t="shared" si="24"/>
        <v>41445</v>
      </c>
      <c r="D1546" s="10" t="s">
        <v>549</v>
      </c>
      <c r="E1546" s="7" t="s">
        <v>1899</v>
      </c>
      <c r="F1546" s="5" t="s">
        <v>635</v>
      </c>
      <c r="G1546" s="22"/>
    </row>
    <row r="1547" spans="1:7" ht="20.25" customHeight="1">
      <c r="A1547" s="10">
        <v>31446</v>
      </c>
      <c r="B1547" s="10">
        <v>35446</v>
      </c>
      <c r="C1547" s="10">
        <f t="shared" si="24"/>
        <v>31446</v>
      </c>
      <c r="D1547" s="99" t="s">
        <v>567</v>
      </c>
      <c r="E1547" s="7"/>
      <c r="G1547" s="22"/>
    </row>
    <row r="1548" spans="1:7" ht="20.25" customHeight="1">
      <c r="A1548" s="10">
        <v>31447</v>
      </c>
      <c r="B1548" s="10">
        <v>35447</v>
      </c>
      <c r="C1548" s="10">
        <f t="shared" si="24"/>
        <v>31447</v>
      </c>
      <c r="D1548" s="99" t="s">
        <v>549</v>
      </c>
      <c r="E1548" s="7" t="s">
        <v>1900</v>
      </c>
      <c r="F1548" s="166"/>
      <c r="G1548" s="22"/>
    </row>
    <row r="1549" spans="1:7" ht="20.25" customHeight="1">
      <c r="A1549" s="10">
        <v>31448</v>
      </c>
      <c r="B1549" s="10">
        <v>35448</v>
      </c>
      <c r="C1549" s="10">
        <f t="shared" si="24"/>
        <v>31448</v>
      </c>
      <c r="D1549" s="10" t="s">
        <v>567</v>
      </c>
      <c r="E1549" s="228"/>
      <c r="F1549" s="5"/>
      <c r="G1549" s="22"/>
    </row>
    <row r="1550" spans="1:7" ht="20.25" customHeight="1">
      <c r="A1550" s="10">
        <v>31449</v>
      </c>
      <c r="B1550" s="10">
        <v>35449</v>
      </c>
      <c r="C1550" s="10">
        <f t="shared" si="24"/>
        <v>31449</v>
      </c>
      <c r="D1550" s="99"/>
      <c r="E1550" s="7"/>
      <c r="F1550" s="166"/>
      <c r="G1550" s="22"/>
    </row>
    <row r="1551" spans="1:7" ht="20.25" customHeight="1">
      <c r="A1551" s="10">
        <v>31450</v>
      </c>
      <c r="B1551" s="10">
        <v>35450</v>
      </c>
      <c r="C1551" s="10">
        <f t="shared" si="24"/>
        <v>31450</v>
      </c>
      <c r="D1551" s="99" t="s">
        <v>549</v>
      </c>
      <c r="E1551" s="7" t="s">
        <v>1901</v>
      </c>
      <c r="F1551" s="166"/>
      <c r="G1551" s="22"/>
    </row>
    <row r="1552" spans="1:7" ht="20.25" customHeight="1">
      <c r="A1552" s="10">
        <v>31451</v>
      </c>
      <c r="B1552" s="10">
        <v>35451</v>
      </c>
      <c r="C1552" s="10">
        <f t="shared" si="24"/>
        <v>31451</v>
      </c>
      <c r="D1552" s="99" t="s">
        <v>549</v>
      </c>
      <c r="E1552" s="7" t="s">
        <v>1902</v>
      </c>
      <c r="F1552" s="166"/>
      <c r="G1552" s="22"/>
    </row>
    <row r="1553" spans="1:7" ht="20.25" customHeight="1">
      <c r="A1553" s="10">
        <v>31452</v>
      </c>
      <c r="B1553" s="10">
        <v>35452</v>
      </c>
      <c r="C1553" s="10">
        <f t="shared" si="24"/>
        <v>31452</v>
      </c>
      <c r="D1553" s="99" t="s">
        <v>549</v>
      </c>
      <c r="E1553" s="7"/>
      <c r="F1553" s="166"/>
      <c r="G1553" s="22"/>
    </row>
    <row r="1554" spans="1:7" ht="20.25" customHeight="1">
      <c r="A1554" s="10">
        <v>31453</v>
      </c>
      <c r="B1554" s="10">
        <v>35453</v>
      </c>
      <c r="C1554" s="10">
        <f t="shared" si="24"/>
        <v>31453</v>
      </c>
      <c r="D1554" s="99" t="s">
        <v>567</v>
      </c>
      <c r="E1554" s="7" t="s">
        <v>1903</v>
      </c>
      <c r="F1554" s="166"/>
      <c r="G1554" s="22"/>
    </row>
    <row r="1555" spans="1:7" ht="20.25" customHeight="1">
      <c r="A1555" s="10">
        <v>31454</v>
      </c>
      <c r="B1555" s="10">
        <v>35454</v>
      </c>
      <c r="C1555" s="10">
        <f t="shared" si="24"/>
        <v>31454</v>
      </c>
      <c r="D1555" s="10" t="s">
        <v>549</v>
      </c>
      <c r="E1555" s="7"/>
      <c r="F1555" s="7"/>
      <c r="G1555" s="22"/>
    </row>
    <row r="1556" spans="1:7" ht="20.25" customHeight="1">
      <c r="A1556" s="10">
        <v>31455</v>
      </c>
      <c r="B1556" s="10">
        <v>35455</v>
      </c>
      <c r="C1556" s="10">
        <f t="shared" si="24"/>
        <v>31455</v>
      </c>
      <c r="D1556" s="99" t="s">
        <v>549</v>
      </c>
      <c r="E1556" s="7" t="s">
        <v>1904</v>
      </c>
      <c r="F1556" s="166"/>
      <c r="G1556" s="22"/>
    </row>
    <row r="1557" spans="1:7" ht="20.25" customHeight="1">
      <c r="A1557" s="10">
        <v>31456</v>
      </c>
      <c r="B1557" s="10">
        <v>35456</v>
      </c>
      <c r="C1557" s="10">
        <f t="shared" si="24"/>
        <v>31456</v>
      </c>
      <c r="D1557" s="99" t="s">
        <v>549</v>
      </c>
      <c r="E1557" s="7" t="s">
        <v>1905</v>
      </c>
      <c r="F1557" s="166"/>
      <c r="G1557" s="22"/>
    </row>
    <row r="1558" spans="1:7" ht="20.25" customHeight="1">
      <c r="A1558" s="10">
        <v>31457</v>
      </c>
      <c r="B1558" s="10">
        <v>35457</v>
      </c>
      <c r="C1558" s="10">
        <f t="shared" si="24"/>
        <v>31457</v>
      </c>
      <c r="D1558" s="10" t="s">
        <v>549</v>
      </c>
      <c r="E1558" s="7"/>
      <c r="F1558" s="5"/>
      <c r="G1558" s="22"/>
    </row>
    <row r="1559" spans="1:7" ht="20.25" customHeight="1">
      <c r="A1559" s="10">
        <v>31458</v>
      </c>
      <c r="B1559" s="10">
        <v>35458</v>
      </c>
      <c r="C1559" s="10">
        <f t="shared" si="24"/>
        <v>31458</v>
      </c>
      <c r="D1559" s="10" t="s">
        <v>549</v>
      </c>
      <c r="E1559" s="218"/>
      <c r="G1559" s="22"/>
    </row>
    <row r="1560" spans="1:7" ht="20.25" customHeight="1">
      <c r="A1560" s="10">
        <v>31459</v>
      </c>
      <c r="B1560" s="10">
        <v>35459</v>
      </c>
      <c r="C1560" s="10">
        <f t="shared" si="24"/>
        <v>31459</v>
      </c>
      <c r="D1560" s="99" t="s">
        <v>549</v>
      </c>
      <c r="E1560" s="7" t="s">
        <v>1906</v>
      </c>
      <c r="F1560" s="166"/>
      <c r="G1560" s="22"/>
    </row>
    <row r="1561" spans="1:7" ht="20.25" customHeight="1">
      <c r="A1561" s="10">
        <v>31460</v>
      </c>
      <c r="B1561" s="10">
        <v>35460</v>
      </c>
      <c r="C1561" s="10">
        <f t="shared" si="24"/>
        <v>31460</v>
      </c>
      <c r="D1561" s="99" t="s">
        <v>549</v>
      </c>
      <c r="E1561" s="7" t="s">
        <v>1907</v>
      </c>
      <c r="F1561" s="166"/>
      <c r="G1561" s="22"/>
    </row>
    <row r="1562" spans="1:7" ht="20.25" customHeight="1">
      <c r="A1562" s="10">
        <v>31461</v>
      </c>
      <c r="B1562" s="10">
        <v>35461</v>
      </c>
      <c r="C1562" s="10">
        <f t="shared" si="24"/>
        <v>31461</v>
      </c>
      <c r="D1562" s="10" t="s">
        <v>549</v>
      </c>
      <c r="E1562" s="5" t="s">
        <v>1908</v>
      </c>
      <c r="F1562" s="166"/>
      <c r="G1562" s="22"/>
    </row>
    <row r="1563" spans="1:7" ht="20.25" customHeight="1">
      <c r="A1563" s="10">
        <v>31462</v>
      </c>
      <c r="B1563" s="10">
        <v>35462</v>
      </c>
      <c r="C1563" s="10">
        <f t="shared" si="24"/>
        <v>31462</v>
      </c>
      <c r="D1563" s="10" t="s">
        <v>549</v>
      </c>
      <c r="E1563" s="5" t="s">
        <v>1909</v>
      </c>
      <c r="F1563" s="166"/>
      <c r="G1563" s="22"/>
    </row>
    <row r="1564" spans="1:7" ht="20.25" customHeight="1">
      <c r="A1564" s="10">
        <v>31463</v>
      </c>
      <c r="B1564" s="10">
        <v>35463</v>
      </c>
      <c r="C1564" s="10">
        <f t="shared" si="24"/>
        <v>31463</v>
      </c>
      <c r="D1564" s="10" t="s">
        <v>549</v>
      </c>
      <c r="E1564" s="5" t="s">
        <v>1910</v>
      </c>
      <c r="F1564" s="166"/>
      <c r="G1564" s="22"/>
    </row>
    <row r="1565" spans="1:7" ht="20.25" customHeight="1">
      <c r="A1565" s="10">
        <v>31464</v>
      </c>
      <c r="B1565" s="10">
        <v>35464</v>
      </c>
      <c r="C1565" s="10">
        <f t="shared" si="24"/>
        <v>31464</v>
      </c>
      <c r="D1565" s="10" t="s">
        <v>549</v>
      </c>
      <c r="E1565" s="5" t="s">
        <v>1911</v>
      </c>
      <c r="F1565" s="166"/>
      <c r="G1565" s="22"/>
    </row>
    <row r="1566" spans="1:7" ht="20.25" customHeight="1">
      <c r="A1566" s="10">
        <v>31465</v>
      </c>
      <c r="B1566" s="10">
        <v>35465</v>
      </c>
      <c r="C1566" s="10">
        <f t="shared" si="24"/>
        <v>31465</v>
      </c>
      <c r="D1566" s="10" t="s">
        <v>549</v>
      </c>
      <c r="E1566" s="5" t="s">
        <v>1912</v>
      </c>
      <c r="F1566" s="166"/>
      <c r="G1566" s="22"/>
    </row>
    <row r="1567" spans="1:7" ht="20.25" customHeight="1">
      <c r="A1567" s="10">
        <v>31466</v>
      </c>
      <c r="B1567" s="10">
        <v>35466</v>
      </c>
      <c r="C1567" s="10">
        <f t="shared" si="24"/>
        <v>31466</v>
      </c>
      <c r="D1567" s="10" t="s">
        <v>549</v>
      </c>
      <c r="E1567" s="5" t="s">
        <v>1913</v>
      </c>
      <c r="F1567" s="166"/>
      <c r="G1567" s="22"/>
    </row>
    <row r="1568" spans="1:7" ht="20.25" customHeight="1">
      <c r="A1568" s="10">
        <v>31467</v>
      </c>
      <c r="B1568" s="10">
        <v>35467</v>
      </c>
      <c r="C1568" s="10">
        <f t="shared" si="24"/>
        <v>31467</v>
      </c>
      <c r="D1568" s="10" t="s">
        <v>549</v>
      </c>
      <c r="E1568" s="5" t="s">
        <v>1914</v>
      </c>
      <c r="F1568" s="166"/>
      <c r="G1568" s="22"/>
    </row>
    <row r="1569" spans="1:7" ht="20.25" customHeight="1">
      <c r="A1569" s="10">
        <v>31468</v>
      </c>
      <c r="B1569" s="10">
        <v>35468</v>
      </c>
      <c r="C1569" s="10">
        <f t="shared" si="24"/>
        <v>31468</v>
      </c>
      <c r="D1569" s="99" t="s">
        <v>549</v>
      </c>
      <c r="E1569" s="7" t="s">
        <v>1915</v>
      </c>
      <c r="F1569" s="166"/>
      <c r="G1569" s="22"/>
    </row>
    <row r="1570" spans="1:7" ht="20.25" customHeight="1">
      <c r="A1570" s="10">
        <v>31469</v>
      </c>
      <c r="B1570" s="10">
        <v>35469</v>
      </c>
      <c r="C1570" s="10">
        <f t="shared" si="24"/>
        <v>31469</v>
      </c>
      <c r="D1570" s="10" t="s">
        <v>549</v>
      </c>
      <c r="E1570" s="7"/>
      <c r="F1570" s="5"/>
      <c r="G1570" s="22"/>
    </row>
    <row r="1571" spans="1:7" ht="20.25" customHeight="1">
      <c r="A1571" s="10">
        <v>31470</v>
      </c>
      <c r="B1571" s="10">
        <v>35470</v>
      </c>
      <c r="C1571" s="10">
        <f t="shared" si="24"/>
        <v>31470</v>
      </c>
      <c r="D1571" s="99" t="s">
        <v>549</v>
      </c>
      <c r="E1571" s="7" t="s">
        <v>1916</v>
      </c>
      <c r="F1571" s="166"/>
      <c r="G1571" s="22"/>
    </row>
    <row r="1572" spans="1:7" ht="20.25" customHeight="1">
      <c r="A1572" s="10">
        <v>31471</v>
      </c>
      <c r="B1572" s="10">
        <v>35471</v>
      </c>
      <c r="C1572" s="10">
        <f t="shared" si="24"/>
        <v>31471</v>
      </c>
      <c r="D1572" s="99" t="s">
        <v>549</v>
      </c>
      <c r="E1572" s="7" t="s">
        <v>1917</v>
      </c>
      <c r="F1572" s="166"/>
      <c r="G1572" s="22"/>
    </row>
    <row r="1573" spans="1:7" ht="20.25" customHeight="1">
      <c r="A1573" s="10">
        <v>31472</v>
      </c>
      <c r="B1573" s="10">
        <v>35472</v>
      </c>
      <c r="C1573" s="10">
        <f t="shared" si="24"/>
        <v>31472</v>
      </c>
      <c r="D1573" s="99" t="s">
        <v>549</v>
      </c>
      <c r="E1573" s="7" t="s">
        <v>1916</v>
      </c>
      <c r="F1573" s="166" t="s">
        <v>1918</v>
      </c>
      <c r="G1573" s="22"/>
    </row>
    <row r="1574" spans="1:7" ht="20.25" customHeight="1">
      <c r="A1574" s="10">
        <v>31473</v>
      </c>
      <c r="B1574" s="10">
        <v>35473</v>
      </c>
      <c r="C1574" s="10">
        <f t="shared" si="24"/>
        <v>31473</v>
      </c>
      <c r="D1574" s="10" t="s">
        <v>549</v>
      </c>
      <c r="E1574" s="26" t="s">
        <v>1917</v>
      </c>
      <c r="F1574" s="5" t="s">
        <v>1918</v>
      </c>
      <c r="G1574" s="22"/>
    </row>
    <row r="1575" spans="1:7" ht="20.25" customHeight="1">
      <c r="A1575" s="10">
        <v>31474</v>
      </c>
      <c r="B1575" s="10">
        <v>35474</v>
      </c>
      <c r="C1575" s="10">
        <f t="shared" si="24"/>
        <v>31474</v>
      </c>
      <c r="D1575" s="10" t="s">
        <v>567</v>
      </c>
      <c r="E1575" s="7" t="s">
        <v>1919</v>
      </c>
      <c r="F1575" s="5"/>
      <c r="G1575" s="22"/>
    </row>
    <row r="1576" spans="1:7" ht="20.25" customHeight="1">
      <c r="A1576" s="10">
        <v>31475</v>
      </c>
      <c r="B1576" s="10">
        <v>35475</v>
      </c>
      <c r="C1576" s="10">
        <f t="shared" si="24"/>
        <v>31475</v>
      </c>
      <c r="D1576" s="10" t="s">
        <v>567</v>
      </c>
      <c r="E1576" s="7" t="s">
        <v>1920</v>
      </c>
      <c r="F1576" s="5"/>
      <c r="G1576" s="22"/>
    </row>
    <row r="1577" spans="1:7" ht="20.25" customHeight="1">
      <c r="A1577" s="10">
        <v>31476</v>
      </c>
      <c r="B1577" s="10">
        <v>35476</v>
      </c>
      <c r="C1577" s="10">
        <f t="shared" si="24"/>
        <v>31476</v>
      </c>
      <c r="D1577" s="99" t="s">
        <v>549</v>
      </c>
      <c r="E1577" s="7" t="s">
        <v>1921</v>
      </c>
      <c r="F1577" s="166"/>
      <c r="G1577" s="22"/>
    </row>
    <row r="1578" spans="1:7" ht="20.25" customHeight="1">
      <c r="A1578" s="10">
        <v>31477</v>
      </c>
      <c r="B1578" s="10">
        <v>35477</v>
      </c>
      <c r="C1578" s="10">
        <f t="shared" si="24"/>
        <v>31477</v>
      </c>
      <c r="D1578" s="99" t="s">
        <v>549</v>
      </c>
      <c r="E1578" s="7"/>
      <c r="F1578" s="105"/>
      <c r="G1578" s="22"/>
    </row>
    <row r="1579" spans="1:7" ht="20.25" customHeight="1">
      <c r="A1579" s="10">
        <v>31478</v>
      </c>
      <c r="B1579" s="10">
        <v>35478</v>
      </c>
      <c r="C1579" s="10">
        <f t="shared" si="24"/>
        <v>31478</v>
      </c>
      <c r="D1579" s="99" t="s">
        <v>549</v>
      </c>
      <c r="E1579" s="7" t="s">
        <v>1922</v>
      </c>
      <c r="F1579" s="166"/>
      <c r="G1579" s="22"/>
    </row>
    <row r="1580" spans="1:7" ht="20.25" customHeight="1">
      <c r="A1580" s="10">
        <v>31479</v>
      </c>
      <c r="B1580" s="10">
        <v>35479</v>
      </c>
      <c r="C1580" s="10">
        <f t="shared" si="24"/>
        <v>31479</v>
      </c>
      <c r="D1580" s="99" t="s">
        <v>549</v>
      </c>
      <c r="E1580" s="218"/>
      <c r="G1580" s="22"/>
    </row>
    <row r="1581" spans="1:7" ht="20.25" customHeight="1">
      <c r="A1581" s="10">
        <v>31480</v>
      </c>
      <c r="B1581" s="10">
        <v>35480</v>
      </c>
      <c r="C1581" s="10">
        <f t="shared" si="24"/>
        <v>31480</v>
      </c>
      <c r="D1581" s="99" t="s">
        <v>549</v>
      </c>
      <c r="E1581" s="7" t="s">
        <v>1923</v>
      </c>
      <c r="F1581" s="166"/>
      <c r="G1581" s="22"/>
    </row>
    <row r="1582" spans="1:7" ht="20.25" customHeight="1">
      <c r="A1582" s="10">
        <v>31481</v>
      </c>
      <c r="B1582" s="10">
        <v>35481</v>
      </c>
      <c r="C1582" s="10">
        <f t="shared" si="24"/>
        <v>31481</v>
      </c>
      <c r="D1582" s="99" t="s">
        <v>549</v>
      </c>
      <c r="E1582" s="7"/>
      <c r="F1582" s="166"/>
      <c r="G1582" s="22"/>
    </row>
    <row r="1583" spans="1:7" ht="20.25" customHeight="1">
      <c r="A1583" s="10">
        <v>31482</v>
      </c>
      <c r="B1583" s="10">
        <v>35482</v>
      </c>
      <c r="C1583" s="10">
        <f t="shared" si="24"/>
        <v>31482</v>
      </c>
      <c r="D1583" s="99" t="s">
        <v>549</v>
      </c>
      <c r="E1583" s="7"/>
      <c r="F1583" s="166"/>
      <c r="G1583" s="22"/>
    </row>
    <row r="1584" spans="1:7" ht="20.25" customHeight="1">
      <c r="A1584" s="10">
        <v>31483</v>
      </c>
      <c r="B1584" s="10">
        <v>35483</v>
      </c>
      <c r="C1584" s="10">
        <f t="shared" si="24"/>
        <v>31483</v>
      </c>
      <c r="D1584" s="99" t="s">
        <v>549</v>
      </c>
      <c r="E1584" s="7" t="s">
        <v>1017</v>
      </c>
      <c r="F1584" s="166"/>
      <c r="G1584" s="22"/>
    </row>
    <row r="1585" spans="1:7" ht="20.25" customHeight="1">
      <c r="A1585" s="10">
        <v>31484</v>
      </c>
      <c r="B1585" s="10">
        <v>35484</v>
      </c>
      <c r="C1585" s="10">
        <f t="shared" si="24"/>
        <v>31484</v>
      </c>
      <c r="D1585" s="99" t="s">
        <v>549</v>
      </c>
      <c r="E1585" s="7" t="s">
        <v>1045</v>
      </c>
      <c r="F1585" s="166"/>
      <c r="G1585" s="22"/>
    </row>
    <row r="1586" spans="1:7" ht="20.25" customHeight="1">
      <c r="A1586" s="10">
        <v>31485</v>
      </c>
      <c r="B1586" s="10">
        <v>35485</v>
      </c>
      <c r="C1586" s="10">
        <f t="shared" si="24"/>
        <v>31485</v>
      </c>
      <c r="D1586" s="99" t="s">
        <v>549</v>
      </c>
      <c r="E1586" s="7"/>
      <c r="F1586" s="166"/>
      <c r="G1586" s="22"/>
    </row>
    <row r="1587" spans="1:7" ht="20.25" customHeight="1">
      <c r="A1587" s="10">
        <v>31486</v>
      </c>
      <c r="B1587" s="10">
        <v>35486</v>
      </c>
      <c r="C1587" s="10">
        <f t="shared" si="24"/>
        <v>31486</v>
      </c>
      <c r="D1587" s="99" t="s">
        <v>549</v>
      </c>
      <c r="E1587" s="7"/>
      <c r="F1587" s="166"/>
      <c r="G1587" s="22"/>
    </row>
    <row r="1588" spans="1:7" ht="20.25" customHeight="1">
      <c r="A1588" s="10">
        <v>31487</v>
      </c>
      <c r="B1588" s="10">
        <v>35487</v>
      </c>
      <c r="C1588" s="10">
        <f t="shared" si="24"/>
        <v>31487</v>
      </c>
      <c r="D1588" s="99" t="s">
        <v>549</v>
      </c>
      <c r="E1588" s="7" t="s">
        <v>1924</v>
      </c>
      <c r="F1588" s="166"/>
      <c r="G1588" s="22"/>
    </row>
    <row r="1589" spans="1:7" ht="20.25" customHeight="1">
      <c r="A1589" s="10">
        <v>31488</v>
      </c>
      <c r="B1589" s="10">
        <v>35488</v>
      </c>
      <c r="C1589" s="10">
        <f t="shared" si="24"/>
        <v>31488</v>
      </c>
      <c r="D1589" s="99" t="s">
        <v>549</v>
      </c>
      <c r="E1589" s="7" t="s">
        <v>1925</v>
      </c>
      <c r="F1589" s="166"/>
      <c r="G1589" s="22"/>
    </row>
    <row r="1590" spans="1:7" ht="20.25" customHeight="1">
      <c r="A1590" s="10">
        <v>31489</v>
      </c>
      <c r="B1590" s="10">
        <v>35489</v>
      </c>
      <c r="C1590" s="10">
        <f t="shared" si="24"/>
        <v>31489</v>
      </c>
      <c r="D1590" s="99" t="s">
        <v>549</v>
      </c>
      <c r="E1590" s="7"/>
      <c r="F1590" s="166"/>
      <c r="G1590" s="22"/>
    </row>
    <row r="1591" spans="1:7" ht="20.25" customHeight="1">
      <c r="A1591" s="10">
        <v>31490</v>
      </c>
      <c r="B1591" s="10">
        <v>35490</v>
      </c>
      <c r="C1591" s="10">
        <f t="shared" si="24"/>
        <v>31490</v>
      </c>
      <c r="D1591" s="99" t="s">
        <v>549</v>
      </c>
      <c r="E1591" s="7"/>
      <c r="F1591" s="166"/>
      <c r="G1591" s="22"/>
    </row>
    <row r="1592" spans="1:7" ht="20.25" customHeight="1">
      <c r="A1592" s="10">
        <v>31491</v>
      </c>
      <c r="B1592" s="10">
        <v>35491</v>
      </c>
      <c r="C1592" s="10">
        <f t="shared" si="24"/>
        <v>31491</v>
      </c>
      <c r="D1592" s="99" t="s">
        <v>549</v>
      </c>
      <c r="E1592" s="7"/>
      <c r="F1592" s="166"/>
      <c r="G1592" s="22"/>
    </row>
    <row r="1593" spans="1:7" ht="20.25" customHeight="1">
      <c r="A1593" s="10">
        <v>31492</v>
      </c>
      <c r="B1593" s="10">
        <v>35492</v>
      </c>
      <c r="C1593" s="10">
        <f t="shared" si="24"/>
        <v>31492</v>
      </c>
      <c r="D1593" s="99" t="s">
        <v>549</v>
      </c>
      <c r="E1593" s="7"/>
      <c r="F1593" s="166"/>
      <c r="G1593" s="22"/>
    </row>
    <row r="1594" spans="1:7" ht="20.25" customHeight="1">
      <c r="A1594" s="10">
        <v>31493</v>
      </c>
      <c r="B1594" s="10">
        <v>35493</v>
      </c>
      <c r="C1594" s="10">
        <f t="shared" si="24"/>
        <v>31493</v>
      </c>
      <c r="D1594" s="99" t="s">
        <v>549</v>
      </c>
      <c r="E1594" s="7"/>
      <c r="F1594" s="166"/>
      <c r="G1594" s="22"/>
    </row>
    <row r="1595" spans="1:7" ht="20.25" customHeight="1">
      <c r="A1595" s="10">
        <v>31494</v>
      </c>
      <c r="B1595" s="10">
        <v>35494</v>
      </c>
      <c r="C1595" s="10">
        <f t="shared" si="24"/>
        <v>31494</v>
      </c>
      <c r="D1595" s="99" t="s">
        <v>549</v>
      </c>
      <c r="E1595" s="7"/>
      <c r="F1595" s="166"/>
      <c r="G1595" s="22"/>
    </row>
    <row r="1596" spans="1:7" ht="20.25" customHeight="1">
      <c r="A1596" s="10">
        <v>31495</v>
      </c>
      <c r="B1596" s="10">
        <v>35495</v>
      </c>
      <c r="C1596" s="10">
        <f t="shared" si="24"/>
        <v>31495</v>
      </c>
      <c r="D1596" s="99" t="s">
        <v>549</v>
      </c>
      <c r="E1596" s="7"/>
      <c r="F1596" s="166"/>
      <c r="G1596" s="22"/>
    </row>
    <row r="1597" spans="1:7" ht="20.25" customHeight="1">
      <c r="A1597" s="10">
        <v>31496</v>
      </c>
      <c r="B1597" s="10">
        <v>35496</v>
      </c>
      <c r="C1597" s="10">
        <f t="shared" si="24"/>
        <v>31496</v>
      </c>
      <c r="D1597" s="99" t="s">
        <v>549</v>
      </c>
      <c r="E1597" s="7"/>
      <c r="F1597" s="166"/>
      <c r="G1597" s="22"/>
    </row>
    <row r="1598" spans="1:7" ht="20.25" customHeight="1">
      <c r="A1598" s="10">
        <v>31497</v>
      </c>
      <c r="B1598" s="10">
        <v>35497</v>
      </c>
      <c r="C1598" s="10">
        <f t="shared" si="24"/>
        <v>31497</v>
      </c>
      <c r="D1598" s="99" t="s">
        <v>549</v>
      </c>
      <c r="E1598" s="7"/>
      <c r="F1598" s="166"/>
      <c r="G1598" s="22"/>
    </row>
    <row r="1599" spans="1:7" ht="20.25" customHeight="1">
      <c r="A1599" s="10">
        <v>31498</v>
      </c>
      <c r="B1599" s="10">
        <v>35498</v>
      </c>
      <c r="C1599" s="10">
        <f t="shared" si="24"/>
        <v>31498</v>
      </c>
      <c r="D1599" s="99" t="s">
        <v>549</v>
      </c>
      <c r="E1599" s="7"/>
      <c r="F1599" s="166"/>
      <c r="G1599" s="22"/>
    </row>
    <row r="1600" spans="1:7" ht="20.25" customHeight="1">
      <c r="A1600" s="10">
        <v>31499</v>
      </c>
      <c r="B1600" s="10">
        <v>32281</v>
      </c>
      <c r="C1600" s="10">
        <f t="shared" si="24"/>
        <v>31499</v>
      </c>
      <c r="D1600" s="99" t="s">
        <v>22</v>
      </c>
      <c r="E1600" s="7" t="s">
        <v>1926</v>
      </c>
      <c r="F1600" s="166" t="s">
        <v>1927</v>
      </c>
      <c r="G1600" s="22"/>
    </row>
    <row r="1601" spans="1:7" ht="20.25" customHeight="1">
      <c r="A1601" s="10">
        <v>31499</v>
      </c>
      <c r="B1601" s="10">
        <v>35499</v>
      </c>
      <c r="C1601" s="10">
        <f t="shared" si="24"/>
        <v>31499</v>
      </c>
      <c r="D1601" s="99" t="s">
        <v>22</v>
      </c>
      <c r="E1601" s="7" t="s">
        <v>1926</v>
      </c>
      <c r="F1601" s="166" t="s">
        <v>1927</v>
      </c>
      <c r="G1601" s="22"/>
    </row>
    <row r="1602" spans="1:7" ht="20.25" customHeight="1">
      <c r="A1602" s="10">
        <v>31500</v>
      </c>
      <c r="B1602" s="10">
        <v>35500</v>
      </c>
      <c r="C1602" s="10">
        <f t="shared" si="24"/>
        <v>31500</v>
      </c>
      <c r="D1602" s="99" t="s">
        <v>567</v>
      </c>
      <c r="E1602" s="7" t="s">
        <v>1928</v>
      </c>
      <c r="F1602" s="166"/>
      <c r="G1602" s="22"/>
    </row>
    <row r="1603" spans="1:7" ht="20.25" customHeight="1">
      <c r="A1603" s="10">
        <v>31501</v>
      </c>
      <c r="B1603" s="10">
        <v>35501</v>
      </c>
      <c r="C1603" s="10">
        <f t="shared" si="24"/>
        <v>31501</v>
      </c>
      <c r="D1603" s="99" t="s">
        <v>549</v>
      </c>
      <c r="E1603" s="7"/>
      <c r="F1603" s="166"/>
      <c r="G1603" s="22"/>
    </row>
    <row r="1604" spans="1:7" ht="20.25" customHeight="1">
      <c r="A1604" s="10">
        <v>31502</v>
      </c>
      <c r="B1604" s="10">
        <v>35502</v>
      </c>
      <c r="C1604" s="10">
        <f t="shared" si="24"/>
        <v>31502</v>
      </c>
      <c r="D1604" s="99" t="s">
        <v>549</v>
      </c>
      <c r="E1604" s="7"/>
      <c r="F1604" s="166"/>
      <c r="G1604" s="22"/>
    </row>
    <row r="1605" spans="1:7" ht="20.25" customHeight="1">
      <c r="A1605" s="10">
        <v>31503</v>
      </c>
      <c r="B1605" s="10">
        <v>35503</v>
      </c>
      <c r="C1605" s="10">
        <f t="shared" ref="C1605:C1668" si="25">IF(ISERROR(FIND("B_Epic",E1605)),A1605,A1605+10000)</f>
        <v>31503</v>
      </c>
      <c r="D1605" s="99" t="s">
        <v>549</v>
      </c>
      <c r="E1605" s="7"/>
      <c r="F1605" s="166"/>
      <c r="G1605" s="22"/>
    </row>
    <row r="1606" spans="1:7" ht="20.25" customHeight="1">
      <c r="A1606" s="10">
        <v>31504</v>
      </c>
      <c r="B1606" s="10">
        <v>35504</v>
      </c>
      <c r="C1606" s="10">
        <f t="shared" si="25"/>
        <v>31504</v>
      </c>
      <c r="D1606" s="99" t="s">
        <v>549</v>
      </c>
      <c r="E1606" s="7"/>
      <c r="F1606" s="166"/>
      <c r="G1606" s="22"/>
    </row>
    <row r="1607" spans="1:7" ht="20.25" customHeight="1">
      <c r="A1607" s="10">
        <v>31505</v>
      </c>
      <c r="B1607" s="10">
        <v>35505</v>
      </c>
      <c r="C1607" s="10">
        <f t="shared" si="25"/>
        <v>31505</v>
      </c>
      <c r="D1607" s="99" t="s">
        <v>549</v>
      </c>
      <c r="E1607" s="7"/>
      <c r="F1607" s="166"/>
      <c r="G1607" s="22"/>
    </row>
    <row r="1608" spans="1:7" ht="20.25" customHeight="1">
      <c r="A1608" s="10">
        <v>31506</v>
      </c>
      <c r="B1608" s="10">
        <v>35506</v>
      </c>
      <c r="C1608" s="10">
        <f t="shared" si="25"/>
        <v>31506</v>
      </c>
      <c r="D1608" s="99" t="s">
        <v>549</v>
      </c>
      <c r="E1608" s="7"/>
      <c r="F1608" s="166"/>
      <c r="G1608" s="22"/>
    </row>
    <row r="1609" spans="1:7" ht="20.25" customHeight="1">
      <c r="A1609" s="10">
        <v>31507</v>
      </c>
      <c r="B1609" s="10">
        <v>35507</v>
      </c>
      <c r="C1609" s="10">
        <f t="shared" si="25"/>
        <v>31507</v>
      </c>
      <c r="D1609" s="99" t="s">
        <v>549</v>
      </c>
      <c r="E1609" s="7"/>
      <c r="F1609" s="166"/>
      <c r="G1609" s="22"/>
    </row>
    <row r="1610" spans="1:7" ht="20.25" customHeight="1">
      <c r="A1610" s="10">
        <v>31508</v>
      </c>
      <c r="B1610" s="10">
        <v>35508</v>
      </c>
      <c r="C1610" s="10">
        <f t="shared" si="25"/>
        <v>31508</v>
      </c>
      <c r="D1610" s="99" t="s">
        <v>549</v>
      </c>
      <c r="E1610" s="7"/>
      <c r="F1610" s="166"/>
      <c r="G1610" s="22"/>
    </row>
    <row r="1611" spans="1:7" ht="20.25" customHeight="1">
      <c r="A1611" s="10">
        <v>31509</v>
      </c>
      <c r="B1611" s="10">
        <v>35509</v>
      </c>
      <c r="C1611" s="10">
        <f t="shared" si="25"/>
        <v>31509</v>
      </c>
      <c r="D1611" s="99" t="s">
        <v>498</v>
      </c>
      <c r="E1611" s="7" t="s">
        <v>1444</v>
      </c>
      <c r="F1611" s="166" t="s">
        <v>1929</v>
      </c>
      <c r="G1611" s="22"/>
    </row>
    <row r="1612" spans="1:7" ht="20.25" customHeight="1">
      <c r="A1612" s="10">
        <v>31510</v>
      </c>
      <c r="B1612" s="10">
        <v>35510</v>
      </c>
      <c r="C1612" s="10">
        <f t="shared" si="25"/>
        <v>31510</v>
      </c>
      <c r="D1612" s="99" t="s">
        <v>549</v>
      </c>
      <c r="E1612" s="7" t="s">
        <v>1446</v>
      </c>
      <c r="F1612" s="166" t="s">
        <v>1930</v>
      </c>
      <c r="G1612" s="22"/>
    </row>
    <row r="1613" spans="1:7" ht="20.25" customHeight="1">
      <c r="A1613" s="10">
        <v>31511</v>
      </c>
      <c r="B1613" s="10">
        <v>35511</v>
      </c>
      <c r="C1613" s="10">
        <f t="shared" si="25"/>
        <v>31511</v>
      </c>
      <c r="D1613" s="99" t="s">
        <v>549</v>
      </c>
      <c r="E1613" s="7"/>
      <c r="F1613" s="166"/>
      <c r="G1613" s="22"/>
    </row>
    <row r="1614" spans="1:7" ht="20.25" customHeight="1">
      <c r="A1614" s="10">
        <v>31512</v>
      </c>
      <c r="B1614" s="10">
        <v>35512</v>
      </c>
      <c r="C1614" s="10">
        <f t="shared" si="25"/>
        <v>31512</v>
      </c>
      <c r="D1614" s="99" t="s">
        <v>549</v>
      </c>
      <c r="E1614" s="7"/>
      <c r="F1614" s="166"/>
      <c r="G1614" s="22"/>
    </row>
    <row r="1615" spans="1:7" ht="20.25" customHeight="1">
      <c r="A1615" s="10">
        <v>31513</v>
      </c>
      <c r="B1615" s="10">
        <v>35513</v>
      </c>
      <c r="C1615" s="10">
        <f t="shared" si="25"/>
        <v>31513</v>
      </c>
      <c r="D1615" s="99" t="s">
        <v>549</v>
      </c>
      <c r="E1615" s="7"/>
      <c r="F1615" s="166"/>
      <c r="G1615" s="22"/>
    </row>
    <row r="1616" spans="1:7" ht="20.25" customHeight="1">
      <c r="A1616" s="10">
        <v>31514</v>
      </c>
      <c r="B1616" s="10">
        <v>35514</v>
      </c>
      <c r="C1616" s="10">
        <f t="shared" si="25"/>
        <v>31514</v>
      </c>
      <c r="D1616" s="99" t="s">
        <v>549</v>
      </c>
      <c r="E1616" s="7"/>
      <c r="F1616" s="166"/>
      <c r="G1616" s="22"/>
    </row>
    <row r="1617" spans="1:7" ht="20.25" customHeight="1">
      <c r="A1617" s="10">
        <v>31515</v>
      </c>
      <c r="B1617" s="10">
        <v>35515</v>
      </c>
      <c r="C1617" s="10">
        <f t="shared" si="25"/>
        <v>31515</v>
      </c>
      <c r="D1617" s="99" t="s">
        <v>549</v>
      </c>
      <c r="E1617" s="7"/>
      <c r="F1617" s="166"/>
      <c r="G1617" s="22"/>
    </row>
    <row r="1618" spans="1:7" ht="20.25" customHeight="1">
      <c r="A1618" s="10">
        <v>31516</v>
      </c>
      <c r="B1618" s="10">
        <v>35516</v>
      </c>
      <c r="C1618" s="10">
        <f t="shared" si="25"/>
        <v>31516</v>
      </c>
      <c r="D1618" s="99" t="s">
        <v>549</v>
      </c>
      <c r="E1618" s="7"/>
      <c r="F1618" s="166"/>
      <c r="G1618" s="22"/>
    </row>
    <row r="1619" spans="1:7" ht="20.25" customHeight="1">
      <c r="A1619" s="10">
        <v>31517</v>
      </c>
      <c r="B1619" s="10">
        <v>35517</v>
      </c>
      <c r="C1619" s="10">
        <f t="shared" si="25"/>
        <v>31517</v>
      </c>
      <c r="D1619" s="99" t="s">
        <v>549</v>
      </c>
      <c r="E1619" s="7"/>
      <c r="F1619" s="166"/>
      <c r="G1619" s="22"/>
    </row>
    <row r="1620" spans="1:7" ht="20.25" customHeight="1">
      <c r="A1620" s="10">
        <v>31518</v>
      </c>
      <c r="B1620" s="10">
        <v>35518</v>
      </c>
      <c r="C1620" s="10">
        <f t="shared" si="25"/>
        <v>31518</v>
      </c>
      <c r="D1620" s="99" t="s">
        <v>567</v>
      </c>
      <c r="E1620" s="7" t="s">
        <v>1931</v>
      </c>
      <c r="F1620" s="166"/>
      <c r="G1620" s="22"/>
    </row>
    <row r="1621" spans="1:7" ht="20.25" customHeight="1">
      <c r="A1621" s="10">
        <v>31519</v>
      </c>
      <c r="B1621" s="10">
        <v>35519</v>
      </c>
      <c r="C1621" s="10">
        <f t="shared" si="25"/>
        <v>31519</v>
      </c>
      <c r="D1621" s="99" t="s">
        <v>567</v>
      </c>
      <c r="E1621" s="7" t="s">
        <v>1932</v>
      </c>
      <c r="F1621" s="166"/>
      <c r="G1621" s="22"/>
    </row>
    <row r="1622" spans="1:7" ht="20.25" customHeight="1">
      <c r="A1622" s="10">
        <v>31520</v>
      </c>
      <c r="B1622" s="10">
        <v>35520</v>
      </c>
      <c r="C1622" s="10">
        <f t="shared" si="25"/>
        <v>31520</v>
      </c>
      <c r="D1622" s="99" t="s">
        <v>567</v>
      </c>
      <c r="E1622" s="7" t="s">
        <v>1933</v>
      </c>
      <c r="F1622" s="166"/>
      <c r="G1622" s="22"/>
    </row>
    <row r="1623" spans="1:7" ht="20.25" customHeight="1">
      <c r="A1623" s="10">
        <v>31521</v>
      </c>
      <c r="B1623" s="10">
        <v>35521</v>
      </c>
      <c r="C1623" s="10">
        <f t="shared" si="25"/>
        <v>31521</v>
      </c>
      <c r="D1623" s="99" t="s">
        <v>567</v>
      </c>
      <c r="E1623" s="7" t="s">
        <v>1934</v>
      </c>
      <c r="F1623" s="166"/>
      <c r="G1623" s="22"/>
    </row>
    <row r="1624" spans="1:7" ht="20.25" customHeight="1">
      <c r="A1624" s="10">
        <v>31522</v>
      </c>
      <c r="B1624" s="10">
        <v>35522</v>
      </c>
      <c r="C1624" s="10">
        <f t="shared" si="25"/>
        <v>31522</v>
      </c>
      <c r="D1624" s="99" t="s">
        <v>567</v>
      </c>
      <c r="E1624" s="7" t="s">
        <v>1935</v>
      </c>
      <c r="F1624" s="166"/>
      <c r="G1624" s="22"/>
    </row>
    <row r="1625" spans="1:7" ht="20.25" customHeight="1">
      <c r="A1625" s="10">
        <v>31523</v>
      </c>
      <c r="B1625" s="10">
        <v>35523</v>
      </c>
      <c r="C1625" s="10">
        <f t="shared" si="25"/>
        <v>31523</v>
      </c>
      <c r="D1625" s="99" t="s">
        <v>567</v>
      </c>
      <c r="E1625" s="7" t="s">
        <v>1936</v>
      </c>
      <c r="F1625" s="166"/>
      <c r="G1625" s="22"/>
    </row>
    <row r="1626" spans="1:7" ht="20.25" customHeight="1">
      <c r="A1626" s="10">
        <v>31524</v>
      </c>
      <c r="B1626" s="10">
        <v>35524</v>
      </c>
      <c r="C1626" s="10">
        <f t="shared" si="25"/>
        <v>31524</v>
      </c>
      <c r="D1626" s="99" t="s">
        <v>567</v>
      </c>
      <c r="E1626" s="7" t="s">
        <v>1937</v>
      </c>
      <c r="F1626" s="166"/>
      <c r="G1626" s="22"/>
    </row>
    <row r="1627" spans="1:7" ht="20.25" customHeight="1">
      <c r="A1627" s="10">
        <v>31525</v>
      </c>
      <c r="B1627" s="10">
        <v>35525</v>
      </c>
      <c r="C1627" s="10">
        <f t="shared" si="25"/>
        <v>31525</v>
      </c>
      <c r="D1627" s="99" t="s">
        <v>549</v>
      </c>
      <c r="E1627" s="7" t="s">
        <v>1938</v>
      </c>
      <c r="F1627" s="166"/>
      <c r="G1627" s="22"/>
    </row>
    <row r="1628" spans="1:7" ht="20.25" customHeight="1">
      <c r="A1628" s="10">
        <v>31526</v>
      </c>
      <c r="B1628" s="10">
        <v>35526</v>
      </c>
      <c r="C1628" s="10">
        <f t="shared" si="25"/>
        <v>31526</v>
      </c>
      <c r="D1628" s="99" t="s">
        <v>549</v>
      </c>
      <c r="E1628" s="7"/>
      <c r="F1628" s="166"/>
      <c r="G1628" s="22"/>
    </row>
    <row r="1629" spans="1:7" ht="20.25" customHeight="1">
      <c r="A1629" s="10">
        <v>31527</v>
      </c>
      <c r="B1629" s="10">
        <v>35527</v>
      </c>
      <c r="C1629" s="10">
        <f t="shared" si="25"/>
        <v>31527</v>
      </c>
      <c r="D1629" s="99" t="s">
        <v>549</v>
      </c>
      <c r="E1629" s="7"/>
      <c r="F1629" s="166"/>
      <c r="G1629" s="22"/>
    </row>
    <row r="1630" spans="1:7" ht="20.25" customHeight="1">
      <c r="A1630" s="10">
        <v>31528</v>
      </c>
      <c r="B1630" s="10">
        <v>35528</v>
      </c>
      <c r="C1630" s="10">
        <f t="shared" si="25"/>
        <v>31528</v>
      </c>
      <c r="D1630" s="99" t="s">
        <v>549</v>
      </c>
      <c r="E1630" s="7"/>
      <c r="F1630" s="166"/>
      <c r="G1630" s="22"/>
    </row>
    <row r="1631" spans="1:7" ht="20.25" customHeight="1">
      <c r="A1631" s="10">
        <v>31529</v>
      </c>
      <c r="B1631" s="10">
        <v>35529</v>
      </c>
      <c r="C1631" s="10">
        <f t="shared" si="25"/>
        <v>31529</v>
      </c>
      <c r="D1631" s="99" t="s">
        <v>549</v>
      </c>
      <c r="E1631" s="7"/>
      <c r="F1631" s="166"/>
      <c r="G1631" s="22"/>
    </row>
    <row r="1632" spans="1:7" ht="20.25" customHeight="1">
      <c r="A1632" s="10">
        <v>31530</v>
      </c>
      <c r="B1632" s="10">
        <v>35530</v>
      </c>
      <c r="C1632" s="10">
        <f t="shared" si="25"/>
        <v>31530</v>
      </c>
      <c r="D1632" s="99" t="s">
        <v>549</v>
      </c>
      <c r="E1632" s="7"/>
      <c r="F1632" s="166"/>
      <c r="G1632" s="22"/>
    </row>
    <row r="1633" spans="1:7" ht="20.25" customHeight="1">
      <c r="A1633" s="10">
        <v>31531</v>
      </c>
      <c r="B1633" s="10">
        <v>35531</v>
      </c>
      <c r="C1633" s="10">
        <f t="shared" si="25"/>
        <v>31531</v>
      </c>
      <c r="D1633" s="99" t="s">
        <v>549</v>
      </c>
      <c r="E1633" s="7"/>
      <c r="F1633" s="166"/>
      <c r="G1633" s="22"/>
    </row>
    <row r="1634" spans="1:7" ht="20.25" customHeight="1">
      <c r="A1634" s="10">
        <v>31532</v>
      </c>
      <c r="B1634" s="10">
        <v>35532</v>
      </c>
      <c r="C1634" s="10">
        <f t="shared" si="25"/>
        <v>31532</v>
      </c>
      <c r="D1634" s="99" t="s">
        <v>567</v>
      </c>
      <c r="E1634" s="7" t="s">
        <v>1939</v>
      </c>
      <c r="F1634" s="166"/>
      <c r="G1634" s="22"/>
    </row>
    <row r="1635" spans="1:7" ht="20.25" customHeight="1">
      <c r="A1635" s="10">
        <v>31533</v>
      </c>
      <c r="B1635" s="10">
        <v>35533</v>
      </c>
      <c r="C1635" s="10">
        <f t="shared" si="25"/>
        <v>31533</v>
      </c>
      <c r="D1635" s="99" t="s">
        <v>549</v>
      </c>
      <c r="E1635" s="7"/>
      <c r="F1635" s="166"/>
      <c r="G1635" s="22"/>
    </row>
    <row r="1636" spans="1:7" ht="20.25" customHeight="1">
      <c r="A1636" s="10">
        <v>31534</v>
      </c>
      <c r="B1636" s="10">
        <v>35534</v>
      </c>
      <c r="C1636" s="10">
        <f t="shared" si="25"/>
        <v>31534</v>
      </c>
      <c r="D1636" s="99" t="s">
        <v>549</v>
      </c>
      <c r="E1636" s="7"/>
      <c r="F1636" s="166"/>
      <c r="G1636" s="22"/>
    </row>
    <row r="1637" spans="1:7" ht="20.25" customHeight="1">
      <c r="A1637" s="10">
        <v>31535</v>
      </c>
      <c r="B1637" s="10">
        <v>35535</v>
      </c>
      <c r="C1637" s="10">
        <f t="shared" si="25"/>
        <v>31535</v>
      </c>
      <c r="D1637" s="99" t="s">
        <v>549</v>
      </c>
      <c r="E1637" s="7"/>
      <c r="F1637" s="166"/>
      <c r="G1637" s="22"/>
    </row>
    <row r="1638" spans="1:7" ht="20.25" customHeight="1">
      <c r="A1638" s="10">
        <v>31536</v>
      </c>
      <c r="B1638" s="10">
        <v>35536</v>
      </c>
      <c r="C1638" s="10">
        <f t="shared" si="25"/>
        <v>31536</v>
      </c>
      <c r="D1638" s="99" t="s">
        <v>549</v>
      </c>
      <c r="E1638" s="7"/>
      <c r="F1638" s="166"/>
      <c r="G1638" s="22"/>
    </row>
    <row r="1639" spans="1:7" ht="20.25" customHeight="1">
      <c r="A1639" s="10">
        <v>31537</v>
      </c>
      <c r="B1639" s="10">
        <v>35537</v>
      </c>
      <c r="C1639" s="10">
        <f t="shared" si="25"/>
        <v>31537</v>
      </c>
      <c r="D1639" s="99" t="s">
        <v>549</v>
      </c>
      <c r="E1639" s="7"/>
      <c r="F1639" s="166"/>
      <c r="G1639" s="22"/>
    </row>
    <row r="1640" spans="1:7" ht="20.25" customHeight="1">
      <c r="A1640" s="10">
        <v>31538</v>
      </c>
      <c r="B1640" s="10">
        <v>35538</v>
      </c>
      <c r="C1640" s="10">
        <f t="shared" si="25"/>
        <v>31538</v>
      </c>
      <c r="D1640" s="99" t="s">
        <v>549</v>
      </c>
      <c r="E1640" s="7"/>
      <c r="F1640" s="166"/>
      <c r="G1640" s="22"/>
    </row>
    <row r="1641" spans="1:7" ht="20.25" customHeight="1">
      <c r="A1641" s="10">
        <v>31539</v>
      </c>
      <c r="B1641" s="10">
        <v>35539</v>
      </c>
      <c r="C1641" s="10">
        <f t="shared" si="25"/>
        <v>31539</v>
      </c>
      <c r="D1641" s="99" t="s">
        <v>549</v>
      </c>
      <c r="E1641" s="7"/>
      <c r="F1641" s="166"/>
      <c r="G1641" s="22"/>
    </row>
    <row r="1642" spans="1:7" ht="20.25" customHeight="1">
      <c r="A1642" s="10">
        <v>31540</v>
      </c>
      <c r="B1642" s="10">
        <v>35540</v>
      </c>
      <c r="C1642" s="10">
        <f t="shared" si="25"/>
        <v>31540</v>
      </c>
      <c r="D1642" s="99" t="s">
        <v>549</v>
      </c>
      <c r="E1642" s="7"/>
      <c r="F1642" s="166"/>
      <c r="G1642" s="22"/>
    </row>
    <row r="1643" spans="1:7" ht="20.25" customHeight="1">
      <c r="A1643" s="10">
        <v>31541</v>
      </c>
      <c r="B1643" s="10">
        <v>35541</v>
      </c>
      <c r="C1643" s="10">
        <f t="shared" si="25"/>
        <v>31541</v>
      </c>
      <c r="D1643" s="99" t="s">
        <v>549</v>
      </c>
      <c r="E1643" s="7"/>
      <c r="F1643" s="166"/>
      <c r="G1643" s="22"/>
    </row>
    <row r="1644" spans="1:7" ht="20.25" customHeight="1">
      <c r="A1644" s="10">
        <v>31542</v>
      </c>
      <c r="B1644" s="10">
        <v>35542</v>
      </c>
      <c r="C1644" s="10">
        <f t="shared" si="25"/>
        <v>31542</v>
      </c>
      <c r="D1644" s="99" t="s">
        <v>549</v>
      </c>
      <c r="E1644" s="7"/>
      <c r="F1644" s="166"/>
      <c r="G1644" s="22"/>
    </row>
    <row r="1645" spans="1:7" ht="20.25" customHeight="1">
      <c r="A1645" s="10">
        <v>31543</v>
      </c>
      <c r="B1645" s="10">
        <v>35543</v>
      </c>
      <c r="C1645" s="10">
        <f t="shared" si="25"/>
        <v>31543</v>
      </c>
      <c r="D1645" s="99" t="s">
        <v>549</v>
      </c>
      <c r="E1645" s="7"/>
      <c r="F1645" s="166"/>
      <c r="G1645" s="22"/>
    </row>
    <row r="1646" spans="1:7" ht="20.25" customHeight="1">
      <c r="A1646" s="10">
        <v>31544</v>
      </c>
      <c r="B1646" s="10">
        <v>35544</v>
      </c>
      <c r="C1646" s="10">
        <f t="shared" si="25"/>
        <v>31544</v>
      </c>
      <c r="D1646" s="99" t="s">
        <v>549</v>
      </c>
      <c r="E1646" s="7"/>
      <c r="F1646" s="166"/>
      <c r="G1646" s="22"/>
    </row>
    <row r="1647" spans="1:7" ht="20.25" customHeight="1">
      <c r="A1647" s="10">
        <v>31545</v>
      </c>
      <c r="B1647" s="10">
        <v>35545</v>
      </c>
      <c r="C1647" s="10">
        <f t="shared" si="25"/>
        <v>31545</v>
      </c>
      <c r="D1647" s="99" t="s">
        <v>549</v>
      </c>
      <c r="E1647" s="7"/>
      <c r="F1647" s="166"/>
      <c r="G1647" s="22"/>
    </row>
    <row r="1648" spans="1:7" ht="20.25" customHeight="1">
      <c r="A1648" s="10">
        <v>31546</v>
      </c>
      <c r="B1648" s="10">
        <v>35546</v>
      </c>
      <c r="C1648" s="10">
        <f t="shared" si="25"/>
        <v>31546</v>
      </c>
      <c r="D1648" s="99" t="s">
        <v>549</v>
      </c>
      <c r="E1648" s="7"/>
      <c r="F1648" s="166"/>
      <c r="G1648" s="22"/>
    </row>
    <row r="1649" spans="1:7" ht="20.25" customHeight="1">
      <c r="A1649" s="10">
        <v>31547</v>
      </c>
      <c r="B1649" s="10">
        <v>35547</v>
      </c>
      <c r="C1649" s="10">
        <f t="shared" si="25"/>
        <v>31547</v>
      </c>
      <c r="D1649" s="99" t="s">
        <v>549</v>
      </c>
      <c r="E1649" s="7"/>
      <c r="F1649" s="166"/>
      <c r="G1649" s="22"/>
    </row>
    <row r="1650" spans="1:7" ht="20.25" customHeight="1">
      <c r="A1650" s="10">
        <v>31548</v>
      </c>
      <c r="B1650" s="10">
        <v>35548</v>
      </c>
      <c r="C1650" s="10">
        <f t="shared" si="25"/>
        <v>31548</v>
      </c>
      <c r="D1650" s="99" t="s">
        <v>549</v>
      </c>
      <c r="E1650" s="7"/>
      <c r="F1650" s="166"/>
      <c r="G1650" s="22"/>
    </row>
    <row r="1651" spans="1:7" ht="20.25" customHeight="1">
      <c r="A1651" s="10">
        <v>31549</v>
      </c>
      <c r="B1651" s="10">
        <v>35549</v>
      </c>
      <c r="C1651" s="10">
        <f t="shared" si="25"/>
        <v>31549</v>
      </c>
      <c r="D1651" s="99" t="s">
        <v>549</v>
      </c>
      <c r="E1651" s="7"/>
      <c r="F1651" s="166"/>
      <c r="G1651" s="22"/>
    </row>
    <row r="1652" spans="1:7" ht="20.25" customHeight="1">
      <c r="A1652" s="10">
        <v>31550</v>
      </c>
      <c r="B1652" s="10">
        <v>35550</v>
      </c>
      <c r="C1652" s="10">
        <f t="shared" si="25"/>
        <v>31550</v>
      </c>
      <c r="D1652" s="99" t="s">
        <v>549</v>
      </c>
      <c r="E1652" s="7"/>
      <c r="F1652" s="166"/>
      <c r="G1652" s="22"/>
    </row>
    <row r="1653" spans="1:7" ht="20.25" customHeight="1">
      <c r="A1653" s="10">
        <v>31551</v>
      </c>
      <c r="B1653" s="10">
        <v>35551</v>
      </c>
      <c r="C1653" s="10">
        <f t="shared" si="25"/>
        <v>31551</v>
      </c>
      <c r="D1653" s="99" t="s">
        <v>549</v>
      </c>
      <c r="E1653" s="7"/>
      <c r="F1653" s="166"/>
      <c r="G1653" s="22"/>
    </row>
    <row r="1654" spans="1:7" ht="20.25" customHeight="1">
      <c r="A1654" s="10">
        <v>31552</v>
      </c>
      <c r="B1654" s="10">
        <v>35552</v>
      </c>
      <c r="C1654" s="10">
        <f t="shared" si="25"/>
        <v>31552</v>
      </c>
      <c r="D1654" s="99" t="s">
        <v>549</v>
      </c>
      <c r="E1654" s="7"/>
      <c r="F1654" s="166"/>
      <c r="G1654" s="22"/>
    </row>
    <row r="1655" spans="1:7" ht="20.25" customHeight="1">
      <c r="A1655" s="10">
        <v>31553</v>
      </c>
      <c r="B1655" s="10">
        <v>35553</v>
      </c>
      <c r="C1655" s="10">
        <f t="shared" si="25"/>
        <v>31553</v>
      </c>
      <c r="D1655" s="99" t="s">
        <v>549</v>
      </c>
      <c r="E1655" s="7"/>
      <c r="F1655" s="166"/>
      <c r="G1655" s="22"/>
    </row>
    <row r="1656" spans="1:7" ht="20.25" customHeight="1">
      <c r="A1656" s="10">
        <v>31554</v>
      </c>
      <c r="B1656" s="10">
        <v>35554</v>
      </c>
      <c r="C1656" s="10">
        <f t="shared" si="25"/>
        <v>31554</v>
      </c>
      <c r="D1656" s="99" t="s">
        <v>549</v>
      </c>
      <c r="E1656" s="7"/>
      <c r="F1656" s="166"/>
      <c r="G1656" s="22"/>
    </row>
    <row r="1657" spans="1:7" ht="20.25" customHeight="1">
      <c r="A1657" s="10">
        <v>31555</v>
      </c>
      <c r="B1657" s="10">
        <v>35555</v>
      </c>
      <c r="C1657" s="10">
        <f t="shared" si="25"/>
        <v>31555</v>
      </c>
      <c r="D1657" s="99" t="s">
        <v>549</v>
      </c>
      <c r="E1657" s="7"/>
      <c r="F1657" s="166"/>
      <c r="G1657" s="22"/>
    </row>
    <row r="1658" spans="1:7" ht="20.25" customHeight="1">
      <c r="A1658" s="10">
        <v>31556</v>
      </c>
      <c r="B1658" s="10">
        <v>35556</v>
      </c>
      <c r="C1658" s="10">
        <f t="shared" si="25"/>
        <v>31556</v>
      </c>
      <c r="D1658" s="99" t="s">
        <v>549</v>
      </c>
      <c r="E1658" s="7" t="s">
        <v>1940</v>
      </c>
      <c r="F1658" s="166"/>
      <c r="G1658" s="22"/>
    </row>
    <row r="1659" spans="1:7" ht="20.25" customHeight="1">
      <c r="A1659" s="10">
        <v>31557</v>
      </c>
      <c r="B1659" s="10">
        <v>35557</v>
      </c>
      <c r="C1659" s="10">
        <f t="shared" si="25"/>
        <v>31557</v>
      </c>
      <c r="D1659" s="99" t="s">
        <v>549</v>
      </c>
      <c r="E1659" s="7" t="s">
        <v>1941</v>
      </c>
      <c r="F1659" s="166"/>
      <c r="G1659" s="22"/>
    </row>
    <row r="1660" spans="1:7" ht="20.25" customHeight="1">
      <c r="A1660" s="10">
        <v>31558</v>
      </c>
      <c r="B1660" s="10">
        <v>35558</v>
      </c>
      <c r="C1660" s="10">
        <f t="shared" si="25"/>
        <v>31558</v>
      </c>
      <c r="D1660" s="99" t="s">
        <v>549</v>
      </c>
      <c r="E1660" s="7" t="s">
        <v>1942</v>
      </c>
      <c r="F1660" s="166"/>
      <c r="G1660" s="22"/>
    </row>
    <row r="1661" spans="1:7" ht="20.25" customHeight="1">
      <c r="A1661" s="10">
        <v>31559</v>
      </c>
      <c r="B1661" s="10">
        <v>35559</v>
      </c>
      <c r="C1661" s="10">
        <f t="shared" si="25"/>
        <v>31559</v>
      </c>
      <c r="D1661" s="99" t="s">
        <v>549</v>
      </c>
      <c r="E1661" s="7"/>
      <c r="F1661" s="166"/>
      <c r="G1661" s="22"/>
    </row>
    <row r="1662" spans="1:7" ht="20.25" customHeight="1">
      <c r="A1662" s="10">
        <v>31560</v>
      </c>
      <c r="B1662" s="10">
        <v>35560</v>
      </c>
      <c r="C1662" s="10">
        <f t="shared" si="25"/>
        <v>31560</v>
      </c>
      <c r="D1662" s="99" t="s">
        <v>549</v>
      </c>
      <c r="E1662" s="7"/>
      <c r="F1662" s="166"/>
      <c r="G1662" s="22"/>
    </row>
    <row r="1663" spans="1:7" ht="20.25" customHeight="1">
      <c r="A1663" s="10">
        <v>31561</v>
      </c>
      <c r="B1663" s="10">
        <v>35561</v>
      </c>
      <c r="C1663" s="10">
        <f t="shared" si="25"/>
        <v>31561</v>
      </c>
      <c r="D1663" s="99" t="s">
        <v>549</v>
      </c>
      <c r="E1663" s="7"/>
      <c r="F1663" s="166"/>
      <c r="G1663" s="22"/>
    </row>
    <row r="1664" spans="1:7" ht="20.25" customHeight="1">
      <c r="A1664" s="10">
        <v>31562</v>
      </c>
      <c r="B1664" s="10">
        <v>35562</v>
      </c>
      <c r="C1664" s="10">
        <f t="shared" si="25"/>
        <v>31562</v>
      </c>
      <c r="D1664" s="99" t="s">
        <v>549</v>
      </c>
      <c r="E1664" s="7"/>
      <c r="F1664" s="166"/>
      <c r="G1664" s="22"/>
    </row>
    <row r="1665" spans="1:7" ht="20.25" customHeight="1">
      <c r="A1665" s="10">
        <v>31563</v>
      </c>
      <c r="B1665" s="10">
        <v>35563</v>
      </c>
      <c r="C1665" s="10">
        <f t="shared" si="25"/>
        <v>31563</v>
      </c>
      <c r="D1665" s="99" t="s">
        <v>549</v>
      </c>
      <c r="E1665" s="7"/>
      <c r="F1665" s="166"/>
      <c r="G1665" s="22"/>
    </row>
    <row r="1666" spans="1:7" ht="20.25" customHeight="1">
      <c r="A1666" s="10">
        <v>31564</v>
      </c>
      <c r="B1666" s="10">
        <v>35564</v>
      </c>
      <c r="C1666" s="10">
        <f t="shared" si="25"/>
        <v>31564</v>
      </c>
      <c r="D1666" s="99" t="s">
        <v>549</v>
      </c>
      <c r="E1666" s="7"/>
      <c r="F1666" s="166"/>
      <c r="G1666" s="22"/>
    </row>
    <row r="1667" spans="1:7" ht="20.25" customHeight="1">
      <c r="A1667" s="10">
        <v>31565</v>
      </c>
      <c r="B1667" s="10">
        <v>35565</v>
      </c>
      <c r="C1667" s="10">
        <f t="shared" si="25"/>
        <v>31565</v>
      </c>
      <c r="D1667" s="99" t="s">
        <v>549</v>
      </c>
      <c r="E1667" s="7"/>
      <c r="F1667" s="166"/>
      <c r="G1667" s="22"/>
    </row>
    <row r="1668" spans="1:7" ht="20.25" customHeight="1">
      <c r="A1668" s="10">
        <v>31566</v>
      </c>
      <c r="B1668" s="10">
        <v>35566</v>
      </c>
      <c r="C1668" s="10">
        <f t="shared" si="25"/>
        <v>31566</v>
      </c>
      <c r="D1668" s="99" t="s">
        <v>549</v>
      </c>
      <c r="E1668" s="7"/>
      <c r="F1668" s="166"/>
      <c r="G1668" s="22"/>
    </row>
    <row r="1669" spans="1:7" ht="20.25" customHeight="1">
      <c r="A1669" s="10">
        <v>31567</v>
      </c>
      <c r="B1669" s="10">
        <v>35567</v>
      </c>
      <c r="C1669" s="10">
        <f t="shared" ref="C1669:C1732" si="26">IF(ISERROR(FIND("B_Epic",E1669)),A1669,A1669+10000)</f>
        <v>31567</v>
      </c>
      <c r="D1669" s="99" t="s">
        <v>549</v>
      </c>
      <c r="E1669" s="7"/>
      <c r="F1669" s="166"/>
      <c r="G1669" s="22"/>
    </row>
    <row r="1670" spans="1:7" ht="20.25" customHeight="1">
      <c r="A1670" s="10">
        <v>31568</v>
      </c>
      <c r="B1670" s="10">
        <v>35568</v>
      </c>
      <c r="C1670" s="10">
        <f t="shared" si="26"/>
        <v>31568</v>
      </c>
      <c r="D1670" s="99" t="s">
        <v>549</v>
      </c>
      <c r="E1670" s="7"/>
      <c r="F1670" s="166"/>
      <c r="G1670" s="22"/>
    </row>
    <row r="1671" spans="1:7" ht="20.25" customHeight="1">
      <c r="A1671" s="10">
        <v>31569</v>
      </c>
      <c r="B1671" s="10">
        <v>35569</v>
      </c>
      <c r="C1671" s="10">
        <f t="shared" si="26"/>
        <v>31569</v>
      </c>
      <c r="D1671" s="99" t="s">
        <v>549</v>
      </c>
      <c r="E1671" s="7"/>
      <c r="F1671" s="166"/>
      <c r="G1671" s="22"/>
    </row>
    <row r="1672" spans="1:7" ht="20.25" customHeight="1">
      <c r="A1672" s="10">
        <v>31570</v>
      </c>
      <c r="B1672" s="10">
        <v>35570</v>
      </c>
      <c r="C1672" s="10">
        <f t="shared" si="26"/>
        <v>31570</v>
      </c>
      <c r="D1672" s="99" t="s">
        <v>549</v>
      </c>
      <c r="E1672" s="7"/>
      <c r="F1672" s="166"/>
      <c r="G1672" s="22"/>
    </row>
    <row r="1673" spans="1:7" ht="20.25" customHeight="1">
      <c r="A1673" s="10">
        <v>31571</v>
      </c>
      <c r="B1673" s="10">
        <v>35571</v>
      </c>
      <c r="C1673" s="10">
        <f t="shared" si="26"/>
        <v>31571</v>
      </c>
      <c r="D1673" s="99" t="s">
        <v>549</v>
      </c>
      <c r="E1673" s="7"/>
      <c r="F1673" s="166"/>
      <c r="G1673" s="22"/>
    </row>
    <row r="1674" spans="1:7" ht="20.25" customHeight="1">
      <c r="A1674" s="10">
        <v>31572</v>
      </c>
      <c r="B1674" s="10">
        <v>35572</v>
      </c>
      <c r="C1674" s="10">
        <f t="shared" si="26"/>
        <v>31572</v>
      </c>
      <c r="D1674" s="99" t="s">
        <v>549</v>
      </c>
      <c r="E1674" s="7"/>
      <c r="F1674" s="166"/>
      <c r="G1674" s="22"/>
    </row>
    <row r="1675" spans="1:7" ht="20.25" customHeight="1">
      <c r="A1675" s="10">
        <v>31573</v>
      </c>
      <c r="B1675" s="10">
        <v>35573</v>
      </c>
      <c r="C1675" s="10">
        <f t="shared" si="26"/>
        <v>31573</v>
      </c>
      <c r="D1675" s="99" t="s">
        <v>549</v>
      </c>
      <c r="E1675" s="7"/>
      <c r="F1675" s="166"/>
      <c r="G1675" s="22"/>
    </row>
    <row r="1676" spans="1:7" ht="20.25" customHeight="1">
      <c r="A1676" s="10">
        <v>31574</v>
      </c>
      <c r="B1676" s="10">
        <v>35574</v>
      </c>
      <c r="C1676" s="10">
        <f t="shared" si="26"/>
        <v>31574</v>
      </c>
      <c r="D1676" s="99" t="s">
        <v>549</v>
      </c>
      <c r="E1676" s="7"/>
      <c r="F1676" s="166"/>
      <c r="G1676" s="22"/>
    </row>
    <row r="1677" spans="1:7" ht="20.25" customHeight="1">
      <c r="A1677" s="10">
        <v>31575</v>
      </c>
      <c r="B1677" s="10">
        <v>35575</v>
      </c>
      <c r="C1677" s="10">
        <f t="shared" si="26"/>
        <v>31575</v>
      </c>
      <c r="D1677" s="99" t="s">
        <v>549</v>
      </c>
      <c r="E1677" s="7"/>
      <c r="F1677" s="166"/>
      <c r="G1677" s="22"/>
    </row>
    <row r="1678" spans="1:7" ht="20.25" customHeight="1">
      <c r="A1678" s="10">
        <v>31576</v>
      </c>
      <c r="B1678" s="10">
        <v>35576</v>
      </c>
      <c r="C1678" s="10">
        <f t="shared" si="26"/>
        <v>31576</v>
      </c>
      <c r="D1678" s="99" t="s">
        <v>549</v>
      </c>
      <c r="E1678" s="7"/>
      <c r="F1678" s="166"/>
      <c r="G1678" s="22"/>
    </row>
    <row r="1679" spans="1:7" ht="20.25" customHeight="1">
      <c r="A1679" s="10">
        <v>31577</v>
      </c>
      <c r="B1679" s="10">
        <v>35577</v>
      </c>
      <c r="C1679" s="10">
        <f t="shared" si="26"/>
        <v>31577</v>
      </c>
      <c r="D1679" s="99" t="s">
        <v>549</v>
      </c>
      <c r="E1679" s="7"/>
      <c r="F1679" s="166"/>
      <c r="G1679" s="22"/>
    </row>
    <row r="1680" spans="1:7" ht="20.25" customHeight="1">
      <c r="A1680" s="10">
        <v>31578</v>
      </c>
      <c r="B1680" s="10">
        <v>35578</v>
      </c>
      <c r="C1680" s="10">
        <f t="shared" si="26"/>
        <v>31578</v>
      </c>
      <c r="D1680" s="99" t="s">
        <v>549</v>
      </c>
      <c r="E1680" s="7"/>
      <c r="F1680" s="166"/>
      <c r="G1680" s="22"/>
    </row>
    <row r="1681" spans="1:7" ht="20.25" customHeight="1">
      <c r="A1681" s="10">
        <v>31579</v>
      </c>
      <c r="B1681" s="10">
        <v>35579</v>
      </c>
      <c r="C1681" s="10">
        <f t="shared" si="26"/>
        <v>31579</v>
      </c>
      <c r="D1681" s="99" t="s">
        <v>549</v>
      </c>
      <c r="E1681" s="7"/>
      <c r="F1681" s="166"/>
      <c r="G1681" s="22"/>
    </row>
    <row r="1682" spans="1:7" ht="20.25" customHeight="1">
      <c r="A1682" s="10">
        <v>31580</v>
      </c>
      <c r="B1682" s="10">
        <v>35580</v>
      </c>
      <c r="C1682" s="10">
        <f t="shared" si="26"/>
        <v>31580</v>
      </c>
      <c r="D1682" s="99" t="s">
        <v>549</v>
      </c>
      <c r="E1682" s="7"/>
      <c r="F1682" s="166"/>
      <c r="G1682" s="22"/>
    </row>
    <row r="1683" spans="1:7" ht="20.25" customHeight="1">
      <c r="A1683" s="10">
        <v>31581</v>
      </c>
      <c r="B1683" s="10">
        <v>35581</v>
      </c>
      <c r="C1683" s="10">
        <f t="shared" si="26"/>
        <v>31581</v>
      </c>
      <c r="D1683" s="99" t="s">
        <v>549</v>
      </c>
      <c r="E1683" s="7"/>
      <c r="F1683" s="166"/>
      <c r="G1683" s="22"/>
    </row>
    <row r="1684" spans="1:7" ht="20.25" customHeight="1">
      <c r="A1684" s="10">
        <v>31582</v>
      </c>
      <c r="B1684" s="10">
        <v>35582</v>
      </c>
      <c r="C1684" s="10">
        <f t="shared" si="26"/>
        <v>31582</v>
      </c>
      <c r="D1684" s="99" t="s">
        <v>549</v>
      </c>
      <c r="E1684" s="7"/>
      <c r="F1684" s="166"/>
      <c r="G1684" s="22"/>
    </row>
    <row r="1685" spans="1:7" ht="20.25" customHeight="1">
      <c r="A1685" s="10">
        <v>31583</v>
      </c>
      <c r="B1685" s="10">
        <v>35583</v>
      </c>
      <c r="C1685" s="10">
        <f t="shared" si="26"/>
        <v>31583</v>
      </c>
      <c r="D1685" s="99" t="s">
        <v>549</v>
      </c>
      <c r="E1685" s="7"/>
      <c r="F1685" s="166"/>
      <c r="G1685" s="22"/>
    </row>
    <row r="1686" spans="1:7" ht="20.25" customHeight="1">
      <c r="A1686" s="10">
        <v>31584</v>
      </c>
      <c r="B1686" s="10">
        <v>35584</v>
      </c>
      <c r="C1686" s="10">
        <f t="shared" si="26"/>
        <v>31584</v>
      </c>
      <c r="D1686" s="99" t="s">
        <v>549</v>
      </c>
      <c r="E1686" s="7"/>
      <c r="F1686" s="166"/>
      <c r="G1686" s="22"/>
    </row>
    <row r="1687" spans="1:7" ht="20.25" customHeight="1">
      <c r="A1687" s="10">
        <v>31585</v>
      </c>
      <c r="B1687" s="10">
        <v>35585</v>
      </c>
      <c r="C1687" s="10">
        <f t="shared" si="26"/>
        <v>31585</v>
      </c>
      <c r="D1687" s="99" t="s">
        <v>549</v>
      </c>
      <c r="E1687" s="7"/>
      <c r="F1687" s="166"/>
      <c r="G1687" s="22"/>
    </row>
    <row r="1688" spans="1:7" ht="20.25" customHeight="1">
      <c r="A1688" s="10">
        <v>31586</v>
      </c>
      <c r="B1688" s="10">
        <v>35586</v>
      </c>
      <c r="C1688" s="10">
        <f t="shared" si="26"/>
        <v>31586</v>
      </c>
      <c r="D1688" s="99" t="s">
        <v>549</v>
      </c>
      <c r="E1688" s="7"/>
      <c r="F1688" s="166"/>
      <c r="G1688" s="22"/>
    </row>
    <row r="1689" spans="1:7" ht="20.25" customHeight="1">
      <c r="A1689" s="10">
        <v>31587</v>
      </c>
      <c r="B1689" s="10">
        <v>35587</v>
      </c>
      <c r="C1689" s="10">
        <f t="shared" si="26"/>
        <v>31587</v>
      </c>
      <c r="D1689" s="99" t="s">
        <v>549</v>
      </c>
      <c r="E1689" s="7"/>
      <c r="F1689" s="166"/>
      <c r="G1689" s="22"/>
    </row>
    <row r="1690" spans="1:7" ht="20.25" customHeight="1">
      <c r="A1690" s="10">
        <v>31588</v>
      </c>
      <c r="B1690" s="10">
        <v>35588</v>
      </c>
      <c r="C1690" s="10">
        <f t="shared" si="26"/>
        <v>31588</v>
      </c>
      <c r="D1690" s="99" t="s">
        <v>549</v>
      </c>
      <c r="E1690" s="7"/>
      <c r="F1690" s="166"/>
      <c r="G1690" s="22"/>
    </row>
    <row r="1691" spans="1:7" ht="20.25" customHeight="1">
      <c r="A1691" s="10">
        <v>31589</v>
      </c>
      <c r="B1691" s="10">
        <v>35589</v>
      </c>
      <c r="C1691" s="10">
        <f t="shared" si="26"/>
        <v>31589</v>
      </c>
      <c r="D1691" s="99" t="s">
        <v>549</v>
      </c>
      <c r="E1691" s="7"/>
      <c r="F1691" s="166"/>
      <c r="G1691" s="22"/>
    </row>
    <row r="1692" spans="1:7" ht="20.25" customHeight="1">
      <c r="A1692" s="10">
        <v>31590</v>
      </c>
      <c r="B1692" s="10">
        <v>35590</v>
      </c>
      <c r="C1692" s="10">
        <f t="shared" si="26"/>
        <v>31590</v>
      </c>
      <c r="D1692" s="99" t="s">
        <v>549</v>
      </c>
      <c r="E1692" s="7"/>
      <c r="F1692" s="166"/>
      <c r="G1692" s="22"/>
    </row>
    <row r="1693" spans="1:7" ht="20.25" customHeight="1">
      <c r="A1693" s="10">
        <v>31591</v>
      </c>
      <c r="B1693" s="10">
        <v>35591</v>
      </c>
      <c r="C1693" s="10">
        <f t="shared" si="26"/>
        <v>31591</v>
      </c>
      <c r="D1693" s="99" t="s">
        <v>549</v>
      </c>
      <c r="E1693" s="7"/>
      <c r="F1693" s="166"/>
      <c r="G1693" s="22"/>
    </row>
    <row r="1694" spans="1:7" ht="20.25" customHeight="1">
      <c r="A1694" s="10">
        <v>31592</v>
      </c>
      <c r="B1694" s="10">
        <v>35592</v>
      </c>
      <c r="C1694" s="10">
        <f t="shared" si="26"/>
        <v>31592</v>
      </c>
      <c r="D1694" s="99" t="s">
        <v>549</v>
      </c>
      <c r="E1694" s="7"/>
      <c r="F1694" s="166"/>
      <c r="G1694" s="22"/>
    </row>
    <row r="1695" spans="1:7" ht="20.25" customHeight="1">
      <c r="A1695" s="10">
        <v>31593</v>
      </c>
      <c r="B1695" s="10">
        <v>35593</v>
      </c>
      <c r="C1695" s="10">
        <f t="shared" si="26"/>
        <v>31593</v>
      </c>
      <c r="D1695" s="99" t="s">
        <v>549</v>
      </c>
      <c r="E1695" s="7"/>
      <c r="F1695" s="166"/>
      <c r="G1695" s="22"/>
    </row>
    <row r="1696" spans="1:7" ht="20.25" customHeight="1">
      <c r="A1696" s="10">
        <v>31594</v>
      </c>
      <c r="B1696" s="10">
        <v>35594</v>
      </c>
      <c r="C1696" s="10">
        <f t="shared" si="26"/>
        <v>31594</v>
      </c>
      <c r="D1696" s="99" t="s">
        <v>549</v>
      </c>
      <c r="E1696" s="7"/>
      <c r="F1696" s="166"/>
      <c r="G1696" s="22"/>
    </row>
    <row r="1697" spans="1:7" ht="20.25" customHeight="1">
      <c r="A1697" s="10">
        <v>31595</v>
      </c>
      <c r="B1697" s="10">
        <v>35595</v>
      </c>
      <c r="C1697" s="10">
        <f t="shared" si="26"/>
        <v>31595</v>
      </c>
      <c r="D1697" s="99" t="s">
        <v>549</v>
      </c>
      <c r="E1697" s="7"/>
      <c r="F1697" s="166"/>
      <c r="G1697" s="22"/>
    </row>
    <row r="1698" spans="1:7" ht="20.25" customHeight="1">
      <c r="A1698" s="10">
        <v>31596</v>
      </c>
      <c r="B1698" s="10">
        <v>35596</v>
      </c>
      <c r="C1698" s="10">
        <f t="shared" si="26"/>
        <v>31596</v>
      </c>
      <c r="D1698" s="99" t="s">
        <v>549</v>
      </c>
      <c r="E1698" s="7"/>
      <c r="F1698" s="166"/>
      <c r="G1698" s="22"/>
    </row>
    <row r="1699" spans="1:7" ht="20.25" customHeight="1">
      <c r="A1699" s="10">
        <v>31597</v>
      </c>
      <c r="B1699" s="10">
        <v>35597</v>
      </c>
      <c r="C1699" s="10">
        <f t="shared" si="26"/>
        <v>31597</v>
      </c>
      <c r="D1699" s="99" t="s">
        <v>549</v>
      </c>
      <c r="E1699" s="7"/>
      <c r="F1699" s="166"/>
      <c r="G1699" s="22"/>
    </row>
    <row r="1700" spans="1:7" ht="20.25" customHeight="1">
      <c r="A1700" s="10">
        <v>31598</v>
      </c>
      <c r="B1700" s="10">
        <v>35598</v>
      </c>
      <c r="C1700" s="10">
        <f t="shared" si="26"/>
        <v>31598</v>
      </c>
      <c r="D1700" s="99" t="s">
        <v>549</v>
      </c>
      <c r="E1700" s="7"/>
      <c r="F1700" s="166"/>
      <c r="G1700" s="22"/>
    </row>
    <row r="1701" spans="1:7" ht="20.25" customHeight="1">
      <c r="A1701" s="10">
        <v>31599</v>
      </c>
      <c r="B1701" s="10">
        <v>35599</v>
      </c>
      <c r="C1701" s="10">
        <f t="shared" si="26"/>
        <v>31599</v>
      </c>
      <c r="D1701" s="99" t="s">
        <v>549</v>
      </c>
      <c r="E1701" s="7"/>
      <c r="F1701" s="166"/>
      <c r="G1701" s="22"/>
    </row>
    <row r="1702" spans="1:7" ht="20.25" customHeight="1">
      <c r="A1702" s="10">
        <v>31600</v>
      </c>
      <c r="B1702" s="10">
        <v>35600</v>
      </c>
      <c r="C1702" s="10">
        <f t="shared" si="26"/>
        <v>31600</v>
      </c>
      <c r="D1702" s="99" t="s">
        <v>549</v>
      </c>
      <c r="E1702" s="7"/>
      <c r="F1702" s="166"/>
      <c r="G1702" s="22"/>
    </row>
    <row r="1703" spans="1:7" ht="20.25" customHeight="1">
      <c r="A1703" s="10">
        <v>31601</v>
      </c>
      <c r="B1703" s="10">
        <v>35601</v>
      </c>
      <c r="C1703" s="10">
        <f t="shared" si="26"/>
        <v>31601</v>
      </c>
      <c r="D1703" s="99" t="s">
        <v>549</v>
      </c>
      <c r="E1703" s="7"/>
      <c r="F1703" s="166"/>
      <c r="G1703" s="22"/>
    </row>
    <row r="1704" spans="1:7" ht="20.25" customHeight="1">
      <c r="A1704" s="10">
        <v>31602</v>
      </c>
      <c r="B1704" s="10">
        <v>35602</v>
      </c>
      <c r="C1704" s="10">
        <f t="shared" si="26"/>
        <v>31602</v>
      </c>
      <c r="D1704" s="99" t="s">
        <v>549</v>
      </c>
      <c r="E1704" s="7"/>
      <c r="F1704" s="166"/>
      <c r="G1704" s="22"/>
    </row>
    <row r="1705" spans="1:7" ht="20.25" customHeight="1">
      <c r="A1705" s="10">
        <v>31603</v>
      </c>
      <c r="B1705" s="10">
        <v>35603</v>
      </c>
      <c r="C1705" s="10">
        <f t="shared" si="26"/>
        <v>31603</v>
      </c>
      <c r="D1705" s="99" t="s">
        <v>549</v>
      </c>
      <c r="E1705" s="7"/>
      <c r="F1705" s="166"/>
      <c r="G1705" s="22"/>
    </row>
    <row r="1706" spans="1:7" ht="20.25" customHeight="1">
      <c r="A1706" s="10">
        <v>31604</v>
      </c>
      <c r="B1706" s="10">
        <v>35604</v>
      </c>
      <c r="C1706" s="10">
        <f t="shared" si="26"/>
        <v>31604</v>
      </c>
      <c r="D1706" s="99" t="s">
        <v>549</v>
      </c>
      <c r="E1706" s="7"/>
      <c r="F1706" s="166"/>
      <c r="G1706" s="22"/>
    </row>
    <row r="1707" spans="1:7" ht="20.25" customHeight="1">
      <c r="A1707" s="10">
        <v>31605</v>
      </c>
      <c r="B1707" s="10">
        <v>35605</v>
      </c>
      <c r="C1707" s="10">
        <f t="shared" si="26"/>
        <v>31605</v>
      </c>
      <c r="D1707" s="99" t="s">
        <v>549</v>
      </c>
      <c r="E1707" s="7"/>
      <c r="F1707" s="166"/>
      <c r="G1707" s="22"/>
    </row>
    <row r="1708" spans="1:7" ht="20.25" customHeight="1">
      <c r="A1708" s="10">
        <v>31606</v>
      </c>
      <c r="B1708" s="10">
        <v>35606</v>
      </c>
      <c r="C1708" s="10">
        <f t="shared" si="26"/>
        <v>31606</v>
      </c>
      <c r="D1708" s="99" t="s">
        <v>549</v>
      </c>
      <c r="E1708" s="7"/>
      <c r="F1708" s="166"/>
      <c r="G1708" s="22"/>
    </row>
    <row r="1709" spans="1:7" ht="20.25" customHeight="1">
      <c r="A1709" s="10">
        <v>31607</v>
      </c>
      <c r="B1709" s="10">
        <v>35607</v>
      </c>
      <c r="C1709" s="10">
        <f t="shared" si="26"/>
        <v>31607</v>
      </c>
      <c r="D1709" s="99" t="s">
        <v>549</v>
      </c>
      <c r="E1709" s="7"/>
      <c r="F1709" s="166"/>
      <c r="G1709" s="22"/>
    </row>
    <row r="1710" spans="1:7" ht="20.25" customHeight="1">
      <c r="A1710" s="10">
        <v>31608</v>
      </c>
      <c r="B1710" s="10">
        <v>35608</v>
      </c>
      <c r="C1710" s="10">
        <f t="shared" si="26"/>
        <v>31608</v>
      </c>
      <c r="D1710" s="99" t="s">
        <v>549</v>
      </c>
      <c r="E1710" s="7"/>
      <c r="F1710" s="166"/>
      <c r="G1710" s="22"/>
    </row>
    <row r="1711" spans="1:7" ht="20.25" customHeight="1">
      <c r="A1711" s="10">
        <v>31609</v>
      </c>
      <c r="B1711" s="10">
        <v>35609</v>
      </c>
      <c r="C1711" s="10">
        <f t="shared" si="26"/>
        <v>31609</v>
      </c>
      <c r="D1711" s="99" t="s">
        <v>549</v>
      </c>
      <c r="E1711" s="7"/>
      <c r="F1711" s="166"/>
      <c r="G1711" s="22"/>
    </row>
    <row r="1712" spans="1:7" ht="20.25" customHeight="1">
      <c r="A1712" s="10">
        <v>31610</v>
      </c>
      <c r="B1712" s="10">
        <v>35610</v>
      </c>
      <c r="C1712" s="10">
        <f t="shared" si="26"/>
        <v>31610</v>
      </c>
      <c r="D1712" s="99" t="s">
        <v>549</v>
      </c>
      <c r="E1712" s="7"/>
      <c r="F1712" s="166"/>
      <c r="G1712" s="22"/>
    </row>
    <row r="1713" spans="1:7" ht="20.25" customHeight="1">
      <c r="A1713" s="10">
        <v>31611</v>
      </c>
      <c r="B1713" s="10">
        <v>35611</v>
      </c>
      <c r="C1713" s="10">
        <f t="shared" si="26"/>
        <v>31611</v>
      </c>
      <c r="D1713" s="99" t="s">
        <v>549</v>
      </c>
      <c r="E1713" s="7"/>
      <c r="F1713" s="166"/>
      <c r="G1713" s="22"/>
    </row>
    <row r="1714" spans="1:7" ht="20.25" customHeight="1">
      <c r="A1714" s="10">
        <v>31612</v>
      </c>
      <c r="B1714" s="10">
        <v>35612</v>
      </c>
      <c r="C1714" s="10">
        <f t="shared" si="26"/>
        <v>31612</v>
      </c>
      <c r="D1714" s="99" t="s">
        <v>549</v>
      </c>
      <c r="E1714" s="7"/>
      <c r="F1714" s="166"/>
      <c r="G1714" s="22"/>
    </row>
    <row r="1715" spans="1:7" ht="20.25" customHeight="1">
      <c r="A1715" s="10">
        <v>31613</v>
      </c>
      <c r="B1715" s="10">
        <v>35613</v>
      </c>
      <c r="C1715" s="10">
        <f t="shared" si="26"/>
        <v>31613</v>
      </c>
      <c r="D1715" s="99" t="s">
        <v>549</v>
      </c>
      <c r="E1715" s="7"/>
      <c r="F1715" s="166"/>
      <c r="G1715" s="22"/>
    </row>
    <row r="1716" spans="1:7" ht="20.25" customHeight="1">
      <c r="A1716" s="10">
        <v>31614</v>
      </c>
      <c r="B1716" s="10">
        <v>35614</v>
      </c>
      <c r="C1716" s="10">
        <f t="shared" si="26"/>
        <v>31614</v>
      </c>
      <c r="D1716" s="99" t="s">
        <v>549</v>
      </c>
      <c r="E1716" s="7"/>
      <c r="F1716" s="166"/>
      <c r="G1716" s="22"/>
    </row>
    <row r="1717" spans="1:7" ht="20.25" customHeight="1">
      <c r="A1717" s="10">
        <v>31615</v>
      </c>
      <c r="B1717" s="10">
        <v>35615</v>
      </c>
      <c r="C1717" s="10">
        <f t="shared" si="26"/>
        <v>31615</v>
      </c>
      <c r="D1717" s="99" t="s">
        <v>549</v>
      </c>
      <c r="E1717" s="7"/>
      <c r="F1717" s="166"/>
      <c r="G1717" s="22"/>
    </row>
    <row r="1718" spans="1:7" ht="20.25" customHeight="1">
      <c r="A1718" s="10">
        <v>31616</v>
      </c>
      <c r="B1718" s="10">
        <v>35616</v>
      </c>
      <c r="C1718" s="10">
        <f t="shared" si="26"/>
        <v>31616</v>
      </c>
      <c r="D1718" s="99" t="s">
        <v>549</v>
      </c>
      <c r="E1718" s="7"/>
      <c r="F1718" s="166"/>
      <c r="G1718" s="22"/>
    </row>
    <row r="1719" spans="1:7" ht="20.25" customHeight="1">
      <c r="A1719" s="10">
        <v>31617</v>
      </c>
      <c r="B1719" s="10">
        <v>35617</v>
      </c>
      <c r="C1719" s="10">
        <f t="shared" si="26"/>
        <v>31617</v>
      </c>
      <c r="D1719" s="99" t="s">
        <v>549</v>
      </c>
      <c r="E1719" s="7"/>
      <c r="F1719" s="166"/>
      <c r="G1719" s="22"/>
    </row>
    <row r="1720" spans="1:7" ht="20.25" customHeight="1">
      <c r="A1720" s="10">
        <v>31618</v>
      </c>
      <c r="B1720" s="10">
        <v>35618</v>
      </c>
      <c r="C1720" s="10">
        <f t="shared" si="26"/>
        <v>31618</v>
      </c>
      <c r="D1720" s="99" t="s">
        <v>549</v>
      </c>
      <c r="E1720" s="7"/>
      <c r="F1720" s="166"/>
      <c r="G1720" s="22"/>
    </row>
    <row r="1721" spans="1:7" ht="20.25" customHeight="1">
      <c r="A1721" s="10">
        <v>31619</v>
      </c>
      <c r="B1721" s="10">
        <v>35619</v>
      </c>
      <c r="C1721" s="10">
        <f t="shared" si="26"/>
        <v>31619</v>
      </c>
      <c r="D1721" s="99" t="s">
        <v>549</v>
      </c>
      <c r="E1721" s="7"/>
      <c r="F1721" s="166"/>
      <c r="G1721" s="22"/>
    </row>
    <row r="1722" spans="1:7" ht="20.25" customHeight="1">
      <c r="A1722" s="10">
        <v>31620</v>
      </c>
      <c r="B1722" s="10">
        <v>35620</v>
      </c>
      <c r="C1722" s="10">
        <f t="shared" si="26"/>
        <v>31620</v>
      </c>
      <c r="D1722" s="99" t="s">
        <v>549</v>
      </c>
      <c r="E1722" s="7"/>
      <c r="F1722" s="166"/>
      <c r="G1722" s="22"/>
    </row>
    <row r="1723" spans="1:7" ht="20.25" customHeight="1">
      <c r="A1723" s="10">
        <v>31621</v>
      </c>
      <c r="B1723" s="10">
        <v>35621</v>
      </c>
      <c r="C1723" s="10">
        <f t="shared" si="26"/>
        <v>31621</v>
      </c>
      <c r="D1723" s="99" t="s">
        <v>549</v>
      </c>
      <c r="E1723" s="7"/>
      <c r="F1723" s="166"/>
      <c r="G1723" s="22"/>
    </row>
    <row r="1724" spans="1:7" ht="20.25" customHeight="1">
      <c r="A1724" s="10">
        <v>31622</v>
      </c>
      <c r="B1724" s="10">
        <v>35622</v>
      </c>
      <c r="C1724" s="10">
        <f t="shared" si="26"/>
        <v>31622</v>
      </c>
      <c r="D1724" s="99" t="s">
        <v>549</v>
      </c>
      <c r="E1724" s="7"/>
      <c r="F1724" s="166"/>
      <c r="G1724" s="22"/>
    </row>
    <row r="1725" spans="1:7" ht="20.25" customHeight="1">
      <c r="A1725" s="10">
        <v>31623</v>
      </c>
      <c r="B1725" s="10">
        <v>35623</v>
      </c>
      <c r="C1725" s="10">
        <f t="shared" si="26"/>
        <v>31623</v>
      </c>
      <c r="D1725" s="99" t="s">
        <v>549</v>
      </c>
      <c r="E1725" s="7"/>
      <c r="F1725" s="166"/>
      <c r="G1725" s="22"/>
    </row>
    <row r="1726" spans="1:7" ht="20.25" customHeight="1">
      <c r="A1726" s="10">
        <v>31624</v>
      </c>
      <c r="B1726" s="10">
        <v>35624</v>
      </c>
      <c r="C1726" s="10">
        <f t="shared" si="26"/>
        <v>31624</v>
      </c>
      <c r="D1726" s="99" t="s">
        <v>549</v>
      </c>
      <c r="E1726" s="7"/>
      <c r="F1726" s="166"/>
      <c r="G1726" s="22"/>
    </row>
    <row r="1727" spans="1:7" ht="20.25" customHeight="1">
      <c r="A1727" s="10">
        <v>31625</v>
      </c>
      <c r="B1727" s="10">
        <v>35625</v>
      </c>
      <c r="C1727" s="10">
        <f t="shared" si="26"/>
        <v>31625</v>
      </c>
      <c r="D1727" s="99" t="s">
        <v>549</v>
      </c>
      <c r="E1727" s="7"/>
      <c r="F1727" s="166"/>
      <c r="G1727" s="22"/>
    </row>
    <row r="1728" spans="1:7" ht="20.25" customHeight="1">
      <c r="A1728" s="10">
        <v>31626</v>
      </c>
      <c r="B1728" s="10">
        <v>35626</v>
      </c>
      <c r="C1728" s="10">
        <f t="shared" si="26"/>
        <v>31626</v>
      </c>
      <c r="D1728" s="99" t="s">
        <v>549</v>
      </c>
      <c r="E1728" s="7"/>
      <c r="F1728" s="166"/>
      <c r="G1728" s="22"/>
    </row>
    <row r="1729" spans="1:7" ht="20.25" customHeight="1">
      <c r="A1729" s="10">
        <v>31627</v>
      </c>
      <c r="B1729" s="10">
        <v>35627</v>
      </c>
      <c r="C1729" s="10">
        <f t="shared" si="26"/>
        <v>31627</v>
      </c>
      <c r="D1729" s="99" t="s">
        <v>549</v>
      </c>
      <c r="E1729" s="7"/>
      <c r="F1729" s="166"/>
      <c r="G1729" s="22"/>
    </row>
    <row r="1730" spans="1:7" ht="20.25" customHeight="1">
      <c r="A1730" s="10">
        <v>31628</v>
      </c>
      <c r="B1730" s="10">
        <v>35628</v>
      </c>
      <c r="C1730" s="10">
        <f t="shared" si="26"/>
        <v>31628</v>
      </c>
      <c r="D1730" s="99" t="s">
        <v>549</v>
      </c>
      <c r="E1730" s="7"/>
      <c r="F1730" s="166"/>
      <c r="G1730" s="22"/>
    </row>
    <row r="1731" spans="1:7" ht="20.25" customHeight="1">
      <c r="A1731" s="10">
        <v>31629</v>
      </c>
      <c r="B1731" s="10">
        <v>35629</v>
      </c>
      <c r="C1731" s="10">
        <f t="shared" si="26"/>
        <v>31629</v>
      </c>
      <c r="D1731" s="99" t="s">
        <v>549</v>
      </c>
      <c r="E1731" s="7"/>
      <c r="F1731" s="166"/>
      <c r="G1731" s="22"/>
    </row>
    <row r="1732" spans="1:7" ht="20.25" customHeight="1">
      <c r="A1732" s="10">
        <v>31630</v>
      </c>
      <c r="B1732" s="10">
        <v>35630</v>
      </c>
      <c r="C1732" s="10">
        <f t="shared" si="26"/>
        <v>31630</v>
      </c>
      <c r="D1732" s="99" t="s">
        <v>549</v>
      </c>
      <c r="E1732" s="7"/>
      <c r="F1732" s="166"/>
      <c r="G1732" s="22"/>
    </row>
    <row r="1733" spans="1:7" ht="20.25" customHeight="1">
      <c r="A1733" s="10">
        <v>31631</v>
      </c>
      <c r="B1733" s="10">
        <v>35631</v>
      </c>
      <c r="C1733" s="10">
        <f t="shared" ref="C1733:C1796" si="27">IF(ISERROR(FIND("B_Epic",E1733)),A1733,A1733+10000)</f>
        <v>31631</v>
      </c>
      <c r="D1733" s="99" t="s">
        <v>549</v>
      </c>
      <c r="E1733" s="7"/>
      <c r="F1733" s="166"/>
      <c r="G1733" s="22"/>
    </row>
    <row r="1734" spans="1:7" ht="20.25" customHeight="1">
      <c r="A1734" s="10">
        <v>31632</v>
      </c>
      <c r="B1734" s="10">
        <v>35632</v>
      </c>
      <c r="C1734" s="10">
        <f t="shared" si="27"/>
        <v>31632</v>
      </c>
      <c r="D1734" s="99" t="s">
        <v>549</v>
      </c>
      <c r="E1734" s="7"/>
      <c r="F1734" s="166"/>
      <c r="G1734" s="22"/>
    </row>
    <row r="1735" spans="1:7" ht="20.25" customHeight="1">
      <c r="A1735" s="10">
        <v>31633</v>
      </c>
      <c r="B1735" s="10">
        <v>35633</v>
      </c>
      <c r="C1735" s="10">
        <f t="shared" si="27"/>
        <v>31633</v>
      </c>
      <c r="D1735" s="99" t="s">
        <v>549</v>
      </c>
      <c r="E1735" s="7"/>
      <c r="F1735" s="166"/>
      <c r="G1735" s="22"/>
    </row>
    <row r="1736" spans="1:7" ht="20.25" customHeight="1">
      <c r="A1736" s="10">
        <v>31634</v>
      </c>
      <c r="B1736" s="10">
        <v>35634</v>
      </c>
      <c r="C1736" s="10">
        <f t="shared" si="27"/>
        <v>31634</v>
      </c>
      <c r="D1736" s="99" t="s">
        <v>549</v>
      </c>
      <c r="E1736" s="7"/>
      <c r="F1736" s="166"/>
      <c r="G1736" s="22"/>
    </row>
    <row r="1737" spans="1:7" ht="20.25" customHeight="1">
      <c r="A1737" s="10">
        <v>31635</v>
      </c>
      <c r="B1737" s="10">
        <v>35635</v>
      </c>
      <c r="C1737" s="10">
        <f t="shared" si="27"/>
        <v>31635</v>
      </c>
      <c r="D1737" s="99" t="s">
        <v>549</v>
      </c>
      <c r="E1737" s="7"/>
      <c r="F1737" s="166"/>
      <c r="G1737" s="22"/>
    </row>
    <row r="1738" spans="1:7" ht="20.25" customHeight="1">
      <c r="A1738" s="10">
        <v>31636</v>
      </c>
      <c r="B1738" s="10">
        <v>35636</v>
      </c>
      <c r="C1738" s="10">
        <f t="shared" si="27"/>
        <v>31636</v>
      </c>
      <c r="D1738" s="99" t="s">
        <v>549</v>
      </c>
      <c r="E1738" s="7"/>
      <c r="F1738" s="166"/>
      <c r="G1738" s="22"/>
    </row>
    <row r="1739" spans="1:7" ht="20.25" customHeight="1">
      <c r="A1739" s="10">
        <v>31637</v>
      </c>
      <c r="B1739" s="10">
        <v>35637</v>
      </c>
      <c r="C1739" s="10">
        <f t="shared" si="27"/>
        <v>31637</v>
      </c>
      <c r="D1739" s="99" t="s">
        <v>549</v>
      </c>
      <c r="E1739" s="7"/>
      <c r="F1739" s="166"/>
      <c r="G1739" s="22"/>
    </row>
    <row r="1740" spans="1:7" ht="20.25" customHeight="1">
      <c r="A1740" s="10">
        <v>31638</v>
      </c>
      <c r="B1740" s="10">
        <v>35638</v>
      </c>
      <c r="C1740" s="10">
        <f t="shared" si="27"/>
        <v>31638</v>
      </c>
      <c r="D1740" s="99" t="s">
        <v>549</v>
      </c>
      <c r="E1740" s="7"/>
      <c r="F1740" s="166"/>
      <c r="G1740" s="22"/>
    </row>
    <row r="1741" spans="1:7" ht="20.25" customHeight="1">
      <c r="A1741" s="10">
        <v>31639</v>
      </c>
      <c r="B1741" s="10">
        <v>35639</v>
      </c>
      <c r="C1741" s="10">
        <f t="shared" si="27"/>
        <v>31639</v>
      </c>
      <c r="D1741" s="99" t="s">
        <v>549</v>
      </c>
      <c r="E1741" s="7"/>
      <c r="F1741" s="166"/>
      <c r="G1741" s="22"/>
    </row>
    <row r="1742" spans="1:7" ht="20.25" customHeight="1">
      <c r="A1742" s="10">
        <v>31640</v>
      </c>
      <c r="B1742" s="10">
        <v>35640</v>
      </c>
      <c r="C1742" s="10">
        <f t="shared" si="27"/>
        <v>31640</v>
      </c>
      <c r="D1742" s="99" t="s">
        <v>549</v>
      </c>
      <c r="E1742" s="7"/>
      <c r="F1742" s="166"/>
      <c r="G1742" s="22"/>
    </row>
    <row r="1743" spans="1:7" ht="20.25" customHeight="1">
      <c r="A1743" s="10">
        <v>31641</v>
      </c>
      <c r="B1743" s="10">
        <v>35641</v>
      </c>
      <c r="C1743" s="10">
        <f t="shared" si="27"/>
        <v>31641</v>
      </c>
      <c r="D1743" s="99" t="s">
        <v>549</v>
      </c>
      <c r="E1743" s="7"/>
      <c r="F1743" s="166"/>
      <c r="G1743" s="22"/>
    </row>
    <row r="1744" spans="1:7" ht="20.25" customHeight="1">
      <c r="A1744" s="10">
        <v>31642</v>
      </c>
      <c r="B1744" s="10">
        <v>35642</v>
      </c>
      <c r="C1744" s="10">
        <f t="shared" si="27"/>
        <v>31642</v>
      </c>
      <c r="D1744" s="99" t="s">
        <v>549</v>
      </c>
      <c r="E1744" s="7"/>
      <c r="F1744" s="166"/>
      <c r="G1744" s="22"/>
    </row>
    <row r="1745" spans="1:7" ht="20.25" customHeight="1">
      <c r="A1745" s="10">
        <v>31643</v>
      </c>
      <c r="B1745" s="10">
        <v>35643</v>
      </c>
      <c r="C1745" s="10">
        <f t="shared" si="27"/>
        <v>31643</v>
      </c>
      <c r="D1745" s="99" t="s">
        <v>549</v>
      </c>
      <c r="E1745" s="7"/>
      <c r="F1745" s="166"/>
      <c r="G1745" s="22"/>
    </row>
    <row r="1746" spans="1:7" ht="20.25" customHeight="1">
      <c r="A1746" s="10">
        <v>31644</v>
      </c>
      <c r="B1746" s="10">
        <v>35644</v>
      </c>
      <c r="C1746" s="10">
        <f t="shared" si="27"/>
        <v>31644</v>
      </c>
      <c r="D1746" s="99" t="s">
        <v>549</v>
      </c>
      <c r="E1746" s="7"/>
      <c r="F1746" s="166"/>
      <c r="G1746" s="22"/>
    </row>
    <row r="1747" spans="1:7" ht="20.25" customHeight="1">
      <c r="A1747" s="10">
        <v>31645</v>
      </c>
      <c r="B1747" s="10">
        <v>35645</v>
      </c>
      <c r="C1747" s="10">
        <f t="shared" si="27"/>
        <v>31645</v>
      </c>
      <c r="D1747" s="99" t="s">
        <v>549</v>
      </c>
      <c r="E1747" s="7"/>
      <c r="F1747" s="166"/>
      <c r="G1747" s="22"/>
    </row>
    <row r="1748" spans="1:7" ht="20.25" customHeight="1">
      <c r="A1748" s="10">
        <v>31646</v>
      </c>
      <c r="B1748" s="10">
        <v>35646</v>
      </c>
      <c r="C1748" s="10">
        <f t="shared" si="27"/>
        <v>31646</v>
      </c>
      <c r="D1748" s="99" t="s">
        <v>549</v>
      </c>
      <c r="E1748" s="7"/>
      <c r="F1748" s="166"/>
      <c r="G1748" s="22"/>
    </row>
    <row r="1749" spans="1:7" ht="20.25" customHeight="1">
      <c r="A1749" s="10">
        <v>31647</v>
      </c>
      <c r="B1749" s="10">
        <v>35647</v>
      </c>
      <c r="C1749" s="10">
        <f t="shared" si="27"/>
        <v>31647</v>
      </c>
      <c r="D1749" s="99" t="s">
        <v>549</v>
      </c>
      <c r="E1749" s="7"/>
      <c r="F1749" s="166"/>
      <c r="G1749" s="22"/>
    </row>
    <row r="1750" spans="1:7" ht="20.25" customHeight="1">
      <c r="A1750" s="10">
        <v>31648</v>
      </c>
      <c r="B1750" s="10">
        <v>35648</v>
      </c>
      <c r="C1750" s="10">
        <f t="shared" si="27"/>
        <v>31648</v>
      </c>
      <c r="D1750" s="99" t="s">
        <v>549</v>
      </c>
      <c r="E1750" s="7"/>
      <c r="F1750" s="166"/>
      <c r="G1750" s="22"/>
    </row>
    <row r="1751" spans="1:7" ht="20.25" customHeight="1">
      <c r="A1751" s="10">
        <v>31649</v>
      </c>
      <c r="B1751" s="10">
        <v>35649</v>
      </c>
      <c r="C1751" s="10">
        <f t="shared" si="27"/>
        <v>31649</v>
      </c>
      <c r="D1751" s="99" t="s">
        <v>549</v>
      </c>
      <c r="E1751" s="7"/>
      <c r="F1751" s="166"/>
      <c r="G1751" s="22"/>
    </row>
    <row r="1752" spans="1:7" ht="20.25" customHeight="1">
      <c r="A1752" s="10">
        <v>31650</v>
      </c>
      <c r="B1752" s="10">
        <v>35650</v>
      </c>
      <c r="C1752" s="10">
        <f t="shared" si="27"/>
        <v>31650</v>
      </c>
      <c r="D1752" s="99" t="s">
        <v>549</v>
      </c>
      <c r="E1752" s="7"/>
      <c r="F1752" s="166"/>
      <c r="G1752" s="22"/>
    </row>
    <row r="1753" spans="1:7" ht="20.25" customHeight="1">
      <c r="A1753" s="10">
        <v>31651</v>
      </c>
      <c r="B1753" s="10">
        <v>35651</v>
      </c>
      <c r="C1753" s="10">
        <f t="shared" si="27"/>
        <v>31651</v>
      </c>
      <c r="D1753" s="99" t="s">
        <v>549</v>
      </c>
      <c r="E1753" s="7"/>
      <c r="F1753" s="166"/>
      <c r="G1753" s="22"/>
    </row>
    <row r="1754" spans="1:7" ht="20.25" customHeight="1">
      <c r="A1754" s="10">
        <v>31652</v>
      </c>
      <c r="B1754" s="10">
        <v>35652</v>
      </c>
      <c r="C1754" s="10">
        <f t="shared" si="27"/>
        <v>31652</v>
      </c>
      <c r="D1754" s="99" t="s">
        <v>549</v>
      </c>
      <c r="E1754" s="7"/>
      <c r="F1754" s="166"/>
      <c r="G1754" s="22"/>
    </row>
    <row r="1755" spans="1:7" ht="20.25" customHeight="1">
      <c r="A1755" s="10">
        <v>31653</v>
      </c>
      <c r="B1755" s="10">
        <v>35653</v>
      </c>
      <c r="C1755" s="10">
        <f t="shared" si="27"/>
        <v>31653</v>
      </c>
      <c r="D1755" s="99" t="s">
        <v>549</v>
      </c>
      <c r="E1755" s="7"/>
      <c r="F1755" s="166"/>
      <c r="G1755" s="22"/>
    </row>
    <row r="1756" spans="1:7" ht="20.25" customHeight="1">
      <c r="A1756" s="10">
        <v>31654</v>
      </c>
      <c r="B1756" s="10">
        <v>35654</v>
      </c>
      <c r="C1756" s="10">
        <f t="shared" si="27"/>
        <v>31654</v>
      </c>
      <c r="D1756" s="99" t="s">
        <v>549</v>
      </c>
      <c r="E1756" s="7"/>
      <c r="F1756" s="166"/>
      <c r="G1756" s="22"/>
    </row>
    <row r="1757" spans="1:7" ht="20.25" customHeight="1">
      <c r="A1757" s="10">
        <v>31655</v>
      </c>
      <c r="B1757" s="10">
        <v>35655</v>
      </c>
      <c r="C1757" s="10">
        <f t="shared" si="27"/>
        <v>31655</v>
      </c>
      <c r="D1757" s="99" t="s">
        <v>549</v>
      </c>
      <c r="E1757" s="7"/>
      <c r="F1757" s="166"/>
      <c r="G1757" s="22"/>
    </row>
    <row r="1758" spans="1:7" ht="20.25" customHeight="1">
      <c r="A1758" s="10">
        <v>31656</v>
      </c>
      <c r="B1758" s="10">
        <v>35656</v>
      </c>
      <c r="C1758" s="10">
        <f t="shared" si="27"/>
        <v>31656</v>
      </c>
      <c r="D1758" s="99" t="s">
        <v>549</v>
      </c>
      <c r="E1758" s="7"/>
      <c r="F1758" s="166"/>
      <c r="G1758" s="22"/>
    </row>
    <row r="1759" spans="1:7" ht="20.25" customHeight="1">
      <c r="A1759" s="10">
        <v>31657</v>
      </c>
      <c r="B1759" s="10">
        <v>35657</v>
      </c>
      <c r="C1759" s="10">
        <f t="shared" si="27"/>
        <v>31657</v>
      </c>
      <c r="D1759" s="99" t="s">
        <v>549</v>
      </c>
      <c r="E1759" s="7"/>
      <c r="F1759" s="166"/>
      <c r="G1759" s="22"/>
    </row>
    <row r="1760" spans="1:7" ht="20.25" customHeight="1">
      <c r="A1760" s="10">
        <v>31658</v>
      </c>
      <c r="B1760" s="10">
        <v>35658</v>
      </c>
      <c r="C1760" s="10">
        <f t="shared" si="27"/>
        <v>31658</v>
      </c>
      <c r="D1760" s="99" t="s">
        <v>549</v>
      </c>
      <c r="E1760" s="7"/>
      <c r="F1760" s="166"/>
      <c r="G1760" s="22"/>
    </row>
    <row r="1761" spans="1:7" ht="20.25" customHeight="1">
      <c r="A1761" s="10">
        <v>31659</v>
      </c>
      <c r="B1761" s="10">
        <v>35659</v>
      </c>
      <c r="C1761" s="10">
        <f t="shared" si="27"/>
        <v>31659</v>
      </c>
      <c r="D1761" s="99" t="s">
        <v>549</v>
      </c>
      <c r="E1761" s="7"/>
      <c r="F1761" s="166"/>
      <c r="G1761" s="22"/>
    </row>
    <row r="1762" spans="1:7" ht="20.25" customHeight="1">
      <c r="A1762" s="10">
        <v>31660</v>
      </c>
      <c r="B1762" s="10">
        <v>35660</v>
      </c>
      <c r="C1762" s="10">
        <f t="shared" si="27"/>
        <v>31660</v>
      </c>
      <c r="D1762" s="99" t="s">
        <v>549</v>
      </c>
      <c r="E1762" s="7"/>
      <c r="F1762" s="166"/>
      <c r="G1762" s="22"/>
    </row>
    <row r="1763" spans="1:7" ht="20.25" customHeight="1">
      <c r="A1763" s="10">
        <v>31661</v>
      </c>
      <c r="B1763" s="10">
        <v>35661</v>
      </c>
      <c r="C1763" s="10">
        <f t="shared" si="27"/>
        <v>31661</v>
      </c>
      <c r="D1763" s="99" t="s">
        <v>549</v>
      </c>
      <c r="E1763" s="7"/>
      <c r="F1763" s="166"/>
      <c r="G1763" s="22"/>
    </row>
    <row r="1764" spans="1:7" ht="20.25" customHeight="1">
      <c r="A1764" s="10">
        <v>31662</v>
      </c>
      <c r="B1764" s="10">
        <v>35662</v>
      </c>
      <c r="C1764" s="10">
        <f t="shared" si="27"/>
        <v>31662</v>
      </c>
      <c r="D1764" s="99" t="s">
        <v>549</v>
      </c>
      <c r="E1764" s="7"/>
      <c r="F1764" s="166"/>
      <c r="G1764" s="22"/>
    </row>
    <row r="1765" spans="1:7" ht="20.25" customHeight="1">
      <c r="A1765" s="10">
        <v>31663</v>
      </c>
      <c r="B1765" s="10">
        <v>35663</v>
      </c>
      <c r="C1765" s="10">
        <f t="shared" si="27"/>
        <v>31663</v>
      </c>
      <c r="D1765" s="99" t="s">
        <v>549</v>
      </c>
      <c r="E1765" s="7"/>
      <c r="F1765" s="166"/>
      <c r="G1765" s="22"/>
    </row>
    <row r="1766" spans="1:7" ht="20.25" customHeight="1">
      <c r="A1766" s="10">
        <v>31664</v>
      </c>
      <c r="B1766" s="10">
        <v>35664</v>
      </c>
      <c r="C1766" s="10">
        <f t="shared" si="27"/>
        <v>31664</v>
      </c>
      <c r="D1766" s="99" t="s">
        <v>549</v>
      </c>
      <c r="E1766" s="7"/>
      <c r="F1766" s="166"/>
      <c r="G1766" s="22"/>
    </row>
    <row r="1767" spans="1:7" ht="20.25" customHeight="1">
      <c r="A1767" s="10">
        <v>31665</v>
      </c>
      <c r="B1767" s="10">
        <v>35665</v>
      </c>
      <c r="C1767" s="10">
        <f t="shared" si="27"/>
        <v>31665</v>
      </c>
      <c r="D1767" s="99" t="s">
        <v>549</v>
      </c>
      <c r="E1767" s="7"/>
      <c r="F1767" s="166"/>
      <c r="G1767" s="22"/>
    </row>
    <row r="1768" spans="1:7" ht="20.25" customHeight="1">
      <c r="A1768" s="10">
        <v>31666</v>
      </c>
      <c r="B1768" s="10">
        <v>35666</v>
      </c>
      <c r="C1768" s="10">
        <f t="shared" si="27"/>
        <v>31666</v>
      </c>
      <c r="D1768" s="99" t="s">
        <v>549</v>
      </c>
      <c r="E1768" s="7"/>
      <c r="F1768" s="166"/>
      <c r="G1768" s="22"/>
    </row>
    <row r="1769" spans="1:7" ht="20.25" customHeight="1">
      <c r="A1769" s="10">
        <v>31667</v>
      </c>
      <c r="B1769" s="10">
        <v>35667</v>
      </c>
      <c r="C1769" s="10">
        <f t="shared" si="27"/>
        <v>31667</v>
      </c>
      <c r="D1769" s="99" t="s">
        <v>549</v>
      </c>
      <c r="E1769" s="7"/>
      <c r="F1769" s="166"/>
      <c r="G1769" s="22"/>
    </row>
    <row r="1770" spans="1:7" ht="20.25" customHeight="1">
      <c r="A1770" s="10">
        <v>31668</v>
      </c>
      <c r="B1770" s="10">
        <v>35668</v>
      </c>
      <c r="C1770" s="10">
        <f t="shared" si="27"/>
        <v>31668</v>
      </c>
      <c r="D1770" s="99" t="s">
        <v>549</v>
      </c>
      <c r="E1770" s="7"/>
      <c r="F1770" s="166"/>
      <c r="G1770" s="22"/>
    </row>
    <row r="1771" spans="1:7" ht="20.25" customHeight="1">
      <c r="A1771" s="10">
        <v>31669</v>
      </c>
      <c r="B1771" s="10">
        <v>35669</v>
      </c>
      <c r="C1771" s="10">
        <f t="shared" si="27"/>
        <v>31669</v>
      </c>
      <c r="D1771" s="99" t="s">
        <v>549</v>
      </c>
      <c r="E1771" s="7"/>
      <c r="F1771" s="166"/>
      <c r="G1771" s="22"/>
    </row>
    <row r="1772" spans="1:7" ht="20.25" customHeight="1">
      <c r="A1772" s="10">
        <v>31670</v>
      </c>
      <c r="B1772" s="10">
        <v>35670</v>
      </c>
      <c r="C1772" s="10">
        <f t="shared" si="27"/>
        <v>31670</v>
      </c>
      <c r="D1772" s="99" t="s">
        <v>549</v>
      </c>
      <c r="E1772" s="7"/>
      <c r="F1772" s="166"/>
      <c r="G1772" s="22"/>
    </row>
    <row r="1773" spans="1:7" ht="20.25" customHeight="1">
      <c r="A1773" s="10">
        <v>31671</v>
      </c>
      <c r="B1773" s="10">
        <v>35671</v>
      </c>
      <c r="C1773" s="10">
        <f t="shared" si="27"/>
        <v>31671</v>
      </c>
      <c r="D1773" s="99" t="s">
        <v>549</v>
      </c>
      <c r="E1773" s="7"/>
      <c r="F1773" s="166"/>
      <c r="G1773" s="22"/>
    </row>
    <row r="1774" spans="1:7" ht="20.25" customHeight="1">
      <c r="A1774" s="10">
        <v>31672</v>
      </c>
      <c r="B1774" s="10">
        <v>35672</v>
      </c>
      <c r="C1774" s="10">
        <f t="shared" si="27"/>
        <v>31672</v>
      </c>
      <c r="D1774" s="99" t="s">
        <v>549</v>
      </c>
      <c r="E1774" s="7"/>
      <c r="F1774" s="166"/>
      <c r="G1774" s="22"/>
    </row>
    <row r="1775" spans="1:7" ht="20.25" customHeight="1">
      <c r="A1775" s="10">
        <v>31673</v>
      </c>
      <c r="B1775" s="10">
        <v>35673</v>
      </c>
      <c r="C1775" s="10">
        <f t="shared" si="27"/>
        <v>31673</v>
      </c>
      <c r="D1775" s="99" t="s">
        <v>549</v>
      </c>
      <c r="E1775" s="7"/>
      <c r="F1775" s="166"/>
      <c r="G1775" s="22"/>
    </row>
    <row r="1776" spans="1:7" ht="20.25" customHeight="1">
      <c r="A1776" s="10">
        <v>31674</v>
      </c>
      <c r="B1776" s="10">
        <v>35674</v>
      </c>
      <c r="C1776" s="10">
        <f t="shared" si="27"/>
        <v>31674</v>
      </c>
      <c r="D1776" s="99" t="s">
        <v>549</v>
      </c>
      <c r="E1776" s="7"/>
      <c r="F1776" s="166"/>
      <c r="G1776" s="22"/>
    </row>
    <row r="1777" spans="1:7" ht="20.25" customHeight="1">
      <c r="A1777" s="10">
        <v>31675</v>
      </c>
      <c r="B1777" s="10">
        <v>35675</v>
      </c>
      <c r="C1777" s="10">
        <f t="shared" si="27"/>
        <v>31675</v>
      </c>
      <c r="D1777" s="99" t="s">
        <v>549</v>
      </c>
      <c r="E1777" s="7"/>
      <c r="F1777" s="166"/>
      <c r="G1777" s="22"/>
    </row>
    <row r="1778" spans="1:7" ht="20.25" customHeight="1">
      <c r="A1778" s="10">
        <v>31676</v>
      </c>
      <c r="B1778" s="10">
        <v>35676</v>
      </c>
      <c r="C1778" s="10">
        <f t="shared" si="27"/>
        <v>31676</v>
      </c>
      <c r="D1778" s="99" t="s">
        <v>549</v>
      </c>
      <c r="E1778" s="7"/>
      <c r="F1778" s="166"/>
      <c r="G1778" s="22"/>
    </row>
    <row r="1779" spans="1:7" ht="20.25" customHeight="1">
      <c r="A1779" s="10">
        <v>31677</v>
      </c>
      <c r="B1779" s="10">
        <v>35677</v>
      </c>
      <c r="C1779" s="10">
        <f t="shared" si="27"/>
        <v>31677</v>
      </c>
      <c r="D1779" s="99" t="s">
        <v>549</v>
      </c>
      <c r="E1779" s="7"/>
      <c r="F1779" s="166"/>
      <c r="G1779" s="22"/>
    </row>
    <row r="1780" spans="1:7" ht="20.25" customHeight="1">
      <c r="A1780" s="10">
        <v>31678</v>
      </c>
      <c r="B1780" s="10">
        <v>35678</v>
      </c>
      <c r="C1780" s="10">
        <f t="shared" si="27"/>
        <v>31678</v>
      </c>
      <c r="D1780" s="99" t="s">
        <v>549</v>
      </c>
      <c r="E1780" s="7"/>
      <c r="F1780" s="166"/>
      <c r="G1780" s="22"/>
    </row>
    <row r="1781" spans="1:7" ht="20.25" customHeight="1">
      <c r="A1781" s="10">
        <v>31679</v>
      </c>
      <c r="B1781" s="10">
        <v>35679</v>
      </c>
      <c r="C1781" s="10">
        <f t="shared" si="27"/>
        <v>31679</v>
      </c>
      <c r="D1781" s="99" t="s">
        <v>549</v>
      </c>
      <c r="E1781" s="7"/>
      <c r="F1781" s="166"/>
      <c r="G1781" s="22"/>
    </row>
    <row r="1782" spans="1:7" ht="20.25" customHeight="1">
      <c r="A1782" s="10">
        <v>31680</v>
      </c>
      <c r="B1782" s="10">
        <v>35680</v>
      </c>
      <c r="C1782" s="10">
        <f t="shared" si="27"/>
        <v>31680</v>
      </c>
      <c r="D1782" s="99" t="s">
        <v>549</v>
      </c>
      <c r="E1782" s="7"/>
      <c r="F1782" s="166"/>
      <c r="G1782" s="22"/>
    </row>
    <row r="1783" spans="1:7" ht="20.25" customHeight="1">
      <c r="A1783" s="10">
        <v>31681</v>
      </c>
      <c r="B1783" s="10">
        <v>35681</v>
      </c>
      <c r="C1783" s="10">
        <f t="shared" si="27"/>
        <v>31681</v>
      </c>
      <c r="D1783" s="99" t="s">
        <v>549</v>
      </c>
      <c r="E1783" s="7"/>
      <c r="F1783" s="166"/>
      <c r="G1783" s="22"/>
    </row>
    <row r="1784" spans="1:7" ht="20.25" customHeight="1">
      <c r="A1784" s="10">
        <v>31682</v>
      </c>
      <c r="B1784" s="10">
        <v>35682</v>
      </c>
      <c r="C1784" s="10">
        <f t="shared" si="27"/>
        <v>31682</v>
      </c>
      <c r="D1784" s="99" t="s">
        <v>549</v>
      </c>
      <c r="E1784" s="7"/>
      <c r="F1784" s="166"/>
      <c r="G1784" s="22"/>
    </row>
    <row r="1785" spans="1:7" ht="20.25" customHeight="1">
      <c r="A1785" s="10">
        <v>31683</v>
      </c>
      <c r="B1785" s="10">
        <v>35683</v>
      </c>
      <c r="C1785" s="10">
        <f t="shared" si="27"/>
        <v>31683</v>
      </c>
      <c r="D1785" s="99" t="s">
        <v>549</v>
      </c>
      <c r="E1785" s="7"/>
      <c r="F1785" s="166"/>
      <c r="G1785" s="22"/>
    </row>
    <row r="1786" spans="1:7" ht="20.25" customHeight="1">
      <c r="A1786" s="10">
        <v>31684</v>
      </c>
      <c r="B1786" s="10">
        <v>35684</v>
      </c>
      <c r="C1786" s="10">
        <f t="shared" si="27"/>
        <v>31684</v>
      </c>
      <c r="D1786" s="99" t="s">
        <v>549</v>
      </c>
      <c r="E1786" s="7"/>
      <c r="F1786" s="166"/>
      <c r="G1786" s="22"/>
    </row>
    <row r="1787" spans="1:7" ht="20.25" customHeight="1">
      <c r="A1787" s="10">
        <v>31685</v>
      </c>
      <c r="B1787" s="10">
        <v>35685</v>
      </c>
      <c r="C1787" s="10">
        <f t="shared" si="27"/>
        <v>31685</v>
      </c>
      <c r="D1787" s="99" t="s">
        <v>549</v>
      </c>
      <c r="E1787" s="7"/>
      <c r="F1787" s="166"/>
      <c r="G1787" s="22"/>
    </row>
    <row r="1788" spans="1:7" ht="20.25" customHeight="1">
      <c r="A1788" s="10">
        <v>31686</v>
      </c>
      <c r="B1788" s="10">
        <v>35686</v>
      </c>
      <c r="C1788" s="10">
        <f t="shared" si="27"/>
        <v>31686</v>
      </c>
      <c r="D1788" s="99" t="s">
        <v>549</v>
      </c>
      <c r="E1788" s="7"/>
      <c r="F1788" s="166"/>
      <c r="G1788" s="22"/>
    </row>
    <row r="1789" spans="1:7" ht="20.25" customHeight="1">
      <c r="A1789" s="10">
        <v>31687</v>
      </c>
      <c r="B1789" s="10">
        <v>35687</v>
      </c>
      <c r="C1789" s="10">
        <f t="shared" si="27"/>
        <v>31687</v>
      </c>
      <c r="D1789" s="99" t="s">
        <v>549</v>
      </c>
      <c r="E1789" s="7"/>
      <c r="F1789" s="166"/>
      <c r="G1789" s="22"/>
    </row>
    <row r="1790" spans="1:7" ht="20.25" customHeight="1">
      <c r="A1790" s="10">
        <v>31688</v>
      </c>
      <c r="B1790" s="10">
        <v>35688</v>
      </c>
      <c r="C1790" s="10">
        <f t="shared" si="27"/>
        <v>31688</v>
      </c>
      <c r="D1790" s="99" t="s">
        <v>549</v>
      </c>
      <c r="E1790" s="7"/>
      <c r="F1790" s="166"/>
      <c r="G1790" s="22"/>
    </row>
    <row r="1791" spans="1:7" ht="20.25" customHeight="1">
      <c r="A1791" s="10">
        <v>31689</v>
      </c>
      <c r="B1791" s="10">
        <v>35689</v>
      </c>
      <c r="C1791" s="10">
        <f t="shared" si="27"/>
        <v>31689</v>
      </c>
      <c r="D1791" s="99" t="s">
        <v>549</v>
      </c>
      <c r="E1791" s="7"/>
      <c r="F1791" s="166"/>
      <c r="G1791" s="22"/>
    </row>
    <row r="1792" spans="1:7" ht="20.25" customHeight="1">
      <c r="A1792" s="10">
        <v>31690</v>
      </c>
      <c r="B1792" s="10">
        <v>35690</v>
      </c>
      <c r="C1792" s="10">
        <f t="shared" si="27"/>
        <v>31690</v>
      </c>
      <c r="D1792" s="99" t="s">
        <v>549</v>
      </c>
      <c r="E1792" s="7"/>
      <c r="F1792" s="166"/>
      <c r="G1792" s="22"/>
    </row>
    <row r="1793" spans="1:7" ht="20.25" customHeight="1">
      <c r="A1793" s="10">
        <v>31691</v>
      </c>
      <c r="B1793" s="10">
        <v>35691</v>
      </c>
      <c r="C1793" s="10">
        <f t="shared" si="27"/>
        <v>31691</v>
      </c>
      <c r="D1793" s="99" t="s">
        <v>549</v>
      </c>
      <c r="E1793" s="7"/>
      <c r="F1793" s="166"/>
      <c r="G1793" s="22"/>
    </row>
    <row r="1794" spans="1:7" ht="20.25" customHeight="1">
      <c r="A1794" s="10">
        <v>31692</v>
      </c>
      <c r="B1794" s="10">
        <v>35692</v>
      </c>
      <c r="C1794" s="10">
        <f t="shared" si="27"/>
        <v>31692</v>
      </c>
      <c r="D1794" s="99" t="s">
        <v>549</v>
      </c>
      <c r="E1794" s="7"/>
      <c r="F1794" s="166"/>
      <c r="G1794" s="22"/>
    </row>
    <row r="1795" spans="1:7" ht="20.25" customHeight="1">
      <c r="A1795" s="10">
        <v>31693</v>
      </c>
      <c r="B1795" s="10">
        <v>35693</v>
      </c>
      <c r="C1795" s="10">
        <f t="shared" si="27"/>
        <v>31693</v>
      </c>
      <c r="D1795" s="99" t="s">
        <v>549</v>
      </c>
      <c r="E1795" s="7"/>
      <c r="F1795" s="166"/>
      <c r="G1795" s="22"/>
    </row>
    <row r="1796" spans="1:7" ht="20.25" customHeight="1">
      <c r="A1796" s="10">
        <v>31694</v>
      </c>
      <c r="B1796" s="10">
        <v>35694</v>
      </c>
      <c r="C1796" s="10">
        <f t="shared" si="27"/>
        <v>31694</v>
      </c>
      <c r="D1796" s="99" t="s">
        <v>549</v>
      </c>
      <c r="E1796" s="7"/>
      <c r="F1796" s="166"/>
      <c r="G1796" s="22"/>
    </row>
    <row r="1797" spans="1:7" ht="20.25" customHeight="1">
      <c r="A1797" s="10">
        <v>31695</v>
      </c>
      <c r="B1797" s="10">
        <v>35695</v>
      </c>
      <c r="C1797" s="10">
        <f t="shared" ref="C1797:C1860" si="28">IF(ISERROR(FIND("B_Epic",E1797)),A1797,A1797+10000)</f>
        <v>31695</v>
      </c>
      <c r="D1797" s="99" t="s">
        <v>549</v>
      </c>
      <c r="E1797" s="7"/>
      <c r="F1797" s="166"/>
      <c r="G1797" s="22"/>
    </row>
    <row r="1798" spans="1:7" ht="20.25" customHeight="1">
      <c r="A1798" s="10">
        <v>31696</v>
      </c>
      <c r="B1798" s="10">
        <v>35696</v>
      </c>
      <c r="C1798" s="10">
        <f t="shared" si="28"/>
        <v>31696</v>
      </c>
      <c r="D1798" s="99" t="s">
        <v>549</v>
      </c>
      <c r="E1798" s="7"/>
      <c r="F1798" s="166"/>
      <c r="G1798" s="22"/>
    </row>
    <row r="1799" spans="1:7" ht="20.25" customHeight="1">
      <c r="A1799" s="10">
        <v>31697</v>
      </c>
      <c r="B1799" s="10">
        <v>35697</v>
      </c>
      <c r="C1799" s="10">
        <f t="shared" si="28"/>
        <v>31697</v>
      </c>
      <c r="D1799" s="99" t="s">
        <v>549</v>
      </c>
      <c r="E1799" s="7"/>
      <c r="F1799" s="166"/>
      <c r="G1799" s="22"/>
    </row>
    <row r="1800" spans="1:7" ht="20.25" customHeight="1">
      <c r="A1800" s="10">
        <v>31698</v>
      </c>
      <c r="B1800" s="10">
        <v>35698</v>
      </c>
      <c r="C1800" s="10">
        <f t="shared" si="28"/>
        <v>31698</v>
      </c>
      <c r="D1800" s="99" t="s">
        <v>549</v>
      </c>
      <c r="E1800" s="7"/>
      <c r="F1800" s="166"/>
      <c r="G1800" s="22"/>
    </row>
    <row r="1801" spans="1:7" ht="20.25" customHeight="1">
      <c r="A1801" s="10">
        <v>31699</v>
      </c>
      <c r="B1801" s="10">
        <v>35699</v>
      </c>
      <c r="C1801" s="10">
        <f t="shared" si="28"/>
        <v>31699</v>
      </c>
      <c r="D1801" s="99" t="s">
        <v>549</v>
      </c>
      <c r="E1801" s="7"/>
      <c r="F1801" s="166"/>
      <c r="G1801" s="22"/>
    </row>
    <row r="1802" spans="1:7" ht="20.25" customHeight="1">
      <c r="A1802" s="10">
        <v>31700</v>
      </c>
      <c r="B1802" s="10">
        <v>35700</v>
      </c>
      <c r="C1802" s="10">
        <f t="shared" si="28"/>
        <v>31700</v>
      </c>
      <c r="D1802" s="99" t="s">
        <v>549</v>
      </c>
      <c r="E1802" s="7"/>
      <c r="F1802" s="166"/>
      <c r="G1802" s="22"/>
    </row>
    <row r="1803" spans="1:7" ht="20.25" customHeight="1">
      <c r="A1803" s="10">
        <v>31701</v>
      </c>
      <c r="B1803" s="10">
        <v>35701</v>
      </c>
      <c r="C1803" s="10">
        <f t="shared" si="28"/>
        <v>31701</v>
      </c>
      <c r="D1803" s="99" t="s">
        <v>549</v>
      </c>
      <c r="E1803" s="7"/>
      <c r="F1803" s="166"/>
      <c r="G1803" s="22"/>
    </row>
    <row r="1804" spans="1:7" ht="20.25" customHeight="1">
      <c r="A1804" s="10">
        <v>31702</v>
      </c>
      <c r="B1804" s="10">
        <v>35702</v>
      </c>
      <c r="C1804" s="10">
        <f t="shared" si="28"/>
        <v>31702</v>
      </c>
      <c r="D1804" s="99" t="s">
        <v>549</v>
      </c>
      <c r="E1804" s="7"/>
      <c r="F1804" s="166"/>
      <c r="G1804" s="22"/>
    </row>
    <row r="1805" spans="1:7" ht="20.25" customHeight="1">
      <c r="A1805" s="10">
        <v>31703</v>
      </c>
      <c r="B1805" s="10">
        <v>35703</v>
      </c>
      <c r="C1805" s="10">
        <f t="shared" si="28"/>
        <v>31703</v>
      </c>
      <c r="D1805" s="99" t="s">
        <v>549</v>
      </c>
      <c r="E1805" s="7"/>
      <c r="F1805" s="166"/>
      <c r="G1805" s="22"/>
    </row>
    <row r="1806" spans="1:7" ht="20.25" customHeight="1">
      <c r="A1806" s="10">
        <v>31704</v>
      </c>
      <c r="B1806" s="10">
        <v>35704</v>
      </c>
      <c r="C1806" s="10">
        <f t="shared" si="28"/>
        <v>31704</v>
      </c>
      <c r="D1806" s="99" t="s">
        <v>549</v>
      </c>
      <c r="E1806" s="7"/>
      <c r="F1806" s="166"/>
      <c r="G1806" s="22"/>
    </row>
    <row r="1807" spans="1:7" ht="20.25" customHeight="1">
      <c r="A1807" s="10">
        <v>31705</v>
      </c>
      <c r="B1807" s="10">
        <v>35705</v>
      </c>
      <c r="C1807" s="10">
        <f t="shared" si="28"/>
        <v>31705</v>
      </c>
      <c r="D1807" s="99" t="s">
        <v>549</v>
      </c>
      <c r="E1807" s="7"/>
      <c r="F1807" s="166"/>
      <c r="G1807" s="22"/>
    </row>
    <row r="1808" spans="1:7" ht="20.25" customHeight="1">
      <c r="A1808" s="10">
        <v>31706</v>
      </c>
      <c r="B1808" s="10">
        <v>35706</v>
      </c>
      <c r="C1808" s="10">
        <f t="shared" si="28"/>
        <v>31706</v>
      </c>
      <c r="D1808" s="99" t="s">
        <v>549</v>
      </c>
      <c r="E1808" s="7"/>
      <c r="F1808" s="166"/>
      <c r="G1808" s="22"/>
    </row>
    <row r="1809" spans="1:7" ht="20.25" customHeight="1">
      <c r="A1809" s="10">
        <v>31707</v>
      </c>
      <c r="B1809" s="10">
        <v>35707</v>
      </c>
      <c r="C1809" s="10">
        <f t="shared" si="28"/>
        <v>31707</v>
      </c>
      <c r="D1809" s="99" t="s">
        <v>549</v>
      </c>
      <c r="E1809" s="7"/>
      <c r="F1809" s="166"/>
      <c r="G1809" s="22"/>
    </row>
    <row r="1810" spans="1:7" ht="20.25" customHeight="1">
      <c r="A1810" s="10">
        <v>31708</v>
      </c>
      <c r="B1810" s="10">
        <v>35708</v>
      </c>
      <c r="C1810" s="10">
        <f t="shared" si="28"/>
        <v>31708</v>
      </c>
      <c r="D1810" s="99" t="s">
        <v>549</v>
      </c>
      <c r="E1810" s="7"/>
      <c r="F1810" s="166"/>
      <c r="G1810" s="22"/>
    </row>
    <row r="1811" spans="1:7" ht="20.25" customHeight="1">
      <c r="A1811" s="10">
        <v>31709</v>
      </c>
      <c r="B1811" s="10">
        <v>35709</v>
      </c>
      <c r="C1811" s="10">
        <f t="shared" si="28"/>
        <v>31709</v>
      </c>
      <c r="D1811" s="99" t="s">
        <v>549</v>
      </c>
      <c r="E1811" s="7"/>
      <c r="F1811" s="166"/>
      <c r="G1811" s="22"/>
    </row>
    <row r="1812" spans="1:7" ht="20.25" customHeight="1">
      <c r="A1812" s="10">
        <v>31710</v>
      </c>
      <c r="B1812" s="10">
        <v>35710</v>
      </c>
      <c r="C1812" s="10">
        <f t="shared" si="28"/>
        <v>31710</v>
      </c>
      <c r="D1812" s="99" t="s">
        <v>549</v>
      </c>
      <c r="E1812" s="7"/>
      <c r="F1812" s="166"/>
      <c r="G1812" s="22"/>
    </row>
    <row r="1813" spans="1:7" ht="20.25" customHeight="1">
      <c r="A1813" s="10">
        <v>31711</v>
      </c>
      <c r="B1813" s="10">
        <v>35711</v>
      </c>
      <c r="C1813" s="10">
        <f t="shared" si="28"/>
        <v>31711</v>
      </c>
      <c r="D1813" s="99" t="s">
        <v>549</v>
      </c>
      <c r="E1813" s="7"/>
      <c r="F1813" s="166"/>
      <c r="G1813" s="22"/>
    </row>
    <row r="1814" spans="1:7" ht="20.25" customHeight="1">
      <c r="A1814" s="10">
        <v>31712</v>
      </c>
      <c r="B1814" s="10">
        <v>35712</v>
      </c>
      <c r="C1814" s="10">
        <f t="shared" si="28"/>
        <v>31712</v>
      </c>
      <c r="D1814" s="99" t="s">
        <v>549</v>
      </c>
      <c r="E1814" s="7"/>
      <c r="F1814" s="166"/>
      <c r="G1814" s="22"/>
    </row>
    <row r="1815" spans="1:7" ht="20.25" customHeight="1">
      <c r="A1815" s="10">
        <v>31713</v>
      </c>
      <c r="B1815" s="10">
        <v>35713</v>
      </c>
      <c r="C1815" s="10">
        <f t="shared" si="28"/>
        <v>31713</v>
      </c>
      <c r="D1815" s="99" t="s">
        <v>549</v>
      </c>
      <c r="E1815" s="7"/>
      <c r="F1815" s="166"/>
      <c r="G1815" s="22"/>
    </row>
    <row r="1816" spans="1:7" ht="20.25" customHeight="1">
      <c r="A1816" s="10">
        <v>31714</v>
      </c>
      <c r="B1816" s="10">
        <v>35714</v>
      </c>
      <c r="C1816" s="10">
        <f t="shared" si="28"/>
        <v>31714</v>
      </c>
      <c r="D1816" s="99" t="s">
        <v>549</v>
      </c>
      <c r="E1816" s="7"/>
      <c r="F1816" s="166"/>
      <c r="G1816" s="22"/>
    </row>
    <row r="1817" spans="1:7" ht="20.25" customHeight="1">
      <c r="A1817" s="10">
        <v>31715</v>
      </c>
      <c r="B1817" s="10">
        <v>35715</v>
      </c>
      <c r="C1817" s="10">
        <f t="shared" si="28"/>
        <v>31715</v>
      </c>
      <c r="D1817" s="99" t="s">
        <v>549</v>
      </c>
      <c r="E1817" s="7"/>
      <c r="F1817" s="166"/>
      <c r="G1817" s="22"/>
    </row>
    <row r="1818" spans="1:7" ht="20.25" customHeight="1">
      <c r="A1818" s="10">
        <v>31716</v>
      </c>
      <c r="B1818" s="10">
        <v>35716</v>
      </c>
      <c r="C1818" s="10">
        <f t="shared" si="28"/>
        <v>31716</v>
      </c>
      <c r="D1818" s="99" t="s">
        <v>549</v>
      </c>
      <c r="E1818" s="7"/>
      <c r="F1818" s="166"/>
      <c r="G1818" s="22"/>
    </row>
    <row r="1819" spans="1:7" ht="20.25" customHeight="1">
      <c r="A1819" s="10">
        <v>31717</v>
      </c>
      <c r="B1819" s="10">
        <v>35717</v>
      </c>
      <c r="C1819" s="10">
        <f t="shared" si="28"/>
        <v>31717</v>
      </c>
      <c r="D1819" s="99" t="s">
        <v>549</v>
      </c>
      <c r="E1819" s="7"/>
      <c r="F1819" s="166"/>
      <c r="G1819" s="22"/>
    </row>
    <row r="1820" spans="1:7" ht="20.25" customHeight="1">
      <c r="A1820" s="10">
        <v>31718</v>
      </c>
      <c r="B1820" s="10">
        <v>35718</v>
      </c>
      <c r="C1820" s="10">
        <f t="shared" si="28"/>
        <v>31718</v>
      </c>
      <c r="D1820" s="99" t="s">
        <v>549</v>
      </c>
      <c r="E1820" s="7"/>
      <c r="F1820" s="166"/>
      <c r="G1820" s="22"/>
    </row>
    <row r="1821" spans="1:7" ht="20.25" customHeight="1">
      <c r="A1821" s="10">
        <v>31719</v>
      </c>
      <c r="B1821" s="10">
        <v>35719</v>
      </c>
      <c r="C1821" s="10">
        <f t="shared" si="28"/>
        <v>31719</v>
      </c>
      <c r="D1821" s="99" t="s">
        <v>549</v>
      </c>
      <c r="E1821" s="7"/>
      <c r="F1821" s="166"/>
      <c r="G1821" s="22"/>
    </row>
    <row r="1822" spans="1:7" ht="20.25" customHeight="1">
      <c r="A1822" s="10">
        <v>31720</v>
      </c>
      <c r="B1822" s="10">
        <v>35720</v>
      </c>
      <c r="C1822" s="10">
        <f t="shared" si="28"/>
        <v>31720</v>
      </c>
      <c r="D1822" s="99" t="s">
        <v>549</v>
      </c>
      <c r="E1822" s="7"/>
      <c r="F1822" s="166"/>
      <c r="G1822" s="22"/>
    </row>
    <row r="1823" spans="1:7" ht="20.25" customHeight="1">
      <c r="A1823" s="10">
        <v>31721</v>
      </c>
      <c r="B1823" s="10">
        <v>35721</v>
      </c>
      <c r="C1823" s="10">
        <f t="shared" si="28"/>
        <v>31721</v>
      </c>
      <c r="D1823" s="99" t="s">
        <v>549</v>
      </c>
      <c r="E1823" s="7"/>
      <c r="F1823" s="166"/>
      <c r="G1823" s="22"/>
    </row>
    <row r="1824" spans="1:7" ht="20.25" customHeight="1">
      <c r="A1824" s="10">
        <v>31722</v>
      </c>
      <c r="B1824" s="10">
        <v>35722</v>
      </c>
      <c r="C1824" s="10">
        <f t="shared" si="28"/>
        <v>31722</v>
      </c>
      <c r="D1824" s="99" t="s">
        <v>549</v>
      </c>
      <c r="E1824" s="7"/>
      <c r="F1824" s="166"/>
      <c r="G1824" s="22"/>
    </row>
    <row r="1825" spans="1:7" ht="20.25" customHeight="1">
      <c r="A1825" s="10">
        <v>31723</v>
      </c>
      <c r="B1825" s="10">
        <v>35723</v>
      </c>
      <c r="C1825" s="10">
        <f t="shared" si="28"/>
        <v>31723</v>
      </c>
      <c r="D1825" s="99" t="s">
        <v>549</v>
      </c>
      <c r="E1825" s="7"/>
      <c r="F1825" s="166"/>
      <c r="G1825" s="22"/>
    </row>
    <row r="1826" spans="1:7" ht="20.25" customHeight="1">
      <c r="A1826" s="10">
        <v>31724</v>
      </c>
      <c r="B1826" s="10">
        <v>35724</v>
      </c>
      <c r="C1826" s="10">
        <f t="shared" si="28"/>
        <v>31724</v>
      </c>
      <c r="D1826" s="99" t="s">
        <v>549</v>
      </c>
      <c r="E1826" s="7"/>
      <c r="F1826" s="166"/>
      <c r="G1826" s="22"/>
    </row>
    <row r="1827" spans="1:7" ht="20.25" customHeight="1">
      <c r="A1827" s="10">
        <v>31725</v>
      </c>
      <c r="B1827" s="10">
        <v>35725</v>
      </c>
      <c r="C1827" s="10">
        <f t="shared" si="28"/>
        <v>31725</v>
      </c>
      <c r="D1827" s="99" t="s">
        <v>549</v>
      </c>
      <c r="E1827" s="7"/>
      <c r="F1827" s="166"/>
      <c r="G1827" s="22"/>
    </row>
    <row r="1828" spans="1:7" ht="20.25" customHeight="1">
      <c r="A1828" s="10">
        <v>31726</v>
      </c>
      <c r="B1828" s="10">
        <v>35726</v>
      </c>
      <c r="C1828" s="10">
        <f t="shared" si="28"/>
        <v>31726</v>
      </c>
      <c r="D1828" s="99" t="s">
        <v>549</v>
      </c>
      <c r="E1828" s="7"/>
      <c r="F1828" s="166"/>
      <c r="G1828" s="22"/>
    </row>
    <row r="1829" spans="1:7" ht="20.25" customHeight="1">
      <c r="A1829" s="10">
        <v>31727</v>
      </c>
      <c r="B1829" s="10">
        <v>35727</v>
      </c>
      <c r="C1829" s="10">
        <f t="shared" si="28"/>
        <v>31727</v>
      </c>
      <c r="D1829" s="99" t="s">
        <v>549</v>
      </c>
      <c r="E1829" s="7"/>
      <c r="F1829" s="166"/>
      <c r="G1829" s="22"/>
    </row>
    <row r="1830" spans="1:7" ht="20.25" customHeight="1">
      <c r="A1830" s="10">
        <v>31728</v>
      </c>
      <c r="B1830" s="10">
        <v>35728</v>
      </c>
      <c r="C1830" s="10">
        <f t="shared" si="28"/>
        <v>31728</v>
      </c>
      <c r="D1830" s="99" t="s">
        <v>549</v>
      </c>
      <c r="E1830" s="7"/>
      <c r="F1830" s="166"/>
      <c r="G1830" s="22"/>
    </row>
    <row r="1831" spans="1:7" ht="20.25" customHeight="1">
      <c r="A1831" s="10">
        <v>31729</v>
      </c>
      <c r="B1831" s="10">
        <v>35729</v>
      </c>
      <c r="C1831" s="10">
        <f t="shared" si="28"/>
        <v>31729</v>
      </c>
      <c r="D1831" s="99" t="s">
        <v>549</v>
      </c>
      <c r="E1831" s="7"/>
      <c r="F1831" s="166"/>
      <c r="G1831" s="22"/>
    </row>
    <row r="1832" spans="1:7" ht="20.25" customHeight="1">
      <c r="A1832" s="10">
        <v>31730</v>
      </c>
      <c r="B1832" s="10">
        <v>35730</v>
      </c>
      <c r="C1832" s="10">
        <f t="shared" si="28"/>
        <v>31730</v>
      </c>
      <c r="D1832" s="99" t="s">
        <v>549</v>
      </c>
      <c r="E1832" s="7"/>
      <c r="F1832" s="166"/>
      <c r="G1832" s="22"/>
    </row>
    <row r="1833" spans="1:7" ht="20.25" customHeight="1">
      <c r="A1833" s="10">
        <v>31731</v>
      </c>
      <c r="B1833" s="10">
        <v>35731</v>
      </c>
      <c r="C1833" s="10">
        <f t="shared" si="28"/>
        <v>31731</v>
      </c>
      <c r="D1833" s="99" t="s">
        <v>549</v>
      </c>
      <c r="E1833" s="7"/>
      <c r="F1833" s="166"/>
      <c r="G1833" s="22"/>
    </row>
    <row r="1834" spans="1:7" ht="20.25" customHeight="1">
      <c r="A1834" s="10">
        <v>31732</v>
      </c>
      <c r="B1834" s="10">
        <v>35732</v>
      </c>
      <c r="C1834" s="10">
        <f t="shared" si="28"/>
        <v>31732</v>
      </c>
      <c r="D1834" s="99" t="s">
        <v>549</v>
      </c>
      <c r="E1834" s="7"/>
      <c r="F1834" s="166"/>
      <c r="G1834" s="22"/>
    </row>
    <row r="1835" spans="1:7" ht="20.25" customHeight="1">
      <c r="A1835" s="10">
        <v>31733</v>
      </c>
      <c r="B1835" s="10">
        <v>35733</v>
      </c>
      <c r="C1835" s="10">
        <f t="shared" si="28"/>
        <v>31733</v>
      </c>
      <c r="D1835" s="99" t="s">
        <v>549</v>
      </c>
      <c r="E1835" s="7"/>
      <c r="F1835" s="166"/>
      <c r="G1835" s="22"/>
    </row>
    <row r="1836" spans="1:7" ht="20.25" customHeight="1">
      <c r="A1836" s="10">
        <v>31734</v>
      </c>
      <c r="B1836" s="10">
        <v>35734</v>
      </c>
      <c r="C1836" s="10">
        <f t="shared" si="28"/>
        <v>31734</v>
      </c>
      <c r="D1836" s="99" t="s">
        <v>549</v>
      </c>
      <c r="E1836" s="7"/>
      <c r="F1836" s="166"/>
      <c r="G1836" s="22"/>
    </row>
    <row r="1837" spans="1:7" ht="20.25" customHeight="1">
      <c r="A1837" s="10">
        <v>31735</v>
      </c>
      <c r="B1837" s="10">
        <v>35735</v>
      </c>
      <c r="C1837" s="10">
        <f t="shared" si="28"/>
        <v>31735</v>
      </c>
      <c r="D1837" s="99" t="s">
        <v>549</v>
      </c>
      <c r="E1837" s="7"/>
      <c r="F1837" s="166"/>
      <c r="G1837" s="22"/>
    </row>
    <row r="1838" spans="1:7" ht="20.25" customHeight="1">
      <c r="A1838" s="10">
        <v>31736</v>
      </c>
      <c r="B1838" s="10">
        <v>35736</v>
      </c>
      <c r="C1838" s="10">
        <f t="shared" si="28"/>
        <v>31736</v>
      </c>
      <c r="D1838" s="99" t="s">
        <v>549</v>
      </c>
      <c r="E1838" s="7"/>
      <c r="F1838" s="166"/>
      <c r="G1838" s="22"/>
    </row>
    <row r="1839" spans="1:7" ht="20.25" customHeight="1">
      <c r="A1839" s="10">
        <v>31737</v>
      </c>
      <c r="B1839" s="10">
        <v>35737</v>
      </c>
      <c r="C1839" s="10">
        <f t="shared" si="28"/>
        <v>31737</v>
      </c>
      <c r="D1839" s="99" t="s">
        <v>549</v>
      </c>
      <c r="E1839" s="7"/>
      <c r="F1839" s="166"/>
      <c r="G1839" s="22"/>
    </row>
    <row r="1840" spans="1:7" ht="20.25" customHeight="1">
      <c r="A1840" s="10">
        <v>31738</v>
      </c>
      <c r="B1840" s="10">
        <v>35738</v>
      </c>
      <c r="C1840" s="10">
        <f t="shared" si="28"/>
        <v>31738</v>
      </c>
      <c r="D1840" s="99" t="s">
        <v>549</v>
      </c>
      <c r="E1840" s="7"/>
      <c r="F1840" s="166"/>
      <c r="G1840" s="22"/>
    </row>
    <row r="1841" spans="1:7" ht="20.25" customHeight="1">
      <c r="A1841" s="10">
        <v>31739</v>
      </c>
      <c r="B1841" s="10">
        <v>35739</v>
      </c>
      <c r="C1841" s="10">
        <f t="shared" si="28"/>
        <v>31739</v>
      </c>
      <c r="D1841" s="99" t="s">
        <v>549</v>
      </c>
      <c r="E1841" s="7"/>
      <c r="F1841" s="166"/>
      <c r="G1841" s="22"/>
    </row>
    <row r="1842" spans="1:7" ht="20.25" customHeight="1">
      <c r="A1842" s="10">
        <v>31740</v>
      </c>
      <c r="B1842" s="10">
        <v>35740</v>
      </c>
      <c r="C1842" s="10">
        <f t="shared" si="28"/>
        <v>31740</v>
      </c>
      <c r="D1842" s="99" t="s">
        <v>549</v>
      </c>
      <c r="E1842" s="7"/>
      <c r="F1842" s="166"/>
      <c r="G1842" s="22"/>
    </row>
    <row r="1843" spans="1:7" ht="20.25" customHeight="1">
      <c r="A1843" s="10">
        <v>31741</v>
      </c>
      <c r="B1843" s="10">
        <v>35741</v>
      </c>
      <c r="C1843" s="10">
        <f t="shared" si="28"/>
        <v>31741</v>
      </c>
      <c r="D1843" s="99" t="s">
        <v>549</v>
      </c>
      <c r="E1843" s="7"/>
      <c r="F1843" s="166"/>
      <c r="G1843" s="22"/>
    </row>
    <row r="1844" spans="1:7" ht="20.25" customHeight="1">
      <c r="A1844" s="10">
        <v>31742</v>
      </c>
      <c r="B1844" s="10">
        <v>35742</v>
      </c>
      <c r="C1844" s="10">
        <f t="shared" si="28"/>
        <v>31742</v>
      </c>
      <c r="D1844" s="99" t="s">
        <v>549</v>
      </c>
      <c r="E1844" s="7"/>
      <c r="F1844" s="166"/>
      <c r="G1844" s="22"/>
    </row>
    <row r="1845" spans="1:7" ht="20.25" customHeight="1">
      <c r="A1845" s="10">
        <v>31743</v>
      </c>
      <c r="B1845" s="10">
        <v>35743</v>
      </c>
      <c r="C1845" s="10">
        <f t="shared" si="28"/>
        <v>31743</v>
      </c>
      <c r="D1845" s="99" t="s">
        <v>549</v>
      </c>
      <c r="E1845" s="7"/>
      <c r="F1845" s="166"/>
      <c r="G1845" s="22"/>
    </row>
    <row r="1846" spans="1:7" ht="20.25" customHeight="1">
      <c r="A1846" s="10">
        <v>31744</v>
      </c>
      <c r="B1846" s="10">
        <v>35744</v>
      </c>
      <c r="C1846" s="10">
        <f t="shared" si="28"/>
        <v>31744</v>
      </c>
      <c r="D1846" s="99" t="s">
        <v>549</v>
      </c>
      <c r="E1846" s="7"/>
      <c r="F1846" s="166"/>
      <c r="G1846" s="22"/>
    </row>
    <row r="1847" spans="1:7" ht="20.25" customHeight="1">
      <c r="A1847" s="10">
        <v>31745</v>
      </c>
      <c r="B1847" s="10">
        <v>35745</v>
      </c>
      <c r="C1847" s="10">
        <f t="shared" si="28"/>
        <v>31745</v>
      </c>
      <c r="D1847" s="99" t="s">
        <v>549</v>
      </c>
      <c r="E1847" s="7"/>
      <c r="F1847" s="166"/>
      <c r="G1847" s="22"/>
    </row>
    <row r="1848" spans="1:7" ht="20.25" customHeight="1">
      <c r="A1848" s="10">
        <v>31746</v>
      </c>
      <c r="B1848" s="10">
        <v>35746</v>
      </c>
      <c r="C1848" s="10">
        <f t="shared" si="28"/>
        <v>31746</v>
      </c>
      <c r="D1848" s="99" t="s">
        <v>549</v>
      </c>
      <c r="E1848" s="7"/>
      <c r="F1848" s="166"/>
      <c r="G1848" s="22"/>
    </row>
    <row r="1849" spans="1:7" ht="20.25" customHeight="1">
      <c r="A1849" s="10">
        <v>31747</v>
      </c>
      <c r="B1849" s="10">
        <v>35747</v>
      </c>
      <c r="C1849" s="10">
        <f t="shared" si="28"/>
        <v>31747</v>
      </c>
      <c r="D1849" s="99" t="s">
        <v>549</v>
      </c>
      <c r="E1849" s="7"/>
      <c r="F1849" s="166"/>
      <c r="G1849" s="22"/>
    </row>
    <row r="1850" spans="1:7" ht="20.25" customHeight="1">
      <c r="A1850" s="10">
        <v>31748</v>
      </c>
      <c r="B1850" s="10">
        <v>35748</v>
      </c>
      <c r="C1850" s="10">
        <f t="shared" si="28"/>
        <v>31748</v>
      </c>
      <c r="D1850" s="99" t="s">
        <v>549</v>
      </c>
      <c r="E1850" s="7"/>
      <c r="F1850" s="166"/>
      <c r="G1850" s="22"/>
    </row>
    <row r="1851" spans="1:7" ht="20.25" customHeight="1">
      <c r="A1851" s="10">
        <v>31749</v>
      </c>
      <c r="B1851" s="10">
        <v>35749</v>
      </c>
      <c r="C1851" s="10">
        <f t="shared" si="28"/>
        <v>31749</v>
      </c>
      <c r="D1851" s="99" t="s">
        <v>549</v>
      </c>
      <c r="E1851" s="7"/>
      <c r="F1851" s="166"/>
      <c r="G1851" s="22"/>
    </row>
    <row r="1852" spans="1:7" ht="20.25" customHeight="1">
      <c r="A1852" s="10">
        <v>31750</v>
      </c>
      <c r="B1852" s="10">
        <v>35750</v>
      </c>
      <c r="C1852" s="10">
        <f t="shared" si="28"/>
        <v>31750</v>
      </c>
      <c r="D1852" s="99" t="s">
        <v>549</v>
      </c>
      <c r="E1852" s="7"/>
      <c r="F1852" s="166"/>
      <c r="G1852" s="22"/>
    </row>
    <row r="1853" spans="1:7" ht="20.25" customHeight="1">
      <c r="A1853" s="10">
        <v>31751</v>
      </c>
      <c r="B1853" s="10">
        <v>35751</v>
      </c>
      <c r="C1853" s="10">
        <f t="shared" si="28"/>
        <v>31751</v>
      </c>
      <c r="D1853" s="99" t="s">
        <v>549</v>
      </c>
      <c r="E1853" s="7"/>
      <c r="F1853" s="166"/>
      <c r="G1853" s="22"/>
    </row>
    <row r="1854" spans="1:7" ht="20.25" customHeight="1">
      <c r="A1854" s="10">
        <v>31752</v>
      </c>
      <c r="B1854" s="10">
        <v>35752</v>
      </c>
      <c r="C1854" s="10">
        <f t="shared" si="28"/>
        <v>31752</v>
      </c>
      <c r="D1854" s="99" t="s">
        <v>549</v>
      </c>
      <c r="E1854" s="7"/>
      <c r="F1854" s="166"/>
      <c r="G1854" s="22"/>
    </row>
    <row r="1855" spans="1:7" ht="20.25" customHeight="1">
      <c r="A1855" s="10">
        <v>31753</v>
      </c>
      <c r="B1855" s="10">
        <v>35753</v>
      </c>
      <c r="C1855" s="10">
        <f t="shared" si="28"/>
        <v>31753</v>
      </c>
      <c r="D1855" s="99" t="s">
        <v>549</v>
      </c>
      <c r="E1855" s="7"/>
      <c r="F1855" s="166"/>
      <c r="G1855" s="22"/>
    </row>
    <row r="1856" spans="1:7" ht="20.25" customHeight="1">
      <c r="A1856" s="10">
        <v>31754</v>
      </c>
      <c r="B1856" s="10">
        <v>35754</v>
      </c>
      <c r="C1856" s="10">
        <f t="shared" si="28"/>
        <v>31754</v>
      </c>
      <c r="D1856" s="99" t="s">
        <v>549</v>
      </c>
      <c r="E1856" s="7"/>
      <c r="F1856" s="166"/>
      <c r="G1856" s="22"/>
    </row>
    <row r="1857" spans="1:7" ht="20.25" customHeight="1">
      <c r="A1857" s="10">
        <v>31755</v>
      </c>
      <c r="B1857" s="10">
        <v>35755</v>
      </c>
      <c r="C1857" s="10">
        <f t="shared" si="28"/>
        <v>31755</v>
      </c>
      <c r="D1857" s="99" t="s">
        <v>549</v>
      </c>
      <c r="E1857" s="7"/>
      <c r="F1857" s="166"/>
      <c r="G1857" s="22"/>
    </row>
    <row r="1858" spans="1:7" ht="20.25" customHeight="1">
      <c r="A1858" s="10">
        <v>31756</v>
      </c>
      <c r="B1858" s="10">
        <v>35756</v>
      </c>
      <c r="C1858" s="10">
        <f t="shared" si="28"/>
        <v>31756</v>
      </c>
      <c r="D1858" s="99" t="s">
        <v>549</v>
      </c>
      <c r="E1858" s="7"/>
      <c r="F1858" s="166"/>
      <c r="G1858" s="22"/>
    </row>
    <row r="1859" spans="1:7" ht="20.25" customHeight="1">
      <c r="A1859" s="10">
        <v>31757</v>
      </c>
      <c r="B1859" s="10">
        <v>35757</v>
      </c>
      <c r="C1859" s="10">
        <f t="shared" si="28"/>
        <v>31757</v>
      </c>
      <c r="D1859" s="99" t="s">
        <v>549</v>
      </c>
      <c r="E1859" s="7"/>
      <c r="F1859" s="166"/>
      <c r="G1859" s="22"/>
    </row>
    <row r="1860" spans="1:7" ht="20.25" customHeight="1">
      <c r="A1860" s="10">
        <v>31758</v>
      </c>
      <c r="B1860" s="10">
        <v>35758</v>
      </c>
      <c r="C1860" s="10">
        <f t="shared" si="28"/>
        <v>31758</v>
      </c>
      <c r="D1860" s="99" t="s">
        <v>549</v>
      </c>
      <c r="E1860" s="7"/>
      <c r="F1860" s="166"/>
      <c r="G1860" s="22"/>
    </row>
    <row r="1861" spans="1:7" ht="20.25" customHeight="1">
      <c r="A1861" s="10">
        <v>31759</v>
      </c>
      <c r="B1861" s="10">
        <v>35759</v>
      </c>
      <c r="C1861" s="10">
        <f t="shared" ref="C1861:C1924" si="29">IF(ISERROR(FIND("B_Epic",E1861)),A1861,A1861+10000)</f>
        <v>31759</v>
      </c>
      <c r="D1861" s="99" t="s">
        <v>549</v>
      </c>
      <c r="E1861" s="7"/>
      <c r="F1861" s="166"/>
      <c r="G1861" s="22"/>
    </row>
    <row r="1862" spans="1:7" ht="20.25" customHeight="1">
      <c r="A1862" s="10">
        <v>31760</v>
      </c>
      <c r="B1862" s="10">
        <v>35760</v>
      </c>
      <c r="C1862" s="10">
        <f t="shared" si="29"/>
        <v>31760</v>
      </c>
      <c r="D1862" s="99" t="s">
        <v>549</v>
      </c>
      <c r="E1862" s="7"/>
      <c r="F1862" s="166"/>
      <c r="G1862" s="22"/>
    </row>
    <row r="1863" spans="1:7" ht="20.25" customHeight="1">
      <c r="A1863" s="10">
        <v>31761</v>
      </c>
      <c r="B1863" s="10">
        <v>35761</v>
      </c>
      <c r="C1863" s="10">
        <f t="shared" si="29"/>
        <v>31761</v>
      </c>
      <c r="D1863" s="99" t="s">
        <v>549</v>
      </c>
      <c r="E1863" s="7"/>
      <c r="F1863" s="166"/>
      <c r="G1863" s="22"/>
    </row>
    <row r="1864" spans="1:7" ht="20.25" customHeight="1">
      <c r="A1864" s="10">
        <v>31762</v>
      </c>
      <c r="B1864" s="10">
        <v>35762</v>
      </c>
      <c r="C1864" s="10">
        <f t="shared" si="29"/>
        <v>31762</v>
      </c>
      <c r="D1864" s="99" t="s">
        <v>549</v>
      </c>
      <c r="E1864" s="7"/>
      <c r="F1864" s="166"/>
      <c r="G1864" s="22"/>
    </row>
    <row r="1865" spans="1:7" ht="20.25" customHeight="1">
      <c r="A1865" s="10">
        <v>31763</v>
      </c>
      <c r="B1865" s="10">
        <v>35763</v>
      </c>
      <c r="C1865" s="10">
        <f t="shared" si="29"/>
        <v>31763</v>
      </c>
      <c r="D1865" s="99" t="s">
        <v>549</v>
      </c>
      <c r="E1865" s="7"/>
      <c r="F1865" s="166"/>
      <c r="G1865" s="22"/>
    </row>
    <row r="1866" spans="1:7" ht="20.25" customHeight="1">
      <c r="A1866" s="10">
        <v>31764</v>
      </c>
      <c r="B1866" s="10">
        <v>35764</v>
      </c>
      <c r="C1866" s="10">
        <f t="shared" si="29"/>
        <v>31764</v>
      </c>
      <c r="D1866" s="99" t="s">
        <v>549</v>
      </c>
      <c r="E1866" s="7"/>
      <c r="F1866" s="166"/>
      <c r="G1866" s="22"/>
    </row>
    <row r="1867" spans="1:7" ht="20.25" customHeight="1">
      <c r="A1867" s="10">
        <v>31765</v>
      </c>
      <c r="B1867" s="10">
        <v>35765</v>
      </c>
      <c r="C1867" s="10">
        <f t="shared" si="29"/>
        <v>31765</v>
      </c>
      <c r="D1867" s="99" t="s">
        <v>549</v>
      </c>
      <c r="E1867" s="7"/>
      <c r="F1867" s="166"/>
      <c r="G1867" s="22"/>
    </row>
    <row r="1868" spans="1:7" ht="20.25" customHeight="1">
      <c r="A1868" s="10">
        <v>31766</v>
      </c>
      <c r="B1868" s="10">
        <v>35766</v>
      </c>
      <c r="C1868" s="10">
        <f t="shared" si="29"/>
        <v>31766</v>
      </c>
      <c r="D1868" s="99" t="s">
        <v>549</v>
      </c>
      <c r="E1868" s="7"/>
      <c r="F1868" s="166"/>
      <c r="G1868" s="22"/>
    </row>
    <row r="1869" spans="1:7" ht="20.25" customHeight="1">
      <c r="A1869" s="10">
        <v>31767</v>
      </c>
      <c r="B1869" s="10">
        <v>35767</v>
      </c>
      <c r="C1869" s="10">
        <f t="shared" si="29"/>
        <v>31767</v>
      </c>
      <c r="D1869" s="99" t="s">
        <v>549</v>
      </c>
      <c r="E1869" s="7"/>
      <c r="F1869" s="166"/>
      <c r="G1869" s="22"/>
    </row>
    <row r="1870" spans="1:7" ht="20.25" customHeight="1">
      <c r="A1870" s="10">
        <v>31768</v>
      </c>
      <c r="B1870" s="10">
        <v>35768</v>
      </c>
      <c r="C1870" s="10">
        <f t="shared" si="29"/>
        <v>31768</v>
      </c>
      <c r="D1870" s="99" t="s">
        <v>549</v>
      </c>
      <c r="E1870" s="7"/>
      <c r="F1870" s="166"/>
      <c r="G1870" s="22"/>
    </row>
    <row r="1871" spans="1:7" ht="20.25" customHeight="1">
      <c r="A1871" s="10">
        <v>31769</v>
      </c>
      <c r="B1871" s="10">
        <v>35769</v>
      </c>
      <c r="C1871" s="10">
        <f t="shared" si="29"/>
        <v>31769</v>
      </c>
      <c r="D1871" s="99" t="s">
        <v>549</v>
      </c>
      <c r="E1871" s="7"/>
      <c r="F1871" s="166"/>
      <c r="G1871" s="22"/>
    </row>
    <row r="1872" spans="1:7" ht="20.25" customHeight="1">
      <c r="A1872" s="10">
        <v>31770</v>
      </c>
      <c r="B1872" s="10">
        <v>35770</v>
      </c>
      <c r="C1872" s="10">
        <f t="shared" si="29"/>
        <v>31770</v>
      </c>
      <c r="D1872" s="99" t="s">
        <v>549</v>
      </c>
      <c r="E1872" s="7"/>
      <c r="F1872" s="166"/>
      <c r="G1872" s="22"/>
    </row>
    <row r="1873" spans="1:7" ht="20.25" customHeight="1">
      <c r="A1873" s="10">
        <v>31771</v>
      </c>
      <c r="B1873" s="10">
        <v>35771</v>
      </c>
      <c r="C1873" s="10">
        <f t="shared" si="29"/>
        <v>31771</v>
      </c>
      <c r="D1873" s="99" t="s">
        <v>549</v>
      </c>
      <c r="E1873" s="7"/>
      <c r="F1873" s="166"/>
      <c r="G1873" s="22"/>
    </row>
    <row r="1874" spans="1:7" ht="20.25" customHeight="1">
      <c r="A1874" s="10">
        <v>31772</v>
      </c>
      <c r="B1874" s="10">
        <v>35772</v>
      </c>
      <c r="C1874" s="10">
        <f t="shared" si="29"/>
        <v>31772</v>
      </c>
      <c r="D1874" s="99" t="s">
        <v>549</v>
      </c>
      <c r="E1874" s="7"/>
      <c r="F1874" s="166"/>
      <c r="G1874" s="22"/>
    </row>
    <row r="1875" spans="1:7" ht="20.25" customHeight="1">
      <c r="A1875" s="10">
        <v>31773</v>
      </c>
      <c r="B1875" s="10">
        <v>35773</v>
      </c>
      <c r="C1875" s="10">
        <f t="shared" si="29"/>
        <v>31773</v>
      </c>
      <c r="D1875" s="99" t="s">
        <v>549</v>
      </c>
      <c r="E1875" s="7"/>
      <c r="F1875" s="166"/>
      <c r="G1875" s="22"/>
    </row>
    <row r="1876" spans="1:7" ht="20.25" customHeight="1">
      <c r="A1876" s="10">
        <v>31774</v>
      </c>
      <c r="B1876" s="10">
        <v>35774</v>
      </c>
      <c r="C1876" s="10">
        <f t="shared" si="29"/>
        <v>31774</v>
      </c>
      <c r="D1876" s="99" t="s">
        <v>549</v>
      </c>
      <c r="E1876" s="7"/>
      <c r="F1876" s="166"/>
      <c r="G1876" s="22"/>
    </row>
    <row r="1877" spans="1:7" ht="20.25" customHeight="1">
      <c r="A1877" s="10">
        <v>31775</v>
      </c>
      <c r="B1877" s="10">
        <v>35775</v>
      </c>
      <c r="C1877" s="10">
        <f t="shared" si="29"/>
        <v>31775</v>
      </c>
      <c r="D1877" s="99" t="s">
        <v>549</v>
      </c>
      <c r="E1877" s="7"/>
      <c r="F1877" s="166"/>
      <c r="G1877" s="22"/>
    </row>
    <row r="1878" spans="1:7" ht="20.25" customHeight="1">
      <c r="A1878" s="10">
        <v>31776</v>
      </c>
      <c r="B1878" s="10">
        <v>35776</v>
      </c>
      <c r="C1878" s="10">
        <f t="shared" si="29"/>
        <v>31776</v>
      </c>
      <c r="D1878" s="99" t="s">
        <v>549</v>
      </c>
      <c r="E1878" s="7"/>
      <c r="F1878" s="166"/>
      <c r="G1878" s="22"/>
    </row>
    <row r="1879" spans="1:7" ht="20.25" customHeight="1">
      <c r="A1879" s="10">
        <v>31777</v>
      </c>
      <c r="B1879" s="10">
        <v>35777</v>
      </c>
      <c r="C1879" s="10">
        <f t="shared" si="29"/>
        <v>31777</v>
      </c>
      <c r="D1879" s="99" t="s">
        <v>549</v>
      </c>
      <c r="E1879" s="7"/>
      <c r="F1879" s="166"/>
      <c r="G1879" s="22"/>
    </row>
    <row r="1880" spans="1:7" ht="20.25" customHeight="1">
      <c r="A1880" s="10">
        <v>31778</v>
      </c>
      <c r="B1880" s="10">
        <v>35778</v>
      </c>
      <c r="C1880" s="10">
        <f t="shared" si="29"/>
        <v>31778</v>
      </c>
      <c r="D1880" s="99" t="s">
        <v>549</v>
      </c>
      <c r="E1880" s="7"/>
      <c r="F1880" s="166"/>
      <c r="G1880" s="22"/>
    </row>
    <row r="1881" spans="1:7" ht="20.25" customHeight="1">
      <c r="A1881" s="10">
        <v>31779</v>
      </c>
      <c r="B1881" s="10">
        <v>35779</v>
      </c>
      <c r="C1881" s="10">
        <f t="shared" si="29"/>
        <v>31779</v>
      </c>
      <c r="D1881" s="99" t="s">
        <v>549</v>
      </c>
      <c r="E1881" s="7"/>
      <c r="F1881" s="166"/>
      <c r="G1881" s="22"/>
    </row>
    <row r="1882" spans="1:7" ht="20.25" customHeight="1">
      <c r="A1882" s="10">
        <v>31780</v>
      </c>
      <c r="B1882" s="10">
        <v>35780</v>
      </c>
      <c r="C1882" s="10">
        <f t="shared" si="29"/>
        <v>31780</v>
      </c>
      <c r="D1882" s="99" t="s">
        <v>549</v>
      </c>
      <c r="E1882" s="7"/>
      <c r="F1882" s="166"/>
      <c r="G1882" s="22"/>
    </row>
    <row r="1883" spans="1:7" ht="20.25" customHeight="1">
      <c r="A1883" s="10">
        <v>31781</v>
      </c>
      <c r="B1883" s="10">
        <v>35781</v>
      </c>
      <c r="C1883" s="10">
        <f t="shared" si="29"/>
        <v>31781</v>
      </c>
      <c r="D1883" s="99" t="s">
        <v>549</v>
      </c>
      <c r="E1883" s="7"/>
      <c r="F1883" s="166"/>
      <c r="G1883" s="22"/>
    </row>
    <row r="1884" spans="1:7" ht="20.25" customHeight="1">
      <c r="A1884" s="10">
        <v>31782</v>
      </c>
      <c r="B1884" s="10">
        <v>35782</v>
      </c>
      <c r="C1884" s="10">
        <f t="shared" si="29"/>
        <v>31782</v>
      </c>
      <c r="D1884" s="99" t="s">
        <v>549</v>
      </c>
      <c r="E1884" s="7"/>
      <c r="F1884" s="166"/>
      <c r="G1884" s="22"/>
    </row>
    <row r="1885" spans="1:7" ht="20.25" customHeight="1">
      <c r="A1885" s="10">
        <v>31783</v>
      </c>
      <c r="B1885" s="10">
        <v>35783</v>
      </c>
      <c r="C1885" s="10">
        <f t="shared" si="29"/>
        <v>31783</v>
      </c>
      <c r="D1885" s="99" t="s">
        <v>549</v>
      </c>
      <c r="E1885" s="7"/>
      <c r="F1885" s="166"/>
      <c r="G1885" s="22"/>
    </row>
    <row r="1886" spans="1:7" ht="20.25" customHeight="1">
      <c r="A1886" s="10">
        <v>31784</v>
      </c>
      <c r="B1886" s="10">
        <v>35784</v>
      </c>
      <c r="C1886" s="10">
        <f t="shared" si="29"/>
        <v>31784</v>
      </c>
      <c r="D1886" s="99" t="s">
        <v>549</v>
      </c>
      <c r="E1886" s="7"/>
      <c r="F1886" s="166"/>
      <c r="G1886" s="22"/>
    </row>
    <row r="1887" spans="1:7" ht="20.25" customHeight="1">
      <c r="A1887" s="10">
        <v>31785</v>
      </c>
      <c r="B1887" s="10">
        <v>35785</v>
      </c>
      <c r="C1887" s="10">
        <f t="shared" si="29"/>
        <v>31785</v>
      </c>
      <c r="D1887" s="99" t="s">
        <v>549</v>
      </c>
      <c r="E1887" s="7"/>
      <c r="F1887" s="166"/>
      <c r="G1887" s="22"/>
    </row>
    <row r="1888" spans="1:7" ht="20.25" customHeight="1">
      <c r="A1888" s="10">
        <v>31786</v>
      </c>
      <c r="B1888" s="10">
        <v>35786</v>
      </c>
      <c r="C1888" s="10">
        <f t="shared" si="29"/>
        <v>31786</v>
      </c>
      <c r="D1888" s="99" t="s">
        <v>549</v>
      </c>
      <c r="E1888" s="7"/>
      <c r="F1888" s="166"/>
      <c r="G1888" s="22"/>
    </row>
    <row r="1889" spans="1:7" ht="20.25" customHeight="1">
      <c r="A1889" s="10">
        <v>31787</v>
      </c>
      <c r="B1889" s="10">
        <v>35787</v>
      </c>
      <c r="C1889" s="10">
        <f t="shared" si="29"/>
        <v>31787</v>
      </c>
      <c r="D1889" s="99" t="s">
        <v>549</v>
      </c>
      <c r="E1889" s="7"/>
      <c r="F1889" s="166"/>
      <c r="G1889" s="22"/>
    </row>
    <row r="1890" spans="1:7" ht="20.25" customHeight="1">
      <c r="A1890" s="10">
        <v>31788</v>
      </c>
      <c r="B1890" s="10">
        <v>35788</v>
      </c>
      <c r="C1890" s="10">
        <f t="shared" si="29"/>
        <v>31788</v>
      </c>
      <c r="D1890" s="99" t="s">
        <v>549</v>
      </c>
      <c r="E1890" s="7"/>
      <c r="F1890" s="166"/>
      <c r="G1890" s="22"/>
    </row>
    <row r="1891" spans="1:7" ht="20.25" customHeight="1">
      <c r="A1891" s="10">
        <v>31789</v>
      </c>
      <c r="B1891" s="10">
        <v>35789</v>
      </c>
      <c r="C1891" s="10">
        <f t="shared" si="29"/>
        <v>31789</v>
      </c>
      <c r="D1891" s="99" t="s">
        <v>549</v>
      </c>
      <c r="E1891" s="7"/>
      <c r="F1891" s="166"/>
      <c r="G1891" s="22"/>
    </row>
    <row r="1892" spans="1:7" ht="20.25" customHeight="1">
      <c r="A1892" s="10">
        <v>31790</v>
      </c>
      <c r="B1892" s="10">
        <v>35790</v>
      </c>
      <c r="C1892" s="10">
        <f t="shared" si="29"/>
        <v>31790</v>
      </c>
      <c r="D1892" s="99" t="s">
        <v>549</v>
      </c>
      <c r="E1892" s="7"/>
      <c r="F1892" s="166"/>
      <c r="G1892" s="22"/>
    </row>
    <row r="1893" spans="1:7" ht="20.25" customHeight="1">
      <c r="A1893" s="10">
        <v>31791</v>
      </c>
      <c r="B1893" s="10">
        <v>35791</v>
      </c>
      <c r="C1893" s="10">
        <f t="shared" si="29"/>
        <v>31791</v>
      </c>
      <c r="D1893" s="99" t="s">
        <v>549</v>
      </c>
      <c r="E1893" s="7"/>
      <c r="F1893" s="166"/>
      <c r="G1893" s="22"/>
    </row>
    <row r="1894" spans="1:7" ht="20.25" customHeight="1">
      <c r="A1894" s="10">
        <v>31792</v>
      </c>
      <c r="B1894" s="10">
        <v>35792</v>
      </c>
      <c r="C1894" s="10">
        <f t="shared" si="29"/>
        <v>31792</v>
      </c>
      <c r="D1894" s="99" t="s">
        <v>549</v>
      </c>
      <c r="E1894" s="7"/>
      <c r="F1894" s="166"/>
      <c r="G1894" s="22"/>
    </row>
    <row r="1895" spans="1:7" ht="20.25" customHeight="1">
      <c r="A1895" s="10">
        <v>31793</v>
      </c>
      <c r="B1895" s="10">
        <v>35793</v>
      </c>
      <c r="C1895" s="10">
        <f t="shared" si="29"/>
        <v>31793</v>
      </c>
      <c r="D1895" s="99" t="s">
        <v>549</v>
      </c>
      <c r="E1895" s="7"/>
      <c r="F1895" s="166"/>
      <c r="G1895" s="22"/>
    </row>
    <row r="1896" spans="1:7" ht="20.25" customHeight="1">
      <c r="A1896" s="10">
        <v>31794</v>
      </c>
      <c r="B1896" s="10">
        <v>35794</v>
      </c>
      <c r="C1896" s="10">
        <f t="shared" si="29"/>
        <v>31794</v>
      </c>
      <c r="D1896" s="99" t="s">
        <v>549</v>
      </c>
      <c r="E1896" s="7"/>
      <c r="F1896" s="166"/>
      <c r="G1896" s="22"/>
    </row>
    <row r="1897" spans="1:7" ht="20.25" customHeight="1">
      <c r="A1897" s="10">
        <v>31795</v>
      </c>
      <c r="B1897" s="10">
        <v>35795</v>
      </c>
      <c r="C1897" s="10">
        <f t="shared" si="29"/>
        <v>31795</v>
      </c>
      <c r="D1897" s="99" t="s">
        <v>549</v>
      </c>
      <c r="E1897" s="7"/>
      <c r="F1897" s="166"/>
      <c r="G1897" s="22"/>
    </row>
    <row r="1898" spans="1:7" ht="20.25" customHeight="1">
      <c r="A1898" s="10">
        <v>31796</v>
      </c>
      <c r="B1898" s="10">
        <v>35796</v>
      </c>
      <c r="C1898" s="10">
        <f t="shared" si="29"/>
        <v>31796</v>
      </c>
      <c r="D1898" s="99" t="s">
        <v>549</v>
      </c>
      <c r="E1898" s="7"/>
      <c r="F1898" s="166"/>
      <c r="G1898" s="22"/>
    </row>
    <row r="1899" spans="1:7" ht="20.25" customHeight="1">
      <c r="A1899" s="10">
        <v>31797</v>
      </c>
      <c r="B1899" s="10">
        <v>35797</v>
      </c>
      <c r="C1899" s="10">
        <f t="shared" si="29"/>
        <v>31797</v>
      </c>
      <c r="D1899" s="99" t="s">
        <v>549</v>
      </c>
      <c r="E1899" s="7"/>
      <c r="F1899" s="166"/>
      <c r="G1899" s="22"/>
    </row>
    <row r="1900" spans="1:7" ht="20.25" customHeight="1">
      <c r="A1900" s="10">
        <v>31798</v>
      </c>
      <c r="B1900" s="10">
        <v>35798</v>
      </c>
      <c r="C1900" s="10">
        <f t="shared" si="29"/>
        <v>31798</v>
      </c>
      <c r="D1900" s="99" t="s">
        <v>549</v>
      </c>
      <c r="E1900" s="7"/>
      <c r="F1900" s="166"/>
      <c r="G1900" s="22"/>
    </row>
    <row r="1901" spans="1:7" ht="20.25" customHeight="1">
      <c r="A1901" s="10">
        <v>31799</v>
      </c>
      <c r="B1901" s="10">
        <v>35799</v>
      </c>
      <c r="C1901" s="10">
        <f t="shared" si="29"/>
        <v>31799</v>
      </c>
      <c r="D1901" s="99" t="s">
        <v>549</v>
      </c>
      <c r="E1901" s="7"/>
      <c r="F1901" s="166"/>
      <c r="G1901" s="22"/>
    </row>
    <row r="1902" spans="1:7" ht="20.25" customHeight="1">
      <c r="A1902" s="10">
        <v>31800</v>
      </c>
      <c r="B1902" s="10">
        <v>35800</v>
      </c>
      <c r="C1902" s="10">
        <f t="shared" si="29"/>
        <v>31800</v>
      </c>
      <c r="D1902" s="99" t="s">
        <v>549</v>
      </c>
      <c r="E1902" s="7"/>
      <c r="F1902" s="166"/>
      <c r="G1902" s="22"/>
    </row>
    <row r="1903" spans="1:7" ht="20.25" customHeight="1">
      <c r="A1903" s="10">
        <v>31801</v>
      </c>
      <c r="B1903" s="10">
        <v>35801</v>
      </c>
      <c r="C1903" s="10">
        <f t="shared" si="29"/>
        <v>31801</v>
      </c>
      <c r="D1903" s="99" t="s">
        <v>549</v>
      </c>
      <c r="E1903" s="7"/>
      <c r="F1903" s="166"/>
      <c r="G1903" s="22"/>
    </row>
    <row r="1904" spans="1:7" ht="20.25" customHeight="1">
      <c r="A1904" s="10">
        <v>31802</v>
      </c>
      <c r="B1904" s="10">
        <v>35802</v>
      </c>
      <c r="C1904" s="10">
        <f t="shared" si="29"/>
        <v>31802</v>
      </c>
      <c r="D1904" s="99" t="s">
        <v>549</v>
      </c>
      <c r="E1904" s="7"/>
      <c r="F1904" s="166"/>
      <c r="G1904" s="22"/>
    </row>
    <row r="1905" spans="1:7" ht="20.25" customHeight="1">
      <c r="A1905" s="10">
        <v>31803</v>
      </c>
      <c r="B1905" s="10">
        <v>35803</v>
      </c>
      <c r="C1905" s="10">
        <f t="shared" si="29"/>
        <v>31803</v>
      </c>
      <c r="D1905" s="99" t="s">
        <v>549</v>
      </c>
      <c r="E1905" s="7"/>
      <c r="F1905" s="166"/>
      <c r="G1905" s="22"/>
    </row>
    <row r="1906" spans="1:7" ht="20.25" customHeight="1">
      <c r="A1906" s="10">
        <v>31804</v>
      </c>
      <c r="B1906" s="10">
        <v>35804</v>
      </c>
      <c r="C1906" s="10">
        <f t="shared" si="29"/>
        <v>31804</v>
      </c>
      <c r="D1906" s="99" t="s">
        <v>549</v>
      </c>
      <c r="E1906" s="7"/>
      <c r="F1906" s="166"/>
      <c r="G1906" s="22"/>
    </row>
    <row r="1907" spans="1:7" ht="20.25" customHeight="1">
      <c r="A1907" s="10">
        <v>31805</v>
      </c>
      <c r="B1907" s="10">
        <v>35805</v>
      </c>
      <c r="C1907" s="10">
        <f t="shared" si="29"/>
        <v>31805</v>
      </c>
      <c r="D1907" s="99" t="s">
        <v>549</v>
      </c>
      <c r="E1907" s="7"/>
      <c r="F1907" s="166"/>
      <c r="G1907" s="22"/>
    </row>
    <row r="1908" spans="1:7" ht="20.25" customHeight="1">
      <c r="A1908" s="10">
        <v>31806</v>
      </c>
      <c r="B1908" s="10">
        <v>35806</v>
      </c>
      <c r="C1908" s="10">
        <f t="shared" si="29"/>
        <v>31806</v>
      </c>
      <c r="D1908" s="99" t="s">
        <v>549</v>
      </c>
      <c r="E1908" s="7"/>
      <c r="F1908" s="166"/>
      <c r="G1908" s="22"/>
    </row>
    <row r="1909" spans="1:7" ht="20.25" customHeight="1">
      <c r="A1909" s="10">
        <v>31807</v>
      </c>
      <c r="B1909" s="10">
        <v>35807</v>
      </c>
      <c r="C1909" s="10">
        <f t="shared" si="29"/>
        <v>31807</v>
      </c>
      <c r="D1909" s="99" t="s">
        <v>549</v>
      </c>
      <c r="E1909" s="7"/>
      <c r="F1909" s="166"/>
      <c r="G1909" s="22"/>
    </row>
    <row r="1910" spans="1:7" ht="20.25" customHeight="1">
      <c r="A1910" s="10">
        <v>31808</v>
      </c>
      <c r="B1910" s="10">
        <v>35808</v>
      </c>
      <c r="C1910" s="10">
        <f t="shared" si="29"/>
        <v>31808</v>
      </c>
      <c r="D1910" s="99" t="s">
        <v>549</v>
      </c>
      <c r="E1910" s="7"/>
      <c r="F1910" s="166"/>
      <c r="G1910" s="22"/>
    </row>
    <row r="1911" spans="1:7" ht="20.25" customHeight="1">
      <c r="A1911" s="10">
        <v>31809</v>
      </c>
      <c r="B1911" s="10">
        <v>35809</v>
      </c>
      <c r="C1911" s="10">
        <f t="shared" si="29"/>
        <v>31809</v>
      </c>
      <c r="D1911" s="99" t="s">
        <v>549</v>
      </c>
      <c r="E1911" s="7"/>
      <c r="F1911" s="166"/>
      <c r="G1911" s="22"/>
    </row>
    <row r="1912" spans="1:7" ht="20.25" customHeight="1">
      <c r="A1912" s="10">
        <v>31810</v>
      </c>
      <c r="B1912" s="10">
        <v>35810</v>
      </c>
      <c r="C1912" s="10">
        <f t="shared" si="29"/>
        <v>31810</v>
      </c>
      <c r="D1912" s="99" t="s">
        <v>549</v>
      </c>
      <c r="E1912" s="7"/>
      <c r="F1912" s="166"/>
      <c r="G1912" s="22"/>
    </row>
    <row r="1913" spans="1:7" ht="20.25" customHeight="1">
      <c r="A1913" s="10">
        <v>31811</v>
      </c>
      <c r="B1913" s="10">
        <v>35811</v>
      </c>
      <c r="C1913" s="10">
        <f t="shared" si="29"/>
        <v>31811</v>
      </c>
      <c r="D1913" s="99" t="s">
        <v>549</v>
      </c>
      <c r="E1913" s="7"/>
      <c r="F1913" s="166"/>
      <c r="G1913" s="22"/>
    </row>
    <row r="1914" spans="1:7" ht="20.25" customHeight="1">
      <c r="A1914" s="10">
        <v>31812</v>
      </c>
      <c r="B1914" s="10">
        <v>35812</v>
      </c>
      <c r="C1914" s="10">
        <f t="shared" si="29"/>
        <v>31812</v>
      </c>
      <c r="D1914" s="99" t="s">
        <v>549</v>
      </c>
      <c r="E1914" s="7"/>
      <c r="F1914" s="166"/>
      <c r="G1914" s="22"/>
    </row>
    <row r="1915" spans="1:7" ht="20.25" customHeight="1">
      <c r="A1915" s="10">
        <v>31813</v>
      </c>
      <c r="B1915" s="10">
        <v>35813</v>
      </c>
      <c r="C1915" s="10">
        <f t="shared" si="29"/>
        <v>31813</v>
      </c>
      <c r="D1915" s="99" t="s">
        <v>549</v>
      </c>
      <c r="E1915" s="7"/>
      <c r="F1915" s="166"/>
      <c r="G1915" s="22"/>
    </row>
    <row r="1916" spans="1:7" ht="20.25" customHeight="1">
      <c r="A1916" s="10">
        <v>31814</v>
      </c>
      <c r="B1916" s="10">
        <v>35814</v>
      </c>
      <c r="C1916" s="10">
        <f t="shared" si="29"/>
        <v>31814</v>
      </c>
      <c r="D1916" s="99" t="s">
        <v>549</v>
      </c>
      <c r="E1916" s="7"/>
      <c r="F1916" s="166"/>
      <c r="G1916" s="22"/>
    </row>
    <row r="1917" spans="1:7" ht="20.25" customHeight="1">
      <c r="A1917" s="10">
        <v>31815</v>
      </c>
      <c r="B1917" s="10">
        <v>35815</v>
      </c>
      <c r="C1917" s="10">
        <f t="shared" si="29"/>
        <v>31815</v>
      </c>
      <c r="D1917" s="99" t="s">
        <v>549</v>
      </c>
      <c r="E1917" s="7"/>
      <c r="F1917" s="166"/>
      <c r="G1917" s="22"/>
    </row>
    <row r="1918" spans="1:7" ht="20.25" customHeight="1">
      <c r="A1918" s="10">
        <v>31816</v>
      </c>
      <c r="B1918" s="10">
        <v>35816</v>
      </c>
      <c r="C1918" s="10">
        <f t="shared" si="29"/>
        <v>31816</v>
      </c>
      <c r="D1918" s="99" t="s">
        <v>549</v>
      </c>
      <c r="E1918" s="7"/>
      <c r="F1918" s="166"/>
      <c r="G1918" s="22"/>
    </row>
    <row r="1919" spans="1:7" ht="20.25" customHeight="1">
      <c r="A1919" s="10">
        <v>31817</v>
      </c>
      <c r="B1919" s="10">
        <v>35817</v>
      </c>
      <c r="C1919" s="10">
        <f t="shared" si="29"/>
        <v>31817</v>
      </c>
      <c r="D1919" s="99" t="s">
        <v>549</v>
      </c>
      <c r="E1919" s="7"/>
      <c r="F1919" s="166"/>
      <c r="G1919" s="22"/>
    </row>
    <row r="1920" spans="1:7" ht="20.25" customHeight="1">
      <c r="A1920" s="10">
        <v>31818</v>
      </c>
      <c r="B1920" s="10">
        <v>35818</v>
      </c>
      <c r="C1920" s="10">
        <f t="shared" si="29"/>
        <v>31818</v>
      </c>
      <c r="D1920" s="99" t="s">
        <v>549</v>
      </c>
      <c r="E1920" s="7"/>
      <c r="F1920" s="166"/>
      <c r="G1920" s="22"/>
    </row>
    <row r="1921" spans="1:7" ht="20.25" customHeight="1">
      <c r="A1921" s="10">
        <v>31819</v>
      </c>
      <c r="B1921" s="10">
        <v>35819</v>
      </c>
      <c r="C1921" s="10">
        <f t="shared" si="29"/>
        <v>31819</v>
      </c>
      <c r="D1921" s="99" t="s">
        <v>549</v>
      </c>
      <c r="E1921" s="7"/>
      <c r="F1921" s="166"/>
      <c r="G1921" s="22"/>
    </row>
    <row r="1922" spans="1:7" ht="20.25" customHeight="1">
      <c r="A1922" s="10">
        <v>31820</v>
      </c>
      <c r="B1922" s="10">
        <v>35820</v>
      </c>
      <c r="C1922" s="10">
        <f t="shared" si="29"/>
        <v>31820</v>
      </c>
      <c r="D1922" s="99" t="s">
        <v>549</v>
      </c>
      <c r="E1922" s="7"/>
      <c r="F1922" s="166"/>
      <c r="G1922" s="22"/>
    </row>
    <row r="1923" spans="1:7" ht="20.25" customHeight="1">
      <c r="A1923" s="10">
        <v>31821</v>
      </c>
      <c r="B1923" s="10">
        <v>35821</v>
      </c>
      <c r="C1923" s="10">
        <f t="shared" si="29"/>
        <v>31821</v>
      </c>
      <c r="D1923" s="99" t="s">
        <v>549</v>
      </c>
      <c r="E1923" s="7"/>
      <c r="F1923" s="166"/>
      <c r="G1923" s="22"/>
    </row>
    <row r="1924" spans="1:7" ht="20.25" customHeight="1">
      <c r="A1924" s="10">
        <v>31822</v>
      </c>
      <c r="B1924" s="10">
        <v>35822</v>
      </c>
      <c r="C1924" s="10">
        <f t="shared" si="29"/>
        <v>31822</v>
      </c>
      <c r="D1924" s="99" t="s">
        <v>549</v>
      </c>
      <c r="E1924" s="7"/>
      <c r="F1924" s="166"/>
      <c r="G1924" s="22"/>
    </row>
    <row r="1925" spans="1:7" ht="20.25" customHeight="1">
      <c r="A1925" s="10">
        <v>31823</v>
      </c>
      <c r="B1925" s="10">
        <v>35823</v>
      </c>
      <c r="C1925" s="10">
        <f t="shared" ref="C1925:C1988" si="30">IF(ISERROR(FIND("B_Epic",E1925)),A1925,A1925+10000)</f>
        <v>31823</v>
      </c>
      <c r="D1925" s="99" t="s">
        <v>549</v>
      </c>
      <c r="E1925" s="7"/>
      <c r="F1925" s="166"/>
      <c r="G1925" s="22"/>
    </row>
    <row r="1926" spans="1:7" ht="20.25" customHeight="1">
      <c r="A1926" s="10">
        <v>31824</v>
      </c>
      <c r="B1926" s="10">
        <v>35824</v>
      </c>
      <c r="C1926" s="10">
        <f t="shared" si="30"/>
        <v>31824</v>
      </c>
      <c r="D1926" s="99" t="s">
        <v>549</v>
      </c>
      <c r="E1926" s="7"/>
      <c r="F1926" s="166"/>
      <c r="G1926" s="22"/>
    </row>
    <row r="1927" spans="1:7" ht="20.25" customHeight="1">
      <c r="A1927" s="10">
        <v>31825</v>
      </c>
      <c r="B1927" s="10">
        <v>35825</v>
      </c>
      <c r="C1927" s="10">
        <f t="shared" si="30"/>
        <v>31825</v>
      </c>
      <c r="D1927" s="99" t="s">
        <v>549</v>
      </c>
      <c r="E1927" s="7"/>
      <c r="F1927" s="166"/>
      <c r="G1927" s="22"/>
    </row>
    <row r="1928" spans="1:7" ht="20.25" customHeight="1">
      <c r="A1928" s="10">
        <v>31826</v>
      </c>
      <c r="B1928" s="10">
        <v>35826</v>
      </c>
      <c r="C1928" s="10">
        <f t="shared" si="30"/>
        <v>31826</v>
      </c>
      <c r="D1928" s="99" t="s">
        <v>549</v>
      </c>
      <c r="E1928" s="7"/>
      <c r="F1928" s="166"/>
      <c r="G1928" s="22"/>
    </row>
    <row r="1929" spans="1:7" ht="20.25" customHeight="1">
      <c r="A1929" s="10">
        <v>31827</v>
      </c>
      <c r="B1929" s="10">
        <v>35827</v>
      </c>
      <c r="C1929" s="10">
        <f t="shared" si="30"/>
        <v>31827</v>
      </c>
      <c r="D1929" s="99" t="s">
        <v>549</v>
      </c>
      <c r="E1929" s="7"/>
      <c r="F1929" s="166"/>
      <c r="G1929" s="22"/>
    </row>
    <row r="1930" spans="1:7" ht="20.25" customHeight="1">
      <c r="A1930" s="10">
        <v>31828</v>
      </c>
      <c r="B1930" s="10">
        <v>35828</v>
      </c>
      <c r="C1930" s="10">
        <f t="shared" si="30"/>
        <v>31828</v>
      </c>
      <c r="D1930" s="99" t="s">
        <v>549</v>
      </c>
      <c r="E1930" s="7"/>
      <c r="F1930" s="166"/>
      <c r="G1930" s="22"/>
    </row>
    <row r="1931" spans="1:7" ht="20.25" customHeight="1">
      <c r="A1931" s="10">
        <v>31829</v>
      </c>
      <c r="B1931" s="10">
        <v>35829</v>
      </c>
      <c r="C1931" s="10">
        <f t="shared" si="30"/>
        <v>31829</v>
      </c>
      <c r="D1931" s="99" t="s">
        <v>549</v>
      </c>
      <c r="E1931" s="7"/>
      <c r="F1931" s="166"/>
      <c r="G1931" s="22"/>
    </row>
    <row r="1932" spans="1:7" ht="20.25" customHeight="1">
      <c r="A1932" s="10">
        <v>31830</v>
      </c>
      <c r="B1932" s="10">
        <v>35830</v>
      </c>
      <c r="C1932" s="10">
        <f t="shared" si="30"/>
        <v>31830</v>
      </c>
      <c r="D1932" s="99" t="s">
        <v>549</v>
      </c>
      <c r="E1932" s="7"/>
      <c r="F1932" s="166"/>
      <c r="G1932" s="22"/>
    </row>
    <row r="1933" spans="1:7" ht="20.25" customHeight="1">
      <c r="A1933" s="10">
        <v>31831</v>
      </c>
      <c r="B1933" s="10">
        <v>35831</v>
      </c>
      <c r="C1933" s="10">
        <f t="shared" si="30"/>
        <v>31831</v>
      </c>
      <c r="D1933" s="99" t="s">
        <v>549</v>
      </c>
      <c r="E1933" s="7"/>
      <c r="F1933" s="166"/>
      <c r="G1933" s="22"/>
    </row>
    <row r="1934" spans="1:7" ht="20.25" customHeight="1">
      <c r="A1934" s="10">
        <v>31832</v>
      </c>
      <c r="B1934" s="10">
        <v>35832</v>
      </c>
      <c r="C1934" s="10">
        <f t="shared" si="30"/>
        <v>31832</v>
      </c>
      <c r="D1934" s="99" t="s">
        <v>549</v>
      </c>
      <c r="E1934" s="7"/>
      <c r="F1934" s="166"/>
      <c r="G1934" s="22"/>
    </row>
    <row r="1935" spans="1:7" ht="20.25" customHeight="1">
      <c r="A1935" s="10">
        <v>31833</v>
      </c>
      <c r="B1935" s="10">
        <v>35833</v>
      </c>
      <c r="C1935" s="10">
        <f t="shared" si="30"/>
        <v>31833</v>
      </c>
      <c r="D1935" s="99" t="s">
        <v>549</v>
      </c>
      <c r="E1935" s="7"/>
      <c r="F1935" s="166"/>
      <c r="G1935" s="22"/>
    </row>
    <row r="1936" spans="1:7" ht="20.25" customHeight="1">
      <c r="A1936" s="10">
        <v>31834</v>
      </c>
      <c r="B1936" s="10">
        <v>35834</v>
      </c>
      <c r="C1936" s="10">
        <f t="shared" si="30"/>
        <v>31834</v>
      </c>
      <c r="D1936" s="99" t="s">
        <v>549</v>
      </c>
      <c r="E1936" s="7"/>
      <c r="F1936" s="166"/>
      <c r="G1936" s="22"/>
    </row>
    <row r="1937" spans="1:7" ht="20.25" customHeight="1">
      <c r="A1937" s="10">
        <v>31835</v>
      </c>
      <c r="B1937" s="10">
        <v>35835</v>
      </c>
      <c r="C1937" s="10">
        <f t="shared" si="30"/>
        <v>31835</v>
      </c>
      <c r="D1937" s="99" t="s">
        <v>549</v>
      </c>
      <c r="E1937" s="7"/>
      <c r="F1937" s="166"/>
      <c r="G1937" s="22"/>
    </row>
    <row r="1938" spans="1:7" ht="20.25" customHeight="1">
      <c r="A1938" s="10">
        <v>31836</v>
      </c>
      <c r="B1938" s="10">
        <v>35836</v>
      </c>
      <c r="C1938" s="10">
        <f t="shared" si="30"/>
        <v>31836</v>
      </c>
      <c r="D1938" s="99" t="s">
        <v>549</v>
      </c>
      <c r="E1938" s="7"/>
      <c r="F1938" s="166"/>
      <c r="G1938" s="22"/>
    </row>
    <row r="1939" spans="1:7" ht="20.25" customHeight="1">
      <c r="A1939" s="10">
        <v>31837</v>
      </c>
      <c r="B1939" s="10">
        <v>35837</v>
      </c>
      <c r="C1939" s="10">
        <f t="shared" si="30"/>
        <v>31837</v>
      </c>
      <c r="D1939" s="99" t="s">
        <v>549</v>
      </c>
      <c r="E1939" s="7"/>
      <c r="F1939" s="166"/>
      <c r="G1939" s="22"/>
    </row>
    <row r="1940" spans="1:7" ht="20.25" customHeight="1">
      <c r="A1940" s="10">
        <v>31838</v>
      </c>
      <c r="B1940" s="10">
        <v>35838</v>
      </c>
      <c r="C1940" s="10">
        <f t="shared" si="30"/>
        <v>31838</v>
      </c>
      <c r="D1940" s="99" t="s">
        <v>549</v>
      </c>
      <c r="E1940" s="7"/>
      <c r="F1940" s="166"/>
      <c r="G1940" s="22"/>
    </row>
    <row r="1941" spans="1:7" ht="20.25" customHeight="1">
      <c r="A1941" s="10">
        <v>31839</v>
      </c>
      <c r="B1941" s="10">
        <v>35839</v>
      </c>
      <c r="C1941" s="10">
        <f t="shared" si="30"/>
        <v>31839</v>
      </c>
      <c r="D1941" s="99" t="s">
        <v>549</v>
      </c>
      <c r="E1941" s="7"/>
      <c r="F1941" s="166"/>
      <c r="G1941" s="22"/>
    </row>
    <row r="1942" spans="1:7" ht="20.25" customHeight="1">
      <c r="A1942" s="10">
        <v>31840</v>
      </c>
      <c r="B1942" s="10">
        <v>35840</v>
      </c>
      <c r="C1942" s="10">
        <f t="shared" si="30"/>
        <v>31840</v>
      </c>
      <c r="D1942" s="99" t="s">
        <v>549</v>
      </c>
      <c r="E1942" s="7"/>
      <c r="F1942" s="166"/>
      <c r="G1942" s="22"/>
    </row>
    <row r="1943" spans="1:7" ht="20.25" customHeight="1">
      <c r="A1943" s="10">
        <v>31841</v>
      </c>
      <c r="B1943" s="10">
        <v>35841</v>
      </c>
      <c r="C1943" s="10">
        <f t="shared" si="30"/>
        <v>31841</v>
      </c>
      <c r="D1943" s="99" t="s">
        <v>549</v>
      </c>
      <c r="E1943" s="7"/>
      <c r="F1943" s="166"/>
      <c r="G1943" s="22"/>
    </row>
    <row r="1944" spans="1:7" ht="20.25" customHeight="1">
      <c r="A1944" s="10">
        <v>31842</v>
      </c>
      <c r="B1944" s="10">
        <v>35842</v>
      </c>
      <c r="C1944" s="10">
        <f t="shared" si="30"/>
        <v>31842</v>
      </c>
      <c r="D1944" s="99" t="s">
        <v>549</v>
      </c>
      <c r="E1944" s="7"/>
      <c r="F1944" s="166"/>
      <c r="G1944" s="22"/>
    </row>
    <row r="1945" spans="1:7" ht="20.25" customHeight="1">
      <c r="A1945" s="10">
        <v>31843</v>
      </c>
      <c r="B1945" s="10">
        <v>35843</v>
      </c>
      <c r="C1945" s="10">
        <f t="shared" si="30"/>
        <v>31843</v>
      </c>
      <c r="D1945" s="99" t="s">
        <v>549</v>
      </c>
      <c r="E1945" s="7"/>
      <c r="F1945" s="166"/>
      <c r="G1945" s="22"/>
    </row>
    <row r="1946" spans="1:7" ht="20.25" customHeight="1">
      <c r="A1946" s="10">
        <v>31844</v>
      </c>
      <c r="B1946" s="10">
        <v>35844</v>
      </c>
      <c r="C1946" s="10">
        <f t="shared" si="30"/>
        <v>31844</v>
      </c>
      <c r="D1946" s="99" t="s">
        <v>549</v>
      </c>
      <c r="E1946" s="7"/>
      <c r="F1946" s="166"/>
      <c r="G1946" s="22"/>
    </row>
    <row r="1947" spans="1:7" ht="20.25" customHeight="1">
      <c r="A1947" s="10">
        <v>31845</v>
      </c>
      <c r="B1947" s="10">
        <v>35845</v>
      </c>
      <c r="C1947" s="10">
        <f t="shared" si="30"/>
        <v>31845</v>
      </c>
      <c r="D1947" s="99" t="s">
        <v>549</v>
      </c>
      <c r="E1947" s="7"/>
      <c r="F1947" s="166"/>
      <c r="G1947" s="22"/>
    </row>
    <row r="1948" spans="1:7" ht="20.25" customHeight="1">
      <c r="A1948" s="10">
        <v>31846</v>
      </c>
      <c r="B1948" s="10">
        <v>35846</v>
      </c>
      <c r="C1948" s="10">
        <f t="shared" si="30"/>
        <v>31846</v>
      </c>
      <c r="D1948" s="99" t="s">
        <v>549</v>
      </c>
      <c r="E1948" s="7"/>
      <c r="F1948" s="166"/>
      <c r="G1948" s="22"/>
    </row>
    <row r="1949" spans="1:7" ht="20.25" customHeight="1">
      <c r="A1949" s="10">
        <v>31847</v>
      </c>
      <c r="B1949" s="10">
        <v>35847</v>
      </c>
      <c r="C1949" s="10">
        <f t="shared" si="30"/>
        <v>31847</v>
      </c>
      <c r="D1949" s="99" t="s">
        <v>549</v>
      </c>
      <c r="E1949" s="7"/>
      <c r="F1949" s="166"/>
      <c r="G1949" s="22"/>
    </row>
    <row r="1950" spans="1:7" ht="20.25" customHeight="1">
      <c r="A1950" s="10">
        <v>31848</v>
      </c>
      <c r="B1950" s="10">
        <v>35848</v>
      </c>
      <c r="C1950" s="10">
        <f t="shared" si="30"/>
        <v>31848</v>
      </c>
      <c r="D1950" s="99" t="s">
        <v>549</v>
      </c>
      <c r="E1950" s="7"/>
      <c r="F1950" s="166"/>
      <c r="G1950" s="22"/>
    </row>
    <row r="1951" spans="1:7" ht="20.25" customHeight="1">
      <c r="A1951" s="10">
        <v>31849</v>
      </c>
      <c r="B1951" s="10">
        <v>35849</v>
      </c>
      <c r="C1951" s="10">
        <f t="shared" si="30"/>
        <v>31849</v>
      </c>
      <c r="D1951" s="99" t="s">
        <v>549</v>
      </c>
      <c r="E1951" s="7"/>
      <c r="F1951" s="166"/>
      <c r="G1951" s="22"/>
    </row>
    <row r="1952" spans="1:7" ht="20.25" customHeight="1">
      <c r="A1952" s="10">
        <v>31850</v>
      </c>
      <c r="B1952" s="10">
        <v>35850</v>
      </c>
      <c r="C1952" s="10">
        <f t="shared" si="30"/>
        <v>31850</v>
      </c>
      <c r="D1952" s="99" t="s">
        <v>549</v>
      </c>
      <c r="E1952" s="7"/>
      <c r="F1952" s="166"/>
      <c r="G1952" s="22"/>
    </row>
    <row r="1953" spans="1:7" ht="20.25" customHeight="1">
      <c r="A1953" s="10">
        <v>31851</v>
      </c>
      <c r="B1953" s="10">
        <v>35851</v>
      </c>
      <c r="C1953" s="10">
        <f t="shared" si="30"/>
        <v>31851</v>
      </c>
      <c r="D1953" s="99" t="s">
        <v>549</v>
      </c>
      <c r="E1953" s="7"/>
      <c r="F1953" s="166"/>
      <c r="G1953" s="22"/>
    </row>
    <row r="1954" spans="1:7" ht="20.25" customHeight="1">
      <c r="A1954" s="10">
        <v>31852</v>
      </c>
      <c r="B1954" s="10">
        <v>35852</v>
      </c>
      <c r="C1954" s="10">
        <f t="shared" si="30"/>
        <v>31852</v>
      </c>
      <c r="D1954" s="99" t="s">
        <v>549</v>
      </c>
      <c r="E1954" s="7"/>
      <c r="F1954" s="166"/>
      <c r="G1954" s="22"/>
    </row>
    <row r="1955" spans="1:7" ht="20.25" customHeight="1">
      <c r="A1955" s="10">
        <v>31853</v>
      </c>
      <c r="B1955" s="10">
        <v>35853</v>
      </c>
      <c r="C1955" s="10">
        <f t="shared" si="30"/>
        <v>31853</v>
      </c>
      <c r="D1955" s="99" t="s">
        <v>549</v>
      </c>
      <c r="E1955" s="7"/>
      <c r="F1955" s="166"/>
      <c r="G1955" s="22"/>
    </row>
    <row r="1956" spans="1:7" ht="20.25" customHeight="1">
      <c r="A1956" s="10">
        <v>31854</v>
      </c>
      <c r="B1956" s="10">
        <v>35854</v>
      </c>
      <c r="C1956" s="10">
        <f t="shared" si="30"/>
        <v>31854</v>
      </c>
      <c r="D1956" s="99" t="s">
        <v>549</v>
      </c>
      <c r="E1956" s="7"/>
      <c r="F1956" s="166"/>
      <c r="G1956" s="22"/>
    </row>
    <row r="1957" spans="1:7" ht="20.25" customHeight="1">
      <c r="A1957" s="10">
        <v>31855</v>
      </c>
      <c r="B1957" s="10">
        <v>35855</v>
      </c>
      <c r="C1957" s="10">
        <f t="shared" si="30"/>
        <v>31855</v>
      </c>
      <c r="D1957" s="99" t="s">
        <v>549</v>
      </c>
      <c r="E1957" s="7"/>
      <c r="F1957" s="166"/>
      <c r="G1957" s="22"/>
    </row>
    <row r="1958" spans="1:7" ht="20.25" customHeight="1">
      <c r="A1958" s="10">
        <v>31856</v>
      </c>
      <c r="B1958" s="10">
        <v>35856</v>
      </c>
      <c r="C1958" s="10">
        <f t="shared" si="30"/>
        <v>31856</v>
      </c>
      <c r="D1958" s="99" t="s">
        <v>549</v>
      </c>
      <c r="E1958" s="7"/>
      <c r="F1958" s="166"/>
      <c r="G1958" s="22"/>
    </row>
    <row r="1959" spans="1:7" ht="20.25" customHeight="1">
      <c r="A1959" s="10">
        <v>31857</v>
      </c>
      <c r="B1959" s="10">
        <v>35857</v>
      </c>
      <c r="C1959" s="10">
        <f t="shared" si="30"/>
        <v>31857</v>
      </c>
      <c r="D1959" s="99" t="s">
        <v>549</v>
      </c>
      <c r="E1959" s="7"/>
      <c r="F1959" s="166"/>
      <c r="G1959" s="22"/>
    </row>
    <row r="1960" spans="1:7" ht="20.25" customHeight="1">
      <c r="A1960" s="10">
        <v>31858</v>
      </c>
      <c r="B1960" s="10">
        <v>35858</v>
      </c>
      <c r="C1960" s="10">
        <f t="shared" si="30"/>
        <v>31858</v>
      </c>
      <c r="D1960" s="99" t="s">
        <v>549</v>
      </c>
      <c r="E1960" s="7"/>
      <c r="F1960" s="166"/>
      <c r="G1960" s="22"/>
    </row>
    <row r="1961" spans="1:7" ht="20.25" customHeight="1">
      <c r="A1961" s="10">
        <v>31859</v>
      </c>
      <c r="B1961" s="10">
        <v>35859</v>
      </c>
      <c r="C1961" s="10">
        <f t="shared" si="30"/>
        <v>31859</v>
      </c>
      <c r="D1961" s="99" t="s">
        <v>549</v>
      </c>
      <c r="E1961" s="7"/>
      <c r="F1961" s="166"/>
      <c r="G1961" s="22"/>
    </row>
    <row r="1962" spans="1:7" ht="20.25" customHeight="1">
      <c r="A1962" s="10">
        <v>31860</v>
      </c>
      <c r="B1962" s="10">
        <v>35860</v>
      </c>
      <c r="C1962" s="10">
        <f t="shared" si="30"/>
        <v>31860</v>
      </c>
      <c r="D1962" s="99" t="s">
        <v>549</v>
      </c>
      <c r="E1962" s="7"/>
      <c r="F1962" s="166"/>
      <c r="G1962" s="22"/>
    </row>
    <row r="1963" spans="1:7" ht="20.25" customHeight="1">
      <c r="A1963" s="10">
        <v>31861</v>
      </c>
      <c r="B1963" s="10">
        <v>35861</v>
      </c>
      <c r="C1963" s="10">
        <f t="shared" si="30"/>
        <v>31861</v>
      </c>
      <c r="D1963" s="99" t="s">
        <v>549</v>
      </c>
      <c r="E1963" s="7"/>
      <c r="F1963" s="166"/>
      <c r="G1963" s="22"/>
    </row>
    <row r="1964" spans="1:7" ht="20.25" customHeight="1">
      <c r="A1964" s="10">
        <v>31862</v>
      </c>
      <c r="B1964" s="10">
        <v>35862</v>
      </c>
      <c r="C1964" s="10">
        <f t="shared" si="30"/>
        <v>31862</v>
      </c>
      <c r="D1964" s="99" t="s">
        <v>549</v>
      </c>
      <c r="E1964" s="7"/>
      <c r="F1964" s="166"/>
      <c r="G1964" s="22"/>
    </row>
    <row r="1965" spans="1:7" ht="20.25" customHeight="1">
      <c r="A1965" s="10">
        <v>31863</v>
      </c>
      <c r="B1965" s="10">
        <v>35863</v>
      </c>
      <c r="C1965" s="10">
        <f t="shared" si="30"/>
        <v>31863</v>
      </c>
      <c r="D1965" s="99" t="s">
        <v>549</v>
      </c>
      <c r="E1965" s="7"/>
      <c r="F1965" s="166"/>
      <c r="G1965" s="22"/>
    </row>
    <row r="1966" spans="1:7" ht="20.25" customHeight="1">
      <c r="A1966" s="10">
        <v>31864</v>
      </c>
      <c r="B1966" s="10">
        <v>35864</v>
      </c>
      <c r="C1966" s="10">
        <f t="shared" si="30"/>
        <v>31864</v>
      </c>
      <c r="D1966" s="99" t="s">
        <v>549</v>
      </c>
      <c r="E1966" s="7"/>
      <c r="F1966" s="166"/>
      <c r="G1966" s="22"/>
    </row>
    <row r="1967" spans="1:7" ht="20.25" customHeight="1">
      <c r="A1967" s="10">
        <v>31865</v>
      </c>
      <c r="B1967" s="10">
        <v>35865</v>
      </c>
      <c r="C1967" s="10">
        <f t="shared" si="30"/>
        <v>31865</v>
      </c>
      <c r="D1967" s="99" t="s">
        <v>549</v>
      </c>
      <c r="E1967" s="7"/>
      <c r="F1967" s="166"/>
      <c r="G1967" s="22"/>
    </row>
    <row r="1968" spans="1:7" ht="20.25" customHeight="1">
      <c r="A1968" s="10">
        <v>31866</v>
      </c>
      <c r="B1968" s="10">
        <v>35866</v>
      </c>
      <c r="C1968" s="10">
        <f t="shared" si="30"/>
        <v>31866</v>
      </c>
      <c r="D1968" s="99" t="s">
        <v>549</v>
      </c>
      <c r="E1968" s="7"/>
      <c r="F1968" s="166"/>
      <c r="G1968" s="22"/>
    </row>
    <row r="1969" spans="1:7" ht="20.25" customHeight="1">
      <c r="A1969" s="10">
        <v>31867</v>
      </c>
      <c r="B1969" s="10">
        <v>35867</v>
      </c>
      <c r="C1969" s="10">
        <f t="shared" si="30"/>
        <v>31867</v>
      </c>
      <c r="D1969" s="99" t="s">
        <v>549</v>
      </c>
      <c r="E1969" s="7"/>
      <c r="F1969" s="166"/>
      <c r="G1969" s="22"/>
    </row>
    <row r="1970" spans="1:7" ht="20.25" customHeight="1">
      <c r="A1970" s="10">
        <v>31868</v>
      </c>
      <c r="B1970" s="10">
        <v>35868</v>
      </c>
      <c r="C1970" s="10">
        <f t="shared" si="30"/>
        <v>31868</v>
      </c>
      <c r="D1970" s="99" t="s">
        <v>549</v>
      </c>
      <c r="E1970" s="7"/>
      <c r="F1970" s="166"/>
      <c r="G1970" s="22"/>
    </row>
    <row r="1971" spans="1:7" ht="20.25" customHeight="1">
      <c r="A1971" s="10">
        <v>31869</v>
      </c>
      <c r="B1971" s="10">
        <v>35869</v>
      </c>
      <c r="C1971" s="10">
        <f t="shared" si="30"/>
        <v>31869</v>
      </c>
      <c r="D1971" s="99" t="s">
        <v>549</v>
      </c>
      <c r="E1971" s="7"/>
      <c r="F1971" s="166"/>
      <c r="G1971" s="22"/>
    </row>
    <row r="1972" spans="1:7" ht="20.25" customHeight="1">
      <c r="A1972" s="10">
        <v>31870</v>
      </c>
      <c r="B1972" s="10">
        <v>35870</v>
      </c>
      <c r="C1972" s="10">
        <f t="shared" si="30"/>
        <v>31870</v>
      </c>
      <c r="D1972" s="99" t="s">
        <v>549</v>
      </c>
      <c r="E1972" s="7"/>
      <c r="F1972" s="166"/>
      <c r="G1972" s="22"/>
    </row>
    <row r="1973" spans="1:7" ht="20.25" customHeight="1">
      <c r="A1973" s="10">
        <v>31871</v>
      </c>
      <c r="B1973" s="10">
        <v>35871</v>
      </c>
      <c r="C1973" s="10">
        <f t="shared" si="30"/>
        <v>31871</v>
      </c>
      <c r="D1973" s="99" t="s">
        <v>549</v>
      </c>
      <c r="E1973" s="7"/>
      <c r="F1973" s="166"/>
      <c r="G1973" s="22"/>
    </row>
    <row r="1974" spans="1:7" ht="20.25" customHeight="1">
      <c r="A1974" s="10">
        <v>31872</v>
      </c>
      <c r="B1974" s="10">
        <v>35872</v>
      </c>
      <c r="C1974" s="10">
        <f t="shared" si="30"/>
        <v>31872</v>
      </c>
      <c r="D1974" s="99" t="s">
        <v>549</v>
      </c>
      <c r="E1974" s="7"/>
      <c r="F1974" s="166"/>
      <c r="G1974" s="22"/>
    </row>
    <row r="1975" spans="1:7" ht="20.25" customHeight="1">
      <c r="A1975" s="10">
        <v>31873</v>
      </c>
      <c r="B1975" s="10">
        <v>35873</v>
      </c>
      <c r="C1975" s="10">
        <f t="shared" si="30"/>
        <v>31873</v>
      </c>
      <c r="D1975" s="99" t="s">
        <v>549</v>
      </c>
      <c r="E1975" s="7"/>
      <c r="F1975" s="166"/>
      <c r="G1975" s="22"/>
    </row>
    <row r="1976" spans="1:7" ht="20.25" customHeight="1">
      <c r="A1976" s="10">
        <v>31874</v>
      </c>
      <c r="B1976" s="10">
        <v>35874</v>
      </c>
      <c r="C1976" s="10">
        <f t="shared" si="30"/>
        <v>31874</v>
      </c>
      <c r="D1976" s="99" t="s">
        <v>549</v>
      </c>
      <c r="E1976" s="7"/>
      <c r="F1976" s="166"/>
      <c r="G1976" s="22"/>
    </row>
    <row r="1977" spans="1:7" ht="20.25" customHeight="1">
      <c r="A1977" s="10">
        <v>31875</v>
      </c>
      <c r="B1977" s="10">
        <v>35875</v>
      </c>
      <c r="C1977" s="10">
        <f t="shared" si="30"/>
        <v>31875</v>
      </c>
      <c r="D1977" s="99" t="s">
        <v>549</v>
      </c>
      <c r="E1977" s="7"/>
      <c r="F1977" s="166"/>
      <c r="G1977" s="22"/>
    </row>
    <row r="1978" spans="1:7" ht="20.25" customHeight="1">
      <c r="A1978" s="10">
        <v>31876</v>
      </c>
      <c r="B1978" s="10">
        <v>35876</v>
      </c>
      <c r="C1978" s="10">
        <f t="shared" si="30"/>
        <v>31876</v>
      </c>
      <c r="D1978" s="99" t="s">
        <v>549</v>
      </c>
      <c r="E1978" s="7"/>
      <c r="F1978" s="166"/>
      <c r="G1978" s="22"/>
    </row>
    <row r="1979" spans="1:7" ht="20.25" customHeight="1">
      <c r="A1979" s="10">
        <v>31877</v>
      </c>
      <c r="B1979" s="10">
        <v>35877</v>
      </c>
      <c r="C1979" s="10">
        <f t="shared" si="30"/>
        <v>31877</v>
      </c>
      <c r="D1979" s="99" t="s">
        <v>549</v>
      </c>
      <c r="E1979" s="7"/>
      <c r="F1979" s="166"/>
      <c r="G1979" s="22"/>
    </row>
    <row r="1980" spans="1:7" ht="20.25" customHeight="1">
      <c r="A1980" s="10">
        <v>31878</v>
      </c>
      <c r="B1980" s="10">
        <v>35878</v>
      </c>
      <c r="C1980" s="10">
        <f t="shared" si="30"/>
        <v>31878</v>
      </c>
      <c r="D1980" s="99" t="s">
        <v>549</v>
      </c>
      <c r="E1980" s="7"/>
      <c r="F1980" s="166"/>
      <c r="G1980" s="22"/>
    </row>
    <row r="1981" spans="1:7" ht="20.25" customHeight="1">
      <c r="A1981" s="10">
        <v>31879</v>
      </c>
      <c r="B1981" s="10">
        <v>35879</v>
      </c>
      <c r="C1981" s="10">
        <f t="shared" si="30"/>
        <v>31879</v>
      </c>
      <c r="D1981" s="99" t="s">
        <v>549</v>
      </c>
      <c r="E1981" s="7"/>
      <c r="F1981" s="166"/>
      <c r="G1981" s="22"/>
    </row>
    <row r="1982" spans="1:7" ht="20.25" customHeight="1">
      <c r="A1982" s="10">
        <v>31880</v>
      </c>
      <c r="B1982" s="10">
        <v>35880</v>
      </c>
      <c r="C1982" s="10">
        <f t="shared" si="30"/>
        <v>31880</v>
      </c>
      <c r="D1982" s="99" t="s">
        <v>549</v>
      </c>
      <c r="E1982" s="7"/>
      <c r="F1982" s="166"/>
      <c r="G1982" s="22"/>
    </row>
    <row r="1983" spans="1:7" ht="20.25" customHeight="1">
      <c r="A1983" s="10">
        <v>31881</v>
      </c>
      <c r="B1983" s="10">
        <v>35881</v>
      </c>
      <c r="C1983" s="10">
        <f t="shared" si="30"/>
        <v>31881</v>
      </c>
      <c r="D1983" s="99" t="s">
        <v>549</v>
      </c>
      <c r="E1983" s="7"/>
      <c r="F1983" s="166"/>
      <c r="G1983" s="22"/>
    </row>
    <row r="1984" spans="1:7" ht="20.25" customHeight="1">
      <c r="A1984" s="10">
        <v>31882</v>
      </c>
      <c r="B1984" s="10">
        <v>35882</v>
      </c>
      <c r="C1984" s="10">
        <f t="shared" si="30"/>
        <v>31882</v>
      </c>
      <c r="D1984" s="99" t="s">
        <v>549</v>
      </c>
      <c r="E1984" s="7"/>
      <c r="F1984" s="166"/>
      <c r="G1984" s="22"/>
    </row>
    <row r="1985" spans="1:7" ht="20.25" customHeight="1">
      <c r="A1985" s="10">
        <v>31883</v>
      </c>
      <c r="B1985" s="10">
        <v>35883</v>
      </c>
      <c r="C1985" s="10">
        <f t="shared" si="30"/>
        <v>31883</v>
      </c>
      <c r="D1985" s="99" t="s">
        <v>549</v>
      </c>
      <c r="E1985" s="7"/>
      <c r="F1985" s="166"/>
      <c r="G1985" s="22"/>
    </row>
    <row r="1986" spans="1:7" ht="20.25" customHeight="1">
      <c r="A1986" s="10">
        <v>31884</v>
      </c>
      <c r="B1986" s="10">
        <v>35884</v>
      </c>
      <c r="C1986" s="10">
        <f t="shared" si="30"/>
        <v>31884</v>
      </c>
      <c r="D1986" s="99" t="s">
        <v>549</v>
      </c>
      <c r="E1986" s="7"/>
      <c r="F1986" s="166"/>
      <c r="G1986" s="22"/>
    </row>
    <row r="1987" spans="1:7" ht="20.25" customHeight="1">
      <c r="A1987" s="10">
        <v>31885</v>
      </c>
      <c r="B1987" s="10">
        <v>35885</v>
      </c>
      <c r="C1987" s="10">
        <f t="shared" si="30"/>
        <v>31885</v>
      </c>
      <c r="D1987" s="99" t="s">
        <v>549</v>
      </c>
      <c r="E1987" s="7"/>
      <c r="F1987" s="166"/>
      <c r="G1987" s="22"/>
    </row>
    <row r="1988" spans="1:7" ht="20.25" customHeight="1">
      <c r="A1988" s="10">
        <v>31886</v>
      </c>
      <c r="B1988" s="10">
        <v>35886</v>
      </c>
      <c r="C1988" s="10">
        <f t="shared" si="30"/>
        <v>31886</v>
      </c>
      <c r="D1988" s="99" t="s">
        <v>549</v>
      </c>
      <c r="E1988" s="7"/>
      <c r="F1988" s="166"/>
      <c r="G1988" s="22"/>
    </row>
    <row r="1989" spans="1:7" ht="20.25" customHeight="1">
      <c r="A1989" s="10">
        <v>31887</v>
      </c>
      <c r="B1989" s="10">
        <v>35887</v>
      </c>
      <c r="C1989" s="10">
        <f t="shared" ref="C1989:C2052" si="31">IF(ISERROR(FIND("B_Epic",E1989)),A1989,A1989+10000)</f>
        <v>31887</v>
      </c>
      <c r="D1989" s="99" t="s">
        <v>549</v>
      </c>
      <c r="E1989" s="7"/>
      <c r="F1989" s="166"/>
      <c r="G1989" s="22"/>
    </row>
    <row r="1990" spans="1:7" ht="20.25" customHeight="1">
      <c r="A1990" s="10">
        <v>31888</v>
      </c>
      <c r="B1990" s="10">
        <v>35888</v>
      </c>
      <c r="C1990" s="10">
        <f t="shared" si="31"/>
        <v>31888</v>
      </c>
      <c r="D1990" s="99" t="s">
        <v>549</v>
      </c>
      <c r="E1990" s="7"/>
      <c r="F1990" s="166"/>
      <c r="G1990" s="22"/>
    </row>
    <row r="1991" spans="1:7" ht="20.25" customHeight="1">
      <c r="A1991" s="10">
        <v>31889</v>
      </c>
      <c r="B1991" s="10">
        <v>35889</v>
      </c>
      <c r="C1991" s="10">
        <f t="shared" si="31"/>
        <v>31889</v>
      </c>
      <c r="D1991" s="99" t="s">
        <v>549</v>
      </c>
      <c r="E1991" s="7"/>
      <c r="F1991" s="166"/>
      <c r="G1991" s="22"/>
    </row>
    <row r="1992" spans="1:7" ht="20.25" customHeight="1">
      <c r="A1992" s="10">
        <v>31890</v>
      </c>
      <c r="B1992" s="10">
        <v>35890</v>
      </c>
      <c r="C1992" s="10">
        <f t="shared" si="31"/>
        <v>31890</v>
      </c>
      <c r="D1992" s="99" t="s">
        <v>549</v>
      </c>
      <c r="E1992" s="7"/>
      <c r="F1992" s="166"/>
      <c r="G1992" s="22"/>
    </row>
    <row r="1993" spans="1:7" ht="20.25" customHeight="1">
      <c r="A1993" s="10">
        <v>31891</v>
      </c>
      <c r="B1993" s="10">
        <v>35891</v>
      </c>
      <c r="C1993" s="10">
        <f t="shared" si="31"/>
        <v>31891</v>
      </c>
      <c r="D1993" s="99" t="s">
        <v>549</v>
      </c>
      <c r="E1993" s="7"/>
      <c r="F1993" s="166"/>
      <c r="G1993" s="22"/>
    </row>
    <row r="1994" spans="1:7" ht="20.25" customHeight="1">
      <c r="A1994" s="10">
        <v>31892</v>
      </c>
      <c r="B1994" s="10">
        <v>35892</v>
      </c>
      <c r="C1994" s="10">
        <f t="shared" si="31"/>
        <v>31892</v>
      </c>
      <c r="D1994" s="99" t="s">
        <v>549</v>
      </c>
      <c r="E1994" s="7"/>
      <c r="F1994" s="166"/>
      <c r="G1994" s="22"/>
    </row>
    <row r="1995" spans="1:7" ht="20.25" customHeight="1">
      <c r="A1995" s="10">
        <v>31893</v>
      </c>
      <c r="B1995" s="10">
        <v>35893</v>
      </c>
      <c r="C1995" s="10">
        <f t="shared" si="31"/>
        <v>31893</v>
      </c>
      <c r="D1995" s="99" t="s">
        <v>549</v>
      </c>
      <c r="E1995" s="7"/>
      <c r="F1995" s="166"/>
      <c r="G1995" s="22"/>
    </row>
    <row r="1996" spans="1:7" ht="20.25" customHeight="1">
      <c r="A1996" s="10">
        <v>31894</v>
      </c>
      <c r="B1996" s="10">
        <v>35894</v>
      </c>
      <c r="C1996" s="10">
        <f t="shared" si="31"/>
        <v>31894</v>
      </c>
      <c r="D1996" s="99" t="s">
        <v>549</v>
      </c>
      <c r="E1996" s="7"/>
      <c r="F1996" s="166"/>
      <c r="G1996" s="22"/>
    </row>
    <row r="1997" spans="1:7" ht="20.25" customHeight="1">
      <c r="A1997" s="10">
        <v>31895</v>
      </c>
      <c r="B1997" s="10">
        <v>35895</v>
      </c>
      <c r="C1997" s="10">
        <f t="shared" si="31"/>
        <v>31895</v>
      </c>
      <c r="D1997" s="99" t="s">
        <v>549</v>
      </c>
      <c r="E1997" s="7"/>
      <c r="F1997" s="166"/>
      <c r="G1997" s="22"/>
    </row>
    <row r="1998" spans="1:7" ht="20.25" customHeight="1">
      <c r="A1998" s="10">
        <v>31896</v>
      </c>
      <c r="B1998" s="10">
        <v>35896</v>
      </c>
      <c r="C1998" s="10">
        <f t="shared" si="31"/>
        <v>31896</v>
      </c>
      <c r="D1998" s="99" t="s">
        <v>549</v>
      </c>
      <c r="E1998" s="7"/>
      <c r="F1998" s="166"/>
      <c r="G1998" s="22"/>
    </row>
    <row r="1999" spans="1:7" ht="20.25" customHeight="1">
      <c r="A1999" s="10">
        <v>31897</v>
      </c>
      <c r="B1999" s="10">
        <v>35897</v>
      </c>
      <c r="C1999" s="10">
        <f t="shared" si="31"/>
        <v>31897</v>
      </c>
      <c r="D1999" s="99" t="s">
        <v>549</v>
      </c>
      <c r="E1999" s="7"/>
      <c r="F1999" s="166"/>
      <c r="G1999" s="22"/>
    </row>
    <row r="2000" spans="1:7" ht="20.25" customHeight="1">
      <c r="A2000" s="10">
        <v>31898</v>
      </c>
      <c r="B2000" s="10">
        <v>35898</v>
      </c>
      <c r="C2000" s="10">
        <f t="shared" si="31"/>
        <v>31898</v>
      </c>
      <c r="D2000" s="99" t="s">
        <v>549</v>
      </c>
      <c r="E2000" s="7"/>
      <c r="F2000" s="166"/>
      <c r="G2000" s="22"/>
    </row>
    <row r="2001" spans="1:7" ht="20.25" customHeight="1">
      <c r="A2001" s="10">
        <v>31899</v>
      </c>
      <c r="B2001" s="10">
        <v>35899</v>
      </c>
      <c r="C2001" s="10">
        <f t="shared" si="31"/>
        <v>31899</v>
      </c>
      <c r="D2001" s="99" t="s">
        <v>549</v>
      </c>
      <c r="E2001" s="7"/>
      <c r="F2001" s="166"/>
      <c r="G2001" s="22"/>
    </row>
    <row r="2002" spans="1:7" ht="20.25" customHeight="1">
      <c r="A2002" s="10">
        <v>31900</v>
      </c>
      <c r="B2002" s="10">
        <v>35900</v>
      </c>
      <c r="C2002" s="10">
        <f t="shared" si="31"/>
        <v>31900</v>
      </c>
      <c r="D2002" s="99" t="s">
        <v>549</v>
      </c>
      <c r="E2002" s="7"/>
      <c r="F2002" s="166"/>
      <c r="G2002" s="22"/>
    </row>
    <row r="2003" spans="1:7" ht="20.25" customHeight="1">
      <c r="A2003" s="10">
        <v>31901</v>
      </c>
      <c r="B2003" s="10">
        <v>35901</v>
      </c>
      <c r="C2003" s="10">
        <f t="shared" si="31"/>
        <v>31901</v>
      </c>
      <c r="D2003" s="99" t="s">
        <v>549</v>
      </c>
      <c r="E2003" s="7"/>
      <c r="F2003" s="166"/>
      <c r="G2003" s="22"/>
    </row>
    <row r="2004" spans="1:7" ht="20.25" customHeight="1">
      <c r="A2004" s="10">
        <v>31902</v>
      </c>
      <c r="B2004" s="10">
        <v>35902</v>
      </c>
      <c r="C2004" s="10">
        <f t="shared" si="31"/>
        <v>31902</v>
      </c>
      <c r="D2004" s="99" t="s">
        <v>549</v>
      </c>
      <c r="E2004" s="7"/>
      <c r="F2004" s="166"/>
      <c r="G2004" s="22"/>
    </row>
    <row r="2005" spans="1:7" ht="20.25" customHeight="1">
      <c r="A2005" s="10">
        <v>31903</v>
      </c>
      <c r="B2005" s="10">
        <v>35903</v>
      </c>
      <c r="C2005" s="10">
        <f t="shared" si="31"/>
        <v>31903</v>
      </c>
      <c r="D2005" s="99" t="s">
        <v>549</v>
      </c>
      <c r="E2005" s="7"/>
      <c r="F2005" s="166"/>
      <c r="G2005" s="22"/>
    </row>
    <row r="2006" spans="1:7" ht="20.25" customHeight="1">
      <c r="A2006" s="10">
        <v>31904</v>
      </c>
      <c r="B2006" s="10">
        <v>35904</v>
      </c>
      <c r="C2006" s="10">
        <f t="shared" si="31"/>
        <v>31904</v>
      </c>
      <c r="D2006" s="99" t="s">
        <v>549</v>
      </c>
      <c r="E2006" s="7"/>
      <c r="F2006" s="166"/>
      <c r="G2006" s="22"/>
    </row>
    <row r="2007" spans="1:7" ht="20.25" customHeight="1">
      <c r="A2007" s="10">
        <v>31905</v>
      </c>
      <c r="B2007" s="10">
        <v>35905</v>
      </c>
      <c r="C2007" s="10">
        <f t="shared" si="31"/>
        <v>31905</v>
      </c>
      <c r="D2007" s="99" t="s">
        <v>549</v>
      </c>
      <c r="E2007" s="7"/>
      <c r="F2007" s="166"/>
      <c r="G2007" s="22"/>
    </row>
    <row r="2008" spans="1:7" ht="20.25" customHeight="1">
      <c r="A2008" s="10">
        <v>31906</v>
      </c>
      <c r="B2008" s="10">
        <v>35906</v>
      </c>
      <c r="C2008" s="10">
        <f t="shared" si="31"/>
        <v>31906</v>
      </c>
      <c r="D2008" s="99" t="s">
        <v>549</v>
      </c>
      <c r="E2008" s="7"/>
      <c r="F2008" s="166"/>
      <c r="G2008" s="22"/>
    </row>
    <row r="2009" spans="1:7" ht="20.25" customHeight="1">
      <c r="A2009" s="10">
        <v>31907</v>
      </c>
      <c r="B2009" s="10">
        <v>35907</v>
      </c>
      <c r="C2009" s="10">
        <f t="shared" si="31"/>
        <v>31907</v>
      </c>
      <c r="D2009" s="99" t="s">
        <v>549</v>
      </c>
      <c r="E2009" s="7"/>
      <c r="F2009" s="166"/>
      <c r="G2009" s="22"/>
    </row>
    <row r="2010" spans="1:7" ht="20.25" customHeight="1">
      <c r="A2010" s="10">
        <v>31908</v>
      </c>
      <c r="B2010" s="10">
        <v>35908</v>
      </c>
      <c r="C2010" s="10">
        <f t="shared" si="31"/>
        <v>31908</v>
      </c>
      <c r="D2010" s="99" t="s">
        <v>549</v>
      </c>
      <c r="E2010" s="7"/>
      <c r="F2010" s="166"/>
      <c r="G2010" s="22"/>
    </row>
    <row r="2011" spans="1:7" ht="20.25" customHeight="1">
      <c r="A2011" s="10">
        <v>31909</v>
      </c>
      <c r="B2011" s="10">
        <v>35909</v>
      </c>
      <c r="C2011" s="10">
        <f t="shared" si="31"/>
        <v>31909</v>
      </c>
      <c r="D2011" s="99" t="s">
        <v>549</v>
      </c>
      <c r="E2011" s="7"/>
      <c r="F2011" s="166"/>
      <c r="G2011" s="22"/>
    </row>
    <row r="2012" spans="1:7" ht="20.25" customHeight="1">
      <c r="A2012" s="10">
        <v>31910</v>
      </c>
      <c r="B2012" s="10">
        <v>35910</v>
      </c>
      <c r="C2012" s="10">
        <f t="shared" si="31"/>
        <v>31910</v>
      </c>
      <c r="D2012" s="99" t="s">
        <v>549</v>
      </c>
      <c r="E2012" s="7"/>
      <c r="F2012" s="166"/>
      <c r="G2012" s="22"/>
    </row>
    <row r="2013" spans="1:7" ht="20.25" customHeight="1">
      <c r="A2013" s="10">
        <v>31911</v>
      </c>
      <c r="B2013" s="10">
        <v>35911</v>
      </c>
      <c r="C2013" s="10">
        <f t="shared" si="31"/>
        <v>31911</v>
      </c>
      <c r="D2013" s="99" t="s">
        <v>549</v>
      </c>
      <c r="E2013" s="7"/>
      <c r="F2013" s="166"/>
      <c r="G2013" s="22"/>
    </row>
    <row r="2014" spans="1:7" ht="20.25" customHeight="1">
      <c r="A2014" s="10">
        <v>31912</v>
      </c>
      <c r="B2014" s="10">
        <v>35912</v>
      </c>
      <c r="C2014" s="10">
        <f t="shared" si="31"/>
        <v>31912</v>
      </c>
      <c r="D2014" s="99" t="s">
        <v>549</v>
      </c>
      <c r="E2014" s="7"/>
      <c r="F2014" s="166"/>
      <c r="G2014" s="22"/>
    </row>
    <row r="2015" spans="1:7" ht="20.25" customHeight="1">
      <c r="A2015" s="10">
        <v>31913</v>
      </c>
      <c r="B2015" s="10">
        <v>35913</v>
      </c>
      <c r="C2015" s="10">
        <f t="shared" si="31"/>
        <v>31913</v>
      </c>
      <c r="D2015" s="99" t="s">
        <v>549</v>
      </c>
      <c r="E2015" s="7"/>
      <c r="F2015" s="166"/>
      <c r="G2015" s="22"/>
    </row>
    <row r="2016" spans="1:7" ht="20.25" customHeight="1">
      <c r="A2016" s="10">
        <v>31914</v>
      </c>
      <c r="B2016" s="10">
        <v>35914</v>
      </c>
      <c r="C2016" s="10">
        <f t="shared" si="31"/>
        <v>31914</v>
      </c>
      <c r="D2016" s="99" t="s">
        <v>549</v>
      </c>
      <c r="E2016" s="7"/>
      <c r="F2016" s="166"/>
      <c r="G2016" s="22"/>
    </row>
    <row r="2017" spans="1:7" ht="20.25" customHeight="1">
      <c r="A2017" s="10">
        <v>31915</v>
      </c>
      <c r="B2017" s="10">
        <v>35915</v>
      </c>
      <c r="C2017" s="10">
        <f t="shared" si="31"/>
        <v>31915</v>
      </c>
      <c r="D2017" s="99" t="s">
        <v>549</v>
      </c>
      <c r="E2017" s="7"/>
      <c r="F2017" s="166"/>
      <c r="G2017" s="22"/>
    </row>
    <row r="2018" spans="1:7" ht="20.25" customHeight="1">
      <c r="A2018" s="10">
        <v>31916</v>
      </c>
      <c r="B2018" s="10">
        <v>35916</v>
      </c>
      <c r="C2018" s="10">
        <f t="shared" si="31"/>
        <v>31916</v>
      </c>
      <c r="D2018" s="99" t="s">
        <v>549</v>
      </c>
      <c r="E2018" s="7"/>
      <c r="F2018" s="166"/>
      <c r="G2018" s="22"/>
    </row>
    <row r="2019" spans="1:7" ht="20.25" customHeight="1">
      <c r="A2019" s="10">
        <v>31917</v>
      </c>
      <c r="B2019" s="10">
        <v>35917</v>
      </c>
      <c r="C2019" s="10">
        <f t="shared" si="31"/>
        <v>31917</v>
      </c>
      <c r="D2019" s="99" t="s">
        <v>549</v>
      </c>
      <c r="E2019" s="7"/>
      <c r="F2019" s="166"/>
      <c r="G2019" s="22"/>
    </row>
    <row r="2020" spans="1:7" ht="20.25" customHeight="1">
      <c r="A2020" s="10">
        <v>31918</v>
      </c>
      <c r="B2020" s="10">
        <v>35918</v>
      </c>
      <c r="C2020" s="10">
        <f t="shared" si="31"/>
        <v>31918</v>
      </c>
      <c r="D2020" s="99" t="s">
        <v>549</v>
      </c>
      <c r="E2020" s="7"/>
      <c r="F2020" s="166"/>
      <c r="G2020" s="22"/>
    </row>
    <row r="2021" spans="1:7" ht="20.25" customHeight="1">
      <c r="A2021" s="10">
        <v>31919</v>
      </c>
      <c r="B2021" s="10">
        <v>35919</v>
      </c>
      <c r="C2021" s="10">
        <f t="shared" si="31"/>
        <v>31919</v>
      </c>
      <c r="D2021" s="99" t="s">
        <v>549</v>
      </c>
      <c r="E2021" s="7"/>
      <c r="F2021" s="166"/>
      <c r="G2021" s="22"/>
    </row>
    <row r="2022" spans="1:7" ht="20.25" customHeight="1">
      <c r="A2022" s="10">
        <v>31920</v>
      </c>
      <c r="B2022" s="10">
        <v>35920</v>
      </c>
      <c r="C2022" s="10">
        <f t="shared" si="31"/>
        <v>31920</v>
      </c>
      <c r="D2022" s="99" t="s">
        <v>549</v>
      </c>
      <c r="E2022" s="7"/>
      <c r="F2022" s="166"/>
      <c r="G2022" s="22"/>
    </row>
    <row r="2023" spans="1:7" ht="20.25" customHeight="1">
      <c r="A2023" s="10">
        <v>31921</v>
      </c>
      <c r="B2023" s="10">
        <v>35921</v>
      </c>
      <c r="C2023" s="10">
        <f t="shared" si="31"/>
        <v>31921</v>
      </c>
      <c r="D2023" s="99" t="s">
        <v>549</v>
      </c>
      <c r="E2023" s="7"/>
      <c r="F2023" s="166"/>
      <c r="G2023" s="22"/>
    </row>
    <row r="2024" spans="1:7" ht="20.25" customHeight="1">
      <c r="A2024" s="10">
        <v>31922</v>
      </c>
      <c r="B2024" s="10">
        <v>35922</v>
      </c>
      <c r="C2024" s="10">
        <f t="shared" si="31"/>
        <v>31922</v>
      </c>
      <c r="D2024" s="99" t="s">
        <v>549</v>
      </c>
      <c r="E2024" s="7"/>
      <c r="F2024" s="166"/>
      <c r="G2024" s="22"/>
    </row>
    <row r="2025" spans="1:7" ht="20.25" customHeight="1">
      <c r="A2025" s="10">
        <v>31923</v>
      </c>
      <c r="B2025" s="10">
        <v>35923</v>
      </c>
      <c r="C2025" s="10">
        <f t="shared" si="31"/>
        <v>31923</v>
      </c>
      <c r="D2025" s="99" t="s">
        <v>549</v>
      </c>
      <c r="E2025" s="7"/>
      <c r="F2025" s="166"/>
      <c r="G2025" s="22"/>
    </row>
    <row r="2026" spans="1:7" ht="20.25" customHeight="1">
      <c r="A2026" s="10">
        <v>31924</v>
      </c>
      <c r="B2026" s="10">
        <v>35924</v>
      </c>
      <c r="C2026" s="10">
        <f t="shared" si="31"/>
        <v>31924</v>
      </c>
      <c r="D2026" s="99" t="s">
        <v>549</v>
      </c>
      <c r="E2026" s="7"/>
      <c r="F2026" s="166"/>
      <c r="G2026" s="22"/>
    </row>
    <row r="2027" spans="1:7" ht="20.25" customHeight="1">
      <c r="A2027" s="10">
        <v>31925</v>
      </c>
      <c r="B2027" s="10">
        <v>35925</v>
      </c>
      <c r="C2027" s="10">
        <f t="shared" si="31"/>
        <v>31925</v>
      </c>
      <c r="D2027" s="99" t="s">
        <v>549</v>
      </c>
      <c r="E2027" s="7"/>
      <c r="F2027" s="166"/>
      <c r="G2027" s="22"/>
    </row>
    <row r="2028" spans="1:7" ht="20.25" customHeight="1">
      <c r="A2028" s="10">
        <v>31926</v>
      </c>
      <c r="B2028" s="10">
        <v>35926</v>
      </c>
      <c r="C2028" s="10">
        <f t="shared" si="31"/>
        <v>31926</v>
      </c>
      <c r="D2028" s="99" t="s">
        <v>549</v>
      </c>
      <c r="E2028" s="7"/>
      <c r="F2028" s="166"/>
      <c r="G2028" s="22"/>
    </row>
    <row r="2029" spans="1:7" ht="20.25" customHeight="1">
      <c r="A2029" s="10">
        <v>31927</v>
      </c>
      <c r="B2029" s="10">
        <v>35927</v>
      </c>
      <c r="C2029" s="10">
        <f t="shared" si="31"/>
        <v>31927</v>
      </c>
      <c r="D2029" s="99" t="s">
        <v>549</v>
      </c>
      <c r="E2029" s="7"/>
      <c r="F2029" s="166"/>
      <c r="G2029" s="22"/>
    </row>
    <row r="2030" spans="1:7" ht="20.25" customHeight="1">
      <c r="A2030" s="10">
        <v>31928</v>
      </c>
      <c r="B2030" s="10">
        <v>35928</v>
      </c>
      <c r="C2030" s="10">
        <f t="shared" si="31"/>
        <v>31928</v>
      </c>
      <c r="D2030" s="99" t="s">
        <v>549</v>
      </c>
      <c r="E2030" s="7"/>
      <c r="F2030" s="166"/>
      <c r="G2030" s="22"/>
    </row>
    <row r="2031" spans="1:7" ht="20.25" customHeight="1">
      <c r="A2031" s="10">
        <v>31929</v>
      </c>
      <c r="B2031" s="10">
        <v>35929</v>
      </c>
      <c r="C2031" s="10">
        <f t="shared" si="31"/>
        <v>31929</v>
      </c>
      <c r="D2031" s="99" t="s">
        <v>549</v>
      </c>
      <c r="E2031" s="7"/>
      <c r="F2031" s="166"/>
      <c r="G2031" s="22"/>
    </row>
    <row r="2032" spans="1:7" ht="20.25" customHeight="1">
      <c r="A2032" s="10">
        <v>31930</v>
      </c>
      <c r="B2032" s="10">
        <v>35930</v>
      </c>
      <c r="C2032" s="10">
        <f t="shared" si="31"/>
        <v>31930</v>
      </c>
      <c r="D2032" s="99" t="s">
        <v>549</v>
      </c>
      <c r="E2032" s="7"/>
      <c r="F2032" s="166"/>
      <c r="G2032" s="22"/>
    </row>
    <row r="2033" spans="1:7" ht="20.25" customHeight="1">
      <c r="A2033" s="10">
        <v>31931</v>
      </c>
      <c r="B2033" s="10">
        <v>35931</v>
      </c>
      <c r="C2033" s="10">
        <f t="shared" si="31"/>
        <v>31931</v>
      </c>
      <c r="D2033" s="99" t="s">
        <v>549</v>
      </c>
      <c r="E2033" s="7"/>
      <c r="F2033" s="166"/>
      <c r="G2033" s="22"/>
    </row>
    <row r="2034" spans="1:7" ht="20.25" customHeight="1">
      <c r="A2034" s="10">
        <v>31932</v>
      </c>
      <c r="B2034" s="10">
        <v>35932</v>
      </c>
      <c r="C2034" s="10">
        <f t="shared" si="31"/>
        <v>31932</v>
      </c>
      <c r="D2034" s="99" t="s">
        <v>549</v>
      </c>
      <c r="E2034" s="7"/>
      <c r="F2034" s="166"/>
      <c r="G2034" s="22"/>
    </row>
    <row r="2035" spans="1:7" ht="20.25" customHeight="1">
      <c r="A2035" s="10">
        <v>31933</v>
      </c>
      <c r="B2035" s="10">
        <v>35933</v>
      </c>
      <c r="C2035" s="10">
        <f t="shared" si="31"/>
        <v>31933</v>
      </c>
      <c r="D2035" s="99" t="s">
        <v>549</v>
      </c>
      <c r="E2035" s="7"/>
      <c r="F2035" s="166"/>
      <c r="G2035" s="22"/>
    </row>
    <row r="2036" spans="1:7" ht="20.25" customHeight="1">
      <c r="A2036" s="10">
        <v>31934</v>
      </c>
      <c r="B2036" s="10">
        <v>35934</v>
      </c>
      <c r="C2036" s="10">
        <f t="shared" si="31"/>
        <v>31934</v>
      </c>
      <c r="D2036" s="99" t="s">
        <v>549</v>
      </c>
      <c r="E2036" s="7"/>
      <c r="F2036" s="166"/>
      <c r="G2036" s="22"/>
    </row>
    <row r="2037" spans="1:7" ht="20.25" customHeight="1">
      <c r="A2037" s="10">
        <v>31935</v>
      </c>
      <c r="B2037" s="10">
        <v>35935</v>
      </c>
      <c r="C2037" s="10">
        <f t="shared" si="31"/>
        <v>31935</v>
      </c>
      <c r="D2037" s="99" t="s">
        <v>549</v>
      </c>
      <c r="E2037" s="7"/>
      <c r="F2037" s="166"/>
      <c r="G2037" s="22"/>
    </row>
    <row r="2038" spans="1:7" ht="20.25" customHeight="1">
      <c r="A2038" s="10">
        <v>31936</v>
      </c>
      <c r="B2038" s="10">
        <v>35936</v>
      </c>
      <c r="C2038" s="10">
        <f t="shared" si="31"/>
        <v>31936</v>
      </c>
      <c r="D2038" s="99" t="s">
        <v>549</v>
      </c>
      <c r="E2038" s="7"/>
      <c r="F2038" s="166"/>
      <c r="G2038" s="22"/>
    </row>
    <row r="2039" spans="1:7" ht="20.25" customHeight="1">
      <c r="A2039" s="10">
        <v>31937</v>
      </c>
      <c r="B2039" s="10">
        <v>35937</v>
      </c>
      <c r="C2039" s="10">
        <f t="shared" si="31"/>
        <v>31937</v>
      </c>
      <c r="D2039" s="99" t="s">
        <v>549</v>
      </c>
      <c r="E2039" s="7"/>
      <c r="F2039" s="166"/>
      <c r="G2039" s="22"/>
    </row>
    <row r="2040" spans="1:7" ht="20.25" customHeight="1">
      <c r="A2040" s="10">
        <v>31938</v>
      </c>
      <c r="B2040" s="10">
        <v>35938</v>
      </c>
      <c r="C2040" s="10">
        <f t="shared" si="31"/>
        <v>31938</v>
      </c>
      <c r="D2040" s="99" t="s">
        <v>549</v>
      </c>
      <c r="E2040" s="7"/>
      <c r="F2040" s="166"/>
      <c r="G2040" s="22"/>
    </row>
    <row r="2041" spans="1:7" ht="20.25" customHeight="1">
      <c r="A2041" s="10">
        <v>31939</v>
      </c>
      <c r="B2041" s="10">
        <v>35939</v>
      </c>
      <c r="C2041" s="10">
        <f t="shared" si="31"/>
        <v>31939</v>
      </c>
      <c r="D2041" s="99" t="s">
        <v>549</v>
      </c>
      <c r="E2041" s="7"/>
      <c r="F2041" s="166"/>
      <c r="G2041" s="22"/>
    </row>
    <row r="2042" spans="1:7" ht="20.25" customHeight="1">
      <c r="A2042" s="10">
        <v>31940</v>
      </c>
      <c r="B2042" s="10">
        <v>35940</v>
      </c>
      <c r="C2042" s="10">
        <f t="shared" si="31"/>
        <v>31940</v>
      </c>
      <c r="D2042" s="99" t="s">
        <v>549</v>
      </c>
      <c r="E2042" s="7"/>
      <c r="F2042" s="166"/>
      <c r="G2042" s="22"/>
    </row>
    <row r="2043" spans="1:7" ht="20.25" customHeight="1">
      <c r="A2043" s="10">
        <v>31941</v>
      </c>
      <c r="B2043" s="10">
        <v>35941</v>
      </c>
      <c r="C2043" s="10">
        <f t="shared" si="31"/>
        <v>31941</v>
      </c>
      <c r="D2043" s="99" t="s">
        <v>549</v>
      </c>
      <c r="E2043" s="7"/>
      <c r="F2043" s="166"/>
      <c r="G2043" s="22"/>
    </row>
    <row r="2044" spans="1:7" ht="20.25" customHeight="1">
      <c r="A2044" s="10">
        <v>31942</v>
      </c>
      <c r="B2044" s="10">
        <v>35942</v>
      </c>
      <c r="C2044" s="10">
        <f t="shared" si="31"/>
        <v>31942</v>
      </c>
      <c r="D2044" s="99" t="s">
        <v>549</v>
      </c>
      <c r="E2044" s="7"/>
      <c r="F2044" s="166"/>
      <c r="G2044" s="22"/>
    </row>
    <row r="2045" spans="1:7" ht="20.25" customHeight="1">
      <c r="A2045" s="10">
        <v>31943</v>
      </c>
      <c r="B2045" s="10">
        <v>35943</v>
      </c>
      <c r="C2045" s="10">
        <f t="shared" si="31"/>
        <v>31943</v>
      </c>
      <c r="D2045" s="99" t="s">
        <v>549</v>
      </c>
      <c r="E2045" s="7"/>
      <c r="F2045" s="166"/>
      <c r="G2045" s="22"/>
    </row>
    <row r="2046" spans="1:7" ht="20.25" customHeight="1">
      <c r="A2046" s="10">
        <v>31944</v>
      </c>
      <c r="B2046" s="10">
        <v>35944</v>
      </c>
      <c r="C2046" s="10">
        <f t="shared" si="31"/>
        <v>31944</v>
      </c>
      <c r="D2046" s="99" t="s">
        <v>549</v>
      </c>
      <c r="E2046" s="7"/>
      <c r="F2046" s="166"/>
      <c r="G2046" s="22"/>
    </row>
    <row r="2047" spans="1:7" ht="20.25" customHeight="1">
      <c r="A2047" s="10">
        <v>31945</v>
      </c>
      <c r="B2047" s="10">
        <v>35945</v>
      </c>
      <c r="C2047" s="10">
        <f t="shared" si="31"/>
        <v>31945</v>
      </c>
      <c r="D2047" s="99" t="s">
        <v>549</v>
      </c>
      <c r="E2047" s="7"/>
      <c r="F2047" s="166"/>
      <c r="G2047" s="22"/>
    </row>
    <row r="2048" spans="1:7" ht="20.25" customHeight="1">
      <c r="A2048" s="10">
        <v>31946</v>
      </c>
      <c r="B2048" s="10">
        <v>35946</v>
      </c>
      <c r="C2048" s="10">
        <f t="shared" si="31"/>
        <v>31946</v>
      </c>
      <c r="D2048" s="99" t="s">
        <v>549</v>
      </c>
      <c r="E2048" s="7"/>
      <c r="F2048" s="166"/>
      <c r="G2048" s="22"/>
    </row>
    <row r="2049" spans="1:7" ht="20.25" customHeight="1">
      <c r="A2049" s="10">
        <v>31947</v>
      </c>
      <c r="B2049" s="10">
        <v>35947</v>
      </c>
      <c r="C2049" s="10">
        <f t="shared" si="31"/>
        <v>31947</v>
      </c>
      <c r="D2049" s="99" t="s">
        <v>549</v>
      </c>
      <c r="E2049" s="7"/>
      <c r="F2049" s="166"/>
      <c r="G2049" s="22"/>
    </row>
    <row r="2050" spans="1:7" ht="20.25" customHeight="1">
      <c r="A2050" s="10">
        <v>31948</v>
      </c>
      <c r="B2050" s="10">
        <v>35948</v>
      </c>
      <c r="C2050" s="10">
        <f t="shared" si="31"/>
        <v>31948</v>
      </c>
      <c r="D2050" s="99" t="s">
        <v>549</v>
      </c>
      <c r="E2050" s="7"/>
      <c r="F2050" s="166"/>
      <c r="G2050" s="22"/>
    </row>
    <row r="2051" spans="1:7" ht="20.25" customHeight="1">
      <c r="A2051" s="10">
        <v>31949</v>
      </c>
      <c r="B2051" s="10">
        <v>35949</v>
      </c>
      <c r="C2051" s="10">
        <f t="shared" si="31"/>
        <v>31949</v>
      </c>
      <c r="D2051" s="99" t="s">
        <v>549</v>
      </c>
      <c r="E2051" s="7"/>
      <c r="F2051" s="166"/>
      <c r="G2051" s="22"/>
    </row>
    <row r="2052" spans="1:7" ht="20.25" customHeight="1">
      <c r="A2052" s="10">
        <v>31950</v>
      </c>
      <c r="B2052" s="10">
        <v>35950</v>
      </c>
      <c r="C2052" s="10">
        <f t="shared" si="31"/>
        <v>31950</v>
      </c>
      <c r="D2052" s="99" t="s">
        <v>549</v>
      </c>
      <c r="E2052" s="7"/>
      <c r="F2052" s="166"/>
      <c r="G2052" s="22"/>
    </row>
    <row r="2053" spans="1:7" ht="20.25" customHeight="1">
      <c r="A2053" s="10">
        <v>31951</v>
      </c>
      <c r="B2053" s="10">
        <v>35951</v>
      </c>
      <c r="C2053" s="10">
        <f t="shared" ref="C2053:C2108" si="32">IF(ISERROR(FIND("B_Epic",E2053)),A2053,A2053+10000)</f>
        <v>31951</v>
      </c>
      <c r="D2053" s="99" t="s">
        <v>549</v>
      </c>
      <c r="E2053" s="7"/>
      <c r="F2053" s="166"/>
      <c r="G2053" s="22"/>
    </row>
    <row r="2054" spans="1:7" ht="20.25" customHeight="1">
      <c r="A2054" s="10">
        <v>31952</v>
      </c>
      <c r="B2054" s="10">
        <v>35952</v>
      </c>
      <c r="C2054" s="10">
        <f t="shared" si="32"/>
        <v>31952</v>
      </c>
      <c r="D2054" s="99" t="s">
        <v>549</v>
      </c>
      <c r="E2054" s="7"/>
      <c r="F2054" s="166"/>
      <c r="G2054" s="22"/>
    </row>
    <row r="2055" spans="1:7" ht="20.25" customHeight="1">
      <c r="A2055" s="10">
        <v>31953</v>
      </c>
      <c r="B2055" s="10">
        <v>35953</v>
      </c>
      <c r="C2055" s="10">
        <f t="shared" si="32"/>
        <v>31953</v>
      </c>
      <c r="D2055" s="99" t="s">
        <v>549</v>
      </c>
      <c r="E2055" s="7"/>
      <c r="F2055" s="166"/>
      <c r="G2055" s="22"/>
    </row>
    <row r="2056" spans="1:7" ht="20.25" customHeight="1">
      <c r="A2056" s="10">
        <v>31954</v>
      </c>
      <c r="B2056" s="10">
        <v>35954</v>
      </c>
      <c r="C2056" s="10">
        <f t="shared" si="32"/>
        <v>31954</v>
      </c>
      <c r="D2056" s="99" t="s">
        <v>549</v>
      </c>
      <c r="E2056" s="7"/>
      <c r="F2056" s="166"/>
      <c r="G2056" s="22"/>
    </row>
    <row r="2057" spans="1:7" ht="20.25" customHeight="1">
      <c r="A2057" s="10">
        <v>31955</v>
      </c>
      <c r="B2057" s="10">
        <v>35955</v>
      </c>
      <c r="C2057" s="10">
        <f t="shared" si="32"/>
        <v>31955</v>
      </c>
      <c r="D2057" s="99" t="s">
        <v>549</v>
      </c>
      <c r="E2057" s="7"/>
      <c r="F2057" s="166"/>
      <c r="G2057" s="22"/>
    </row>
    <row r="2058" spans="1:7" ht="20.25" customHeight="1">
      <c r="A2058" s="10">
        <v>31956</v>
      </c>
      <c r="B2058" s="10">
        <v>35956</v>
      </c>
      <c r="C2058" s="10">
        <f t="shared" si="32"/>
        <v>31956</v>
      </c>
      <c r="D2058" s="99" t="s">
        <v>549</v>
      </c>
      <c r="E2058" s="7"/>
      <c r="F2058" s="166"/>
      <c r="G2058" s="22"/>
    </row>
    <row r="2059" spans="1:7" ht="20.25" customHeight="1">
      <c r="A2059" s="10">
        <v>31957</v>
      </c>
      <c r="B2059" s="10">
        <v>35957</v>
      </c>
      <c r="C2059" s="10">
        <f t="shared" si="32"/>
        <v>31957</v>
      </c>
      <c r="D2059" s="99" t="s">
        <v>549</v>
      </c>
      <c r="E2059" s="7"/>
      <c r="F2059" s="166"/>
      <c r="G2059" s="22"/>
    </row>
    <row r="2060" spans="1:7" ht="20.25" customHeight="1">
      <c r="A2060" s="10">
        <v>31958</v>
      </c>
      <c r="B2060" s="10">
        <v>35958</v>
      </c>
      <c r="C2060" s="10">
        <f t="shared" si="32"/>
        <v>31958</v>
      </c>
      <c r="D2060" s="99" t="s">
        <v>549</v>
      </c>
      <c r="E2060" s="7"/>
      <c r="F2060" s="166"/>
      <c r="G2060" s="22"/>
    </row>
    <row r="2061" spans="1:7" ht="20.25" customHeight="1">
      <c r="A2061" s="10">
        <v>31959</v>
      </c>
      <c r="B2061" s="10">
        <v>35959</v>
      </c>
      <c r="C2061" s="10">
        <f t="shared" si="32"/>
        <v>31959</v>
      </c>
      <c r="D2061" s="99" t="s">
        <v>549</v>
      </c>
      <c r="E2061" s="7"/>
      <c r="F2061" s="166"/>
      <c r="G2061" s="22"/>
    </row>
    <row r="2062" spans="1:7" ht="20.25" customHeight="1">
      <c r="A2062" s="10">
        <v>31960</v>
      </c>
      <c r="B2062" s="10">
        <v>35960</v>
      </c>
      <c r="C2062" s="10">
        <f t="shared" si="32"/>
        <v>31960</v>
      </c>
      <c r="D2062" s="99" t="s">
        <v>549</v>
      </c>
      <c r="E2062" s="7"/>
      <c r="F2062" s="166"/>
      <c r="G2062" s="22"/>
    </row>
    <row r="2063" spans="1:7" ht="20.25" customHeight="1">
      <c r="A2063" s="10">
        <v>31961</v>
      </c>
      <c r="B2063" s="10">
        <v>35961</v>
      </c>
      <c r="C2063" s="10">
        <f t="shared" si="32"/>
        <v>31961</v>
      </c>
      <c r="D2063" s="99" t="s">
        <v>549</v>
      </c>
      <c r="E2063" s="7"/>
      <c r="F2063" s="166"/>
      <c r="G2063" s="22"/>
    </row>
    <row r="2064" spans="1:7" ht="20.25" customHeight="1">
      <c r="A2064" s="10">
        <v>31962</v>
      </c>
      <c r="B2064" s="10">
        <v>35962</v>
      </c>
      <c r="C2064" s="10">
        <f t="shared" si="32"/>
        <v>31962</v>
      </c>
      <c r="D2064" s="99" t="s">
        <v>549</v>
      </c>
      <c r="E2064" s="7"/>
      <c r="F2064" s="166"/>
      <c r="G2064" s="22"/>
    </row>
    <row r="2065" spans="1:7" ht="20.25" customHeight="1">
      <c r="A2065" s="10">
        <v>31963</v>
      </c>
      <c r="B2065" s="10">
        <v>35963</v>
      </c>
      <c r="C2065" s="10">
        <f t="shared" si="32"/>
        <v>31963</v>
      </c>
      <c r="D2065" s="99" t="s">
        <v>549</v>
      </c>
      <c r="E2065" s="7"/>
      <c r="F2065" s="166"/>
      <c r="G2065" s="22"/>
    </row>
    <row r="2066" spans="1:7" ht="20.25" customHeight="1">
      <c r="A2066" s="10">
        <v>31964</v>
      </c>
      <c r="B2066" s="10">
        <v>35964</v>
      </c>
      <c r="C2066" s="10">
        <f t="shared" si="32"/>
        <v>31964</v>
      </c>
      <c r="D2066" s="99" t="s">
        <v>549</v>
      </c>
      <c r="E2066" s="7"/>
      <c r="F2066" s="166"/>
      <c r="G2066" s="22"/>
    </row>
    <row r="2067" spans="1:7" ht="20.25" customHeight="1">
      <c r="A2067" s="10">
        <v>31965</v>
      </c>
      <c r="B2067" s="10">
        <v>35965</v>
      </c>
      <c r="C2067" s="10">
        <f t="shared" si="32"/>
        <v>31965</v>
      </c>
      <c r="D2067" s="99" t="s">
        <v>549</v>
      </c>
      <c r="E2067" s="7"/>
      <c r="F2067" s="166"/>
      <c r="G2067" s="22"/>
    </row>
    <row r="2068" spans="1:7" ht="20.25" customHeight="1">
      <c r="A2068" s="10">
        <v>31966</v>
      </c>
      <c r="B2068" s="10">
        <v>35966</v>
      </c>
      <c r="C2068" s="10">
        <f t="shared" si="32"/>
        <v>31966</v>
      </c>
      <c r="D2068" s="99" t="s">
        <v>549</v>
      </c>
      <c r="E2068" s="7"/>
      <c r="F2068" s="166"/>
      <c r="G2068" s="22"/>
    </row>
    <row r="2069" spans="1:7" ht="20.25" customHeight="1">
      <c r="A2069" s="10">
        <v>31967</v>
      </c>
      <c r="B2069" s="10">
        <v>35967</v>
      </c>
      <c r="C2069" s="10">
        <f t="shared" si="32"/>
        <v>31967</v>
      </c>
      <c r="D2069" s="99" t="s">
        <v>549</v>
      </c>
      <c r="E2069" s="7"/>
      <c r="F2069" s="166"/>
      <c r="G2069" s="22"/>
    </row>
    <row r="2070" spans="1:7" ht="20.25" customHeight="1">
      <c r="A2070" s="10">
        <v>31968</v>
      </c>
      <c r="B2070" s="10">
        <v>35968</v>
      </c>
      <c r="C2070" s="10">
        <f t="shared" si="32"/>
        <v>31968</v>
      </c>
      <c r="D2070" s="99" t="s">
        <v>549</v>
      </c>
      <c r="E2070" s="7"/>
      <c r="F2070" s="166"/>
      <c r="G2070" s="22"/>
    </row>
    <row r="2071" spans="1:7" ht="20.25" customHeight="1">
      <c r="A2071" s="10">
        <v>31969</v>
      </c>
      <c r="B2071" s="10">
        <v>35969</v>
      </c>
      <c r="C2071" s="10">
        <f t="shared" si="32"/>
        <v>31969</v>
      </c>
      <c r="D2071" s="99" t="s">
        <v>549</v>
      </c>
      <c r="E2071" s="7"/>
      <c r="F2071" s="166"/>
      <c r="G2071" s="22"/>
    </row>
    <row r="2072" spans="1:7" ht="20.25" customHeight="1">
      <c r="A2072" s="10">
        <v>31970</v>
      </c>
      <c r="B2072" s="10">
        <v>35970</v>
      </c>
      <c r="C2072" s="10">
        <f t="shared" si="32"/>
        <v>31970</v>
      </c>
      <c r="D2072" s="99" t="s">
        <v>549</v>
      </c>
      <c r="E2072" s="7"/>
      <c r="F2072" s="166"/>
      <c r="G2072" s="22"/>
    </row>
    <row r="2073" spans="1:7" ht="20.25" customHeight="1">
      <c r="A2073" s="10">
        <v>31971</v>
      </c>
      <c r="B2073" s="10">
        <v>35971</v>
      </c>
      <c r="C2073" s="10">
        <f t="shared" si="32"/>
        <v>31971</v>
      </c>
      <c r="D2073" s="99" t="s">
        <v>549</v>
      </c>
      <c r="E2073" s="7"/>
      <c r="F2073" s="166"/>
      <c r="G2073" s="22"/>
    </row>
    <row r="2074" spans="1:7" ht="20.25" customHeight="1">
      <c r="A2074" s="10">
        <v>31972</v>
      </c>
      <c r="B2074" s="10">
        <v>35972</v>
      </c>
      <c r="C2074" s="10">
        <f t="shared" si="32"/>
        <v>31972</v>
      </c>
      <c r="D2074" s="99" t="s">
        <v>549</v>
      </c>
      <c r="E2074" s="7"/>
      <c r="F2074" s="166"/>
      <c r="G2074" s="22"/>
    </row>
    <row r="2075" spans="1:7" ht="20.25" customHeight="1">
      <c r="A2075" s="10">
        <v>31973</v>
      </c>
      <c r="B2075" s="10">
        <v>35973</v>
      </c>
      <c r="C2075" s="10">
        <f t="shared" si="32"/>
        <v>31973</v>
      </c>
      <c r="D2075" s="99" t="s">
        <v>549</v>
      </c>
      <c r="E2075" s="7"/>
      <c r="F2075" s="166"/>
      <c r="G2075" s="22"/>
    </row>
    <row r="2076" spans="1:7" ht="20.25" customHeight="1">
      <c r="A2076" s="10">
        <v>31974</v>
      </c>
      <c r="B2076" s="10">
        <v>35974</v>
      </c>
      <c r="C2076" s="10">
        <f t="shared" si="32"/>
        <v>31974</v>
      </c>
      <c r="D2076" s="99" t="s">
        <v>549</v>
      </c>
      <c r="E2076" s="7"/>
      <c r="F2076" s="166"/>
      <c r="G2076" s="22"/>
    </row>
    <row r="2077" spans="1:7" ht="20.25" customHeight="1">
      <c r="A2077" s="10">
        <v>31975</v>
      </c>
      <c r="B2077" s="10">
        <v>35975</v>
      </c>
      <c r="C2077" s="10">
        <f t="shared" si="32"/>
        <v>31975</v>
      </c>
      <c r="D2077" s="99" t="s">
        <v>549</v>
      </c>
      <c r="E2077" s="7"/>
      <c r="F2077" s="166"/>
      <c r="G2077" s="22"/>
    </row>
    <row r="2078" spans="1:7" ht="20.25" customHeight="1">
      <c r="A2078" s="10">
        <v>31976</v>
      </c>
      <c r="B2078" s="10">
        <v>35976</v>
      </c>
      <c r="C2078" s="10">
        <f t="shared" si="32"/>
        <v>31976</v>
      </c>
      <c r="D2078" s="99" t="s">
        <v>549</v>
      </c>
      <c r="E2078" s="7"/>
      <c r="F2078" s="166"/>
      <c r="G2078" s="22"/>
    </row>
    <row r="2079" spans="1:7" ht="20.25" customHeight="1">
      <c r="A2079" s="10">
        <v>31977</v>
      </c>
      <c r="B2079" s="10">
        <v>35977</v>
      </c>
      <c r="C2079" s="10">
        <f t="shared" si="32"/>
        <v>31977</v>
      </c>
      <c r="D2079" s="99" t="s">
        <v>549</v>
      </c>
      <c r="E2079" s="7"/>
      <c r="F2079" s="166"/>
      <c r="G2079" s="22"/>
    </row>
    <row r="2080" spans="1:7" ht="20.25" customHeight="1">
      <c r="A2080" s="10">
        <v>31978</v>
      </c>
      <c r="B2080" s="10">
        <v>35978</v>
      </c>
      <c r="C2080" s="10">
        <f t="shared" si="32"/>
        <v>31978</v>
      </c>
      <c r="D2080" s="99" t="s">
        <v>549</v>
      </c>
      <c r="E2080" s="7"/>
      <c r="F2080" s="166"/>
      <c r="G2080" s="22"/>
    </row>
    <row r="2081" spans="1:7" ht="20.25" customHeight="1">
      <c r="A2081" s="10">
        <v>31979</v>
      </c>
      <c r="B2081" s="10">
        <v>35979</v>
      </c>
      <c r="C2081" s="10">
        <f t="shared" si="32"/>
        <v>31979</v>
      </c>
      <c r="D2081" s="99" t="s">
        <v>549</v>
      </c>
      <c r="E2081" s="7"/>
      <c r="F2081" s="166"/>
      <c r="G2081" s="22"/>
    </row>
    <row r="2082" spans="1:7" ht="20.25" customHeight="1">
      <c r="A2082" s="10">
        <v>31980</v>
      </c>
      <c r="B2082" s="10">
        <v>35980</v>
      </c>
      <c r="C2082" s="10">
        <f t="shared" si="32"/>
        <v>31980</v>
      </c>
      <c r="D2082" s="99" t="s">
        <v>549</v>
      </c>
      <c r="E2082" s="7"/>
      <c r="F2082" s="166"/>
      <c r="G2082" s="22"/>
    </row>
    <row r="2083" spans="1:7" ht="20.25" customHeight="1">
      <c r="A2083" s="10">
        <v>31981</v>
      </c>
      <c r="B2083" s="10">
        <v>35981</v>
      </c>
      <c r="C2083" s="10">
        <f t="shared" si="32"/>
        <v>31981</v>
      </c>
      <c r="D2083" s="99" t="s">
        <v>549</v>
      </c>
      <c r="E2083" s="7"/>
      <c r="F2083" s="166"/>
      <c r="G2083" s="22"/>
    </row>
    <row r="2084" spans="1:7" ht="20.25" customHeight="1">
      <c r="A2084" s="10">
        <v>31982</v>
      </c>
      <c r="B2084" s="10">
        <v>35982</v>
      </c>
      <c r="C2084" s="10">
        <f t="shared" si="32"/>
        <v>31982</v>
      </c>
      <c r="D2084" s="99" t="s">
        <v>549</v>
      </c>
      <c r="E2084" s="7"/>
      <c r="F2084" s="166"/>
      <c r="G2084" s="22"/>
    </row>
    <row r="2085" spans="1:7" ht="20.25" customHeight="1">
      <c r="A2085" s="10">
        <v>31983</v>
      </c>
      <c r="B2085" s="10">
        <v>35983</v>
      </c>
      <c r="C2085" s="10">
        <f t="shared" si="32"/>
        <v>31983</v>
      </c>
      <c r="D2085" s="99" t="s">
        <v>549</v>
      </c>
      <c r="E2085" s="7"/>
      <c r="F2085" s="166"/>
      <c r="G2085" s="22"/>
    </row>
    <row r="2086" spans="1:7" ht="20.25" customHeight="1">
      <c r="A2086" s="10">
        <v>31984</v>
      </c>
      <c r="B2086" s="10">
        <v>35984</v>
      </c>
      <c r="C2086" s="10">
        <f t="shared" si="32"/>
        <v>31984</v>
      </c>
      <c r="D2086" s="99" t="s">
        <v>549</v>
      </c>
      <c r="E2086" s="7"/>
      <c r="F2086" s="166"/>
      <c r="G2086" s="22"/>
    </row>
    <row r="2087" spans="1:7" ht="20.25" customHeight="1">
      <c r="A2087" s="10">
        <v>31985</v>
      </c>
      <c r="B2087" s="10">
        <v>35985</v>
      </c>
      <c r="C2087" s="10">
        <f t="shared" si="32"/>
        <v>31985</v>
      </c>
      <c r="D2087" s="99" t="s">
        <v>549</v>
      </c>
      <c r="E2087" s="7"/>
      <c r="F2087" s="166"/>
      <c r="G2087" s="22"/>
    </row>
    <row r="2088" spans="1:7" ht="20.25" customHeight="1">
      <c r="A2088" s="10">
        <v>31986</v>
      </c>
      <c r="B2088" s="10">
        <v>35986</v>
      </c>
      <c r="C2088" s="10">
        <f t="shared" si="32"/>
        <v>31986</v>
      </c>
      <c r="D2088" s="99" t="s">
        <v>549</v>
      </c>
      <c r="E2088" s="7"/>
      <c r="F2088" s="166"/>
      <c r="G2088" s="22"/>
    </row>
    <row r="2089" spans="1:7" ht="20.25" customHeight="1">
      <c r="A2089" s="10">
        <v>31987</v>
      </c>
      <c r="B2089" s="10">
        <v>35987</v>
      </c>
      <c r="C2089" s="10">
        <f t="shared" si="32"/>
        <v>31987</v>
      </c>
      <c r="D2089" s="99" t="s">
        <v>549</v>
      </c>
      <c r="E2089" s="7"/>
      <c r="F2089" s="166"/>
      <c r="G2089" s="22"/>
    </row>
    <row r="2090" spans="1:7" ht="20.25" customHeight="1">
      <c r="A2090" s="10">
        <v>31988</v>
      </c>
      <c r="B2090" s="10">
        <v>35988</v>
      </c>
      <c r="C2090" s="10">
        <f t="shared" si="32"/>
        <v>31988</v>
      </c>
      <c r="D2090" s="99" t="s">
        <v>549</v>
      </c>
      <c r="E2090" s="7"/>
      <c r="F2090" s="166"/>
      <c r="G2090" s="22"/>
    </row>
    <row r="2091" spans="1:7" ht="20.25" customHeight="1">
      <c r="A2091" s="10">
        <v>31989</v>
      </c>
      <c r="B2091" s="10">
        <v>35989</v>
      </c>
      <c r="C2091" s="10">
        <f t="shared" si="32"/>
        <v>31989</v>
      </c>
      <c r="D2091" s="99" t="s">
        <v>549</v>
      </c>
      <c r="E2091" s="7"/>
      <c r="F2091" s="166"/>
      <c r="G2091" s="22"/>
    </row>
    <row r="2092" spans="1:7" ht="20.25" customHeight="1">
      <c r="A2092" s="10">
        <v>31990</v>
      </c>
      <c r="B2092" s="10">
        <v>35990</v>
      </c>
      <c r="C2092" s="10">
        <f t="shared" si="32"/>
        <v>31990</v>
      </c>
      <c r="D2092" s="99" t="s">
        <v>549</v>
      </c>
      <c r="E2092" s="7"/>
      <c r="F2092" s="166"/>
      <c r="G2092" s="22"/>
    </row>
    <row r="2093" spans="1:7" ht="20.25" customHeight="1">
      <c r="A2093" s="10">
        <v>31991</v>
      </c>
      <c r="B2093" s="10">
        <v>35991</v>
      </c>
      <c r="C2093" s="10">
        <f t="shared" si="32"/>
        <v>31991</v>
      </c>
      <c r="D2093" s="99" t="s">
        <v>549</v>
      </c>
      <c r="E2093" s="7"/>
      <c r="F2093" s="166"/>
      <c r="G2093" s="22"/>
    </row>
    <row r="2094" spans="1:7" ht="20.25" customHeight="1">
      <c r="A2094" s="10">
        <v>31992</v>
      </c>
      <c r="B2094" s="10">
        <v>35992</v>
      </c>
      <c r="C2094" s="10">
        <f t="shared" si="32"/>
        <v>31992</v>
      </c>
      <c r="D2094" s="99" t="s">
        <v>549</v>
      </c>
      <c r="E2094" s="7"/>
      <c r="F2094" s="166"/>
      <c r="G2094" s="22"/>
    </row>
    <row r="2095" spans="1:7" ht="20.25" customHeight="1">
      <c r="A2095" s="10">
        <v>31993</v>
      </c>
      <c r="B2095" s="10">
        <v>35993</v>
      </c>
      <c r="C2095" s="10">
        <f t="shared" si="32"/>
        <v>31993</v>
      </c>
      <c r="D2095" s="99" t="s">
        <v>549</v>
      </c>
      <c r="E2095" s="7"/>
      <c r="F2095" s="166"/>
      <c r="G2095" s="22"/>
    </row>
    <row r="2096" spans="1:7" ht="20.25" customHeight="1">
      <c r="A2096" s="10">
        <v>31994</v>
      </c>
      <c r="B2096" s="10">
        <v>35994</v>
      </c>
      <c r="C2096" s="10">
        <f t="shared" si="32"/>
        <v>31994</v>
      </c>
      <c r="D2096" s="99" t="s">
        <v>549</v>
      </c>
      <c r="E2096" s="7"/>
      <c r="F2096" s="166"/>
      <c r="G2096" s="22"/>
    </row>
    <row r="2097" spans="1:7" ht="20.25" customHeight="1">
      <c r="A2097" s="10">
        <v>31995</v>
      </c>
      <c r="B2097" s="10">
        <v>35995</v>
      </c>
      <c r="C2097" s="10">
        <f t="shared" si="32"/>
        <v>31995</v>
      </c>
      <c r="D2097" s="99" t="s">
        <v>549</v>
      </c>
      <c r="E2097" s="7"/>
      <c r="F2097" s="166"/>
      <c r="G2097" s="22"/>
    </row>
    <row r="2098" spans="1:7" ht="20.25" customHeight="1">
      <c r="A2098" s="10">
        <v>31996</v>
      </c>
      <c r="B2098" s="10">
        <v>35996</v>
      </c>
      <c r="C2098" s="10">
        <f t="shared" si="32"/>
        <v>31996</v>
      </c>
      <c r="D2098" s="99" t="s">
        <v>549</v>
      </c>
      <c r="E2098" s="7" t="s">
        <v>1943</v>
      </c>
      <c r="F2098" s="166"/>
      <c r="G2098" s="22"/>
    </row>
    <row r="2099" spans="1:7" ht="20.25" customHeight="1">
      <c r="A2099" s="10">
        <v>31997</v>
      </c>
      <c r="B2099" s="10">
        <v>35997</v>
      </c>
      <c r="C2099" s="10">
        <f t="shared" si="32"/>
        <v>31997</v>
      </c>
      <c r="D2099" s="99" t="s">
        <v>549</v>
      </c>
      <c r="E2099" s="7" t="s">
        <v>1944</v>
      </c>
      <c r="F2099" s="166"/>
      <c r="G2099" s="22"/>
    </row>
    <row r="2100" spans="1:7" ht="20.25" customHeight="1">
      <c r="A2100" s="10">
        <v>31998</v>
      </c>
      <c r="B2100" s="10">
        <v>35998</v>
      </c>
      <c r="C2100" s="10">
        <f t="shared" si="32"/>
        <v>31998</v>
      </c>
      <c r="D2100" s="99" t="s">
        <v>549</v>
      </c>
      <c r="E2100" s="7" t="s">
        <v>1945</v>
      </c>
      <c r="F2100" s="166"/>
      <c r="G2100" s="22"/>
    </row>
    <row r="2101" spans="1:7" ht="20.25" customHeight="1">
      <c r="A2101" s="10">
        <v>31999</v>
      </c>
      <c r="B2101" s="10">
        <v>35999</v>
      </c>
      <c r="C2101" s="10">
        <f t="shared" si="32"/>
        <v>31999</v>
      </c>
      <c r="D2101" s="99" t="s">
        <v>549</v>
      </c>
      <c r="E2101" s="7" t="s">
        <v>1946</v>
      </c>
      <c r="F2101" s="166"/>
      <c r="G2101" s="22"/>
    </row>
    <row r="2102" spans="1:7" ht="20.25" customHeight="1">
      <c r="A2102" s="10">
        <v>39000</v>
      </c>
      <c r="B2102" s="10">
        <v>39000</v>
      </c>
      <c r="C2102" s="10">
        <f t="shared" si="32"/>
        <v>39000</v>
      </c>
      <c r="D2102" s="10" t="s">
        <v>549</v>
      </c>
      <c r="E2102" s="1" t="s">
        <v>1947</v>
      </c>
      <c r="F2102" s="5"/>
      <c r="G2102" s="22"/>
    </row>
    <row r="2103" spans="1:7" ht="20.25" customHeight="1">
      <c r="A2103" s="10">
        <v>11171</v>
      </c>
      <c r="B2103" s="10">
        <v>50135</v>
      </c>
      <c r="C2103" s="10">
        <f t="shared" si="32"/>
        <v>11171</v>
      </c>
      <c r="D2103" s="10" t="s">
        <v>549</v>
      </c>
      <c r="E2103" s="1" t="s">
        <v>1948</v>
      </c>
      <c r="F2103" s="5" t="s">
        <v>1949</v>
      </c>
      <c r="G2103" s="22" t="s">
        <v>829</v>
      </c>
    </row>
    <row r="2104" spans="1:7" ht="20.25" customHeight="1">
      <c r="A2104" s="10">
        <v>11275</v>
      </c>
      <c r="B2104" s="10">
        <v>50178</v>
      </c>
      <c r="C2104" s="10">
        <f t="shared" si="32"/>
        <v>11275</v>
      </c>
      <c r="D2104" s="10" t="s">
        <v>549</v>
      </c>
      <c r="E2104" s="1" t="s">
        <v>1950</v>
      </c>
      <c r="F2104" s="5" t="s">
        <v>1951</v>
      </c>
      <c r="G2104" s="22" t="s">
        <v>911</v>
      </c>
    </row>
    <row r="2105" spans="1:7" ht="20.25" customHeight="1">
      <c r="A2105" s="10">
        <v>11275</v>
      </c>
      <c r="B2105" s="10">
        <v>50178</v>
      </c>
      <c r="C2105" s="10">
        <f t="shared" si="32"/>
        <v>11275</v>
      </c>
      <c r="D2105" s="10" t="s">
        <v>549</v>
      </c>
      <c r="E2105" s="7" t="s">
        <v>1950</v>
      </c>
      <c r="F2105" s="5" t="s">
        <v>1951</v>
      </c>
      <c r="G2105" s="22" t="s">
        <v>911</v>
      </c>
    </row>
    <row r="2106" spans="1:7" ht="20.25" customHeight="1">
      <c r="A2106" s="10">
        <v>55001</v>
      </c>
      <c r="B2106" s="106">
        <v>55000</v>
      </c>
      <c r="C2106" s="10">
        <f t="shared" si="32"/>
        <v>55001</v>
      </c>
      <c r="D2106" s="10" t="s">
        <v>549</v>
      </c>
      <c r="E2106" s="7" t="s">
        <v>1952</v>
      </c>
      <c r="F2106" s="166"/>
      <c r="G2106" s="22" t="s">
        <v>1203</v>
      </c>
    </row>
    <row r="2107" spans="1:7" ht="20.25" customHeight="1">
      <c r="A2107" s="10">
        <v>60381</v>
      </c>
      <c r="B2107" s="10">
        <v>60381</v>
      </c>
      <c r="C2107" s="10">
        <f t="shared" si="32"/>
        <v>60381</v>
      </c>
      <c r="D2107" s="10" t="s">
        <v>549</v>
      </c>
      <c r="E2107" s="1"/>
      <c r="F2107" s="5"/>
      <c r="G2107" s="22"/>
    </row>
    <row r="2108" spans="1:7" ht="20.25" customHeight="1">
      <c r="A2108" s="10">
        <v>63944</v>
      </c>
      <c r="B2108" s="10">
        <v>63945</v>
      </c>
      <c r="C2108" s="10">
        <f t="shared" si="32"/>
        <v>63944</v>
      </c>
      <c r="D2108" s="99" t="s">
        <v>549</v>
      </c>
      <c r="E2108" s="7" t="s">
        <v>1953</v>
      </c>
      <c r="F2108" s="166" t="s">
        <v>1438</v>
      </c>
      <c r="G2108" s="22"/>
    </row>
    <row r="2109" spans="1:7" ht="20.25" customHeight="1">
      <c r="A2109" s="10"/>
      <c r="B2109" s="10"/>
      <c r="C2109" s="10"/>
      <c r="D2109" s="99"/>
      <c r="F2109" s="166"/>
      <c r="G2109" s="22"/>
    </row>
    <row r="2110" spans="1:7" ht="20.25" customHeight="1">
      <c r="A2110" s="10"/>
      <c r="B2110" s="10"/>
      <c r="C2110" s="10"/>
      <c r="D2110" s="99"/>
      <c r="F2110" s="166"/>
      <c r="G2110" s="22"/>
    </row>
    <row r="2111" spans="1:7" ht="20.25" customHeight="1">
      <c r="A2111" s="10"/>
      <c r="B2111" s="10"/>
      <c r="C2111" s="10"/>
      <c r="D2111" s="99"/>
      <c r="F2111" s="166"/>
      <c r="G2111" s="22"/>
    </row>
    <row r="2112" spans="1:7" ht="20.25" customHeight="1">
      <c r="A2112" s="10"/>
      <c r="B2112" s="106"/>
      <c r="C2112" s="10"/>
      <c r="D2112" s="99"/>
      <c r="F2112" s="166"/>
      <c r="G2112" s="22"/>
    </row>
    <row r="2113" spans="1:7" ht="20.25" customHeight="1">
      <c r="A2113" s="10"/>
      <c r="B2113" s="10"/>
      <c r="C2113" s="10"/>
      <c r="D2113" s="99"/>
      <c r="F2113" s="166"/>
      <c r="G2113" s="22"/>
    </row>
  </sheetData>
  <sheetProtection algorithmName="SHA-512" hashValue="zW8ILNRQjdOZ5HljxJrItLHIWBIGyrzrhQ/ASUKzmEAiyn5aOE6vro6dPqxG77/mPZM2DO1v45FOu2HdHJfoyw==" saltValue="fuiTdaqUYBFyepaE/CaMJw==" spinCount="100000" sheet="1" objects="1" scenarios="1"/>
  <autoFilter ref="A1:G2108" xr:uid="{00000000-0001-0000-0300-000000000000}"/>
  <sortState xmlns:xlrd2="http://schemas.microsoft.com/office/spreadsheetml/2017/richdata2" ref="A2:G1118">
    <sortCondition descending="1" ref="C2:C1118"/>
  </sortState>
  <conditionalFormatting sqref="A1:A1048576">
    <cfRule type="duplicateValues" dxfId="126" priority="9"/>
  </conditionalFormatting>
  <conditionalFormatting sqref="A1091">
    <cfRule type="duplicateValues" dxfId="125" priority="15"/>
  </conditionalFormatting>
  <conditionalFormatting sqref="A1092 A1094:A1048576 A1:A1090">
    <cfRule type="duplicateValues" dxfId="124" priority="17"/>
  </conditionalFormatting>
  <conditionalFormatting sqref="B1:B10 B12:B1048576">
    <cfRule type="duplicateValues" dxfId="123" priority="8"/>
  </conditionalFormatting>
  <conditionalFormatting sqref="B2:B9 B14 B18:B29 B32:B1060 B1063:B1089 B1098:B1599 B1603:B2107 B2110:B1048576">
    <cfRule type="expression" dxfId="122" priority="19">
      <formula>OR(B2&lt;B1,B2&gt;B3)</formula>
    </cfRule>
  </conditionalFormatting>
  <conditionalFormatting sqref="B10">
    <cfRule type="expression" dxfId="121" priority="416">
      <formula>OR(B10&lt;B9,B10&gt;B13)</formula>
    </cfRule>
  </conditionalFormatting>
  <conditionalFormatting sqref="B11">
    <cfRule type="duplicateValues" dxfId="120" priority="1"/>
    <cfRule type="duplicateValues" dxfId="119" priority="2"/>
  </conditionalFormatting>
  <conditionalFormatting sqref="B12">
    <cfRule type="expression" dxfId="118" priority="415">
      <formula>OR(B12&lt;B11,B12&gt;#REF!)</formula>
    </cfRule>
  </conditionalFormatting>
  <conditionalFormatting sqref="B13">
    <cfRule type="expression" dxfId="117" priority="418">
      <formula>OR(B13&lt;B10,B13&gt;B14)</formula>
    </cfRule>
  </conditionalFormatting>
  <conditionalFormatting sqref="B15:B16 B1090 B1095:B1096 B1600:B1601">
    <cfRule type="expression" dxfId="116" priority="226">
      <formula>OR(B15&lt;B14,B15&gt;B17)</formula>
    </cfRule>
  </conditionalFormatting>
  <conditionalFormatting sqref="B17 B1094 B1097 B1602">
    <cfRule type="expression" dxfId="115" priority="225">
      <formula>OR(B17&lt;B15,B17&gt;B18)</formula>
    </cfRule>
  </conditionalFormatting>
  <conditionalFormatting sqref="B30">
    <cfRule type="expression" dxfId="114" priority="199">
      <formula>OR(B30&lt;B29,B30&gt;#REF!)</formula>
    </cfRule>
  </conditionalFormatting>
  <conditionalFormatting sqref="B31">
    <cfRule type="expression" dxfId="113" priority="198">
      <formula>OR(B31&lt;#REF!,B31&gt;B32)</formula>
    </cfRule>
  </conditionalFormatting>
  <conditionalFormatting sqref="B1061">
    <cfRule type="expression" dxfId="112" priority="243">
      <formula>OR(B1061&lt;B1060,B1061&gt;#REF!)</formula>
    </cfRule>
  </conditionalFormatting>
  <conditionalFormatting sqref="B1062">
    <cfRule type="expression" dxfId="111" priority="242">
      <formula>OR(B1062&lt;#REF!,B1062&gt;B1063)</formula>
    </cfRule>
  </conditionalFormatting>
  <conditionalFormatting sqref="B1092 B1094:B1048576 B1:B10 B12:B1090">
    <cfRule type="duplicateValues" dxfId="110" priority="18"/>
  </conditionalFormatting>
  <conditionalFormatting sqref="B1092">
    <cfRule type="expression" dxfId="109" priority="252">
      <formula>OR(B1092&lt;B1090,B1092&gt;B1094)</formula>
    </cfRule>
  </conditionalFormatting>
  <conditionalFormatting sqref="B2108">
    <cfRule type="expression" dxfId="108" priority="422">
      <formula>OR(B2108&lt;B2107,B2108&gt;B11)</formula>
    </cfRule>
  </conditionalFormatting>
  <conditionalFormatting sqref="B2109">
    <cfRule type="expression" dxfId="107" priority="423">
      <formula>OR(B2109&lt;#REF!,B2109&gt;B2110)</formula>
    </cfRule>
  </conditionalFormatting>
  <conditionalFormatting sqref="C11:C12">
    <cfRule type="duplicateValues" dxfId="106" priority="427"/>
    <cfRule type="duplicateValues" dxfId="105" priority="426"/>
  </conditionalFormatting>
  <conditionalFormatting sqref="C13:C1048576 C1:C10">
    <cfRule type="duplicateValues" dxfId="104" priority="20"/>
    <cfRule type="duplicateValues" dxfId="103" priority="14"/>
  </conditionalFormatting>
  <conditionalFormatting sqref="E1:E1092">
    <cfRule type="containsText" priority="12" stopIfTrue="1" operator="containsText" text="Reserved">
      <formula>NOT(ISERROR(SEARCH("Reserved",E1)))</formula>
    </cfRule>
    <cfRule type="containsBlanks" dxfId="102" priority="11">
      <formula>LEN(TRIM(E1))=0</formula>
    </cfRule>
  </conditionalFormatting>
  <conditionalFormatting sqref="E1:E1106 E1108:E1114 E1116:E1258 E1260:E1262 E1264:E1518 E1521:E1548 E1550:E1048576">
    <cfRule type="containsBlanks" dxfId="101" priority="5">
      <formula>LEN(TRIM(E1))=0</formula>
    </cfRule>
  </conditionalFormatting>
  <conditionalFormatting sqref="E11:E12 E1093 E1550:E1048576">
    <cfRule type="containsText" priority="6" stopIfTrue="1" operator="containsText" text="Reserved">
      <formula>NOT(ISERROR(SEARCH("Reserved",E11)))</formula>
    </cfRule>
  </conditionalFormatting>
  <conditionalFormatting sqref="E1091">
    <cfRule type="duplicateValues" dxfId="100" priority="16"/>
  </conditionalFormatting>
  <conditionalFormatting sqref="E1094:E1106 E1108:E1114 E1116:E1227 E1230:E1258 E1260:E1262 E1264:E1479 E1481:E1518 E1521:E1548">
    <cfRule type="containsText" priority="41" stopIfTrue="1" operator="containsText" text="Reserved">
      <formula>NOT(ISERROR(SEARCH("Reserved",E1094)))</formula>
    </cfRule>
  </conditionalFormatting>
  <conditionalFormatting sqref="E1094:E1106 E1108:E1114 E1116:E1258 E1260:E1262 E1264:E1518 E1521:E1548">
    <cfRule type="containsBlanks" dxfId="99" priority="24">
      <formula>LEN(TRIM(E1094))=0</formula>
    </cfRule>
  </conditionalFormatting>
  <conditionalFormatting sqref="E1481:E1518 E1116:E1227 E1230:E1258 E1092 E1094:E1106 E1521:E1548 E1108:E1114 E1260:E1262 E1264:E1479 E1550:E1048576 E1:E1090">
    <cfRule type="duplicateValues" dxfId="98" priority="74"/>
  </conditionalFormatting>
  <conditionalFormatting sqref="E1521:E1548 E1108:E1114 E1116:E1258 E1260:E1262 E1264:E1518 E1550:E1048576 E1:E1106">
    <cfRule type="duplicateValues" dxfId="97" priority="10"/>
  </conditionalFormatting>
  <hyperlinks>
    <hyperlink ref="F1191" location="'KADLEC (30XXX &amp; 34XXX)'!E140" display="Instance Alignment - Existing" xr:uid="{00000000-0004-0000-0300-000000000000}"/>
    <hyperlink ref="F1192" location="'KADLEC (30XXX &amp; 34XXX)'!E200" display="Instance Alignment - Existing" xr:uid="{00000000-0004-0000-0300-000001000000}"/>
  </hyperlink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 filterMode="1">
    <tabColor theme="3" tint="0.59999389629810485"/>
  </sheetPr>
  <dimension ref="A1:G2132"/>
  <sheetViews>
    <sheetView zoomScale="115" zoomScaleNormal="115" workbookViewId="0">
      <pane ySplit="1" topLeftCell="A58" activePane="bottomLeft" state="frozen"/>
      <selection pane="bottomLeft" activeCell="E205" sqref="A1:G2132"/>
    </sheetView>
  </sheetViews>
  <sheetFormatPr defaultColWidth="9.28515625" defaultRowHeight="20.25" customHeight="1"/>
  <cols>
    <col min="1" max="4" width="11.7109375" style="2" customWidth="1"/>
    <col min="5" max="5" width="55.28515625" style="1" customWidth="1"/>
    <col min="6" max="6" width="57.85546875" style="2" customWidth="1"/>
    <col min="7" max="7" width="43.7109375" style="18" customWidth="1"/>
    <col min="8" max="16384" width="9.28515625" style="1"/>
  </cols>
  <sheetData>
    <row r="1" spans="1:7" ht="18.75">
      <c r="A1" s="183" t="s">
        <v>10</v>
      </c>
      <c r="B1" s="183" t="s">
        <v>11</v>
      </c>
      <c r="C1" s="183" t="s">
        <v>1954</v>
      </c>
      <c r="D1" s="184" t="s">
        <v>13</v>
      </c>
      <c r="E1" s="183" t="s">
        <v>14</v>
      </c>
      <c r="F1" s="4" t="s">
        <v>1955</v>
      </c>
      <c r="G1" s="25" t="s">
        <v>16</v>
      </c>
    </row>
    <row r="2" spans="1:7" ht="20.25" hidden="1" customHeight="1">
      <c r="A2" s="102">
        <v>2010</v>
      </c>
      <c r="B2" s="102">
        <v>2040</v>
      </c>
      <c r="C2" s="102">
        <f t="shared" ref="C2:C67" si="0">IF(ISERROR(FIND("B_Epic",E2)),A2,A2+10000)</f>
        <v>2010</v>
      </c>
      <c r="D2" s="102" t="s">
        <v>498</v>
      </c>
      <c r="E2" s="26" t="s">
        <v>1956</v>
      </c>
      <c r="F2" s="5"/>
      <c r="G2" s="22"/>
    </row>
    <row r="3" spans="1:7" ht="20.25" hidden="1" customHeight="1">
      <c r="A3" s="102">
        <v>2020</v>
      </c>
      <c r="B3" s="102">
        <v>2050</v>
      </c>
      <c r="C3" s="102">
        <f t="shared" si="0"/>
        <v>2020</v>
      </c>
      <c r="D3" s="102" t="s">
        <v>498</v>
      </c>
      <c r="E3" s="26" t="s">
        <v>1957</v>
      </c>
      <c r="F3" s="5"/>
      <c r="G3" s="22"/>
    </row>
    <row r="4" spans="1:7" ht="20.25" hidden="1" customHeight="1">
      <c r="A4" s="102">
        <v>2055</v>
      </c>
      <c r="B4" s="102">
        <v>2056</v>
      </c>
      <c r="C4" s="102">
        <f t="shared" si="0"/>
        <v>2055</v>
      </c>
      <c r="D4" s="102" t="s">
        <v>498</v>
      </c>
      <c r="E4" s="26" t="s">
        <v>1958</v>
      </c>
      <c r="F4" s="5"/>
      <c r="G4" s="22"/>
    </row>
    <row r="5" spans="1:7" ht="20.25" hidden="1" customHeight="1">
      <c r="A5" s="102">
        <v>2578</v>
      </c>
      <c r="B5" s="102">
        <v>2576</v>
      </c>
      <c r="C5" s="102">
        <f t="shared" si="0"/>
        <v>2578</v>
      </c>
      <c r="D5" s="102" t="s">
        <v>498</v>
      </c>
      <c r="E5" s="162" t="s">
        <v>1959</v>
      </c>
      <c r="F5" s="5" t="s">
        <v>19</v>
      </c>
      <c r="G5" s="22"/>
    </row>
    <row r="6" spans="1:7" ht="20.25" hidden="1" customHeight="1">
      <c r="A6" s="102">
        <v>5731</v>
      </c>
      <c r="B6" s="102">
        <v>5738</v>
      </c>
      <c r="C6" s="102">
        <f t="shared" si="0"/>
        <v>5731</v>
      </c>
      <c r="D6" s="102" t="s">
        <v>498</v>
      </c>
      <c r="E6" s="26" t="s">
        <v>1960</v>
      </c>
      <c r="F6" s="7"/>
      <c r="G6" s="22"/>
    </row>
    <row r="7" spans="1:7" ht="20.25" hidden="1" customHeight="1">
      <c r="A7" s="102">
        <v>6017</v>
      </c>
      <c r="B7" s="102">
        <v>6017</v>
      </c>
      <c r="C7" s="102">
        <f t="shared" si="0"/>
        <v>6017</v>
      </c>
      <c r="D7" s="102" t="s">
        <v>498</v>
      </c>
      <c r="E7" s="26" t="s">
        <v>1961</v>
      </c>
      <c r="F7" s="5" t="s">
        <v>1962</v>
      </c>
      <c r="G7" s="22"/>
    </row>
    <row r="8" spans="1:7" ht="20.25" hidden="1" customHeight="1">
      <c r="A8" s="102">
        <v>9260</v>
      </c>
      <c r="B8" s="102">
        <v>6260</v>
      </c>
      <c r="C8" s="102">
        <f t="shared" si="0"/>
        <v>9260</v>
      </c>
      <c r="D8" s="102" t="s">
        <v>498</v>
      </c>
      <c r="E8" s="26" t="s">
        <v>1963</v>
      </c>
      <c r="F8" s="7" t="s">
        <v>1113</v>
      </c>
      <c r="G8" s="170"/>
    </row>
    <row r="9" spans="1:7" ht="20.25" hidden="1" customHeight="1">
      <c r="A9" s="102">
        <v>9261</v>
      </c>
      <c r="B9" s="102">
        <v>6261</v>
      </c>
      <c r="C9" s="102">
        <f t="shared" si="0"/>
        <v>9261</v>
      </c>
      <c r="D9" s="102" t="s">
        <v>498</v>
      </c>
      <c r="E9" s="26" t="s">
        <v>1964</v>
      </c>
      <c r="F9" s="7"/>
      <c r="G9" s="170"/>
    </row>
    <row r="10" spans="1:7" ht="20.25" hidden="1" customHeight="1">
      <c r="A10" s="102">
        <v>7134</v>
      </c>
      <c r="B10" s="102">
        <v>7134</v>
      </c>
      <c r="C10" s="102">
        <f t="shared" si="0"/>
        <v>7134</v>
      </c>
      <c r="D10" s="102" t="s">
        <v>498</v>
      </c>
      <c r="E10" s="26"/>
      <c r="F10" s="5"/>
      <c r="G10" s="22"/>
    </row>
    <row r="11" spans="1:7" ht="20.25" hidden="1" customHeight="1">
      <c r="A11" s="102">
        <v>7201</v>
      </c>
      <c r="B11" s="102">
        <v>7301</v>
      </c>
      <c r="C11" s="102">
        <v>7201</v>
      </c>
      <c r="D11" s="102" t="s">
        <v>498</v>
      </c>
      <c r="E11" s="26" t="s">
        <v>1965</v>
      </c>
      <c r="F11" s="166" t="s">
        <v>1966</v>
      </c>
      <c r="G11" s="22"/>
    </row>
    <row r="12" spans="1:7" ht="20.25" hidden="1" customHeight="1">
      <c r="A12" s="102">
        <v>7202</v>
      </c>
      <c r="B12" s="102">
        <v>7302</v>
      </c>
      <c r="C12" s="102">
        <v>7202</v>
      </c>
      <c r="D12" s="102" t="s">
        <v>498</v>
      </c>
      <c r="E12" s="26" t="s">
        <v>1967</v>
      </c>
      <c r="F12" s="166" t="s">
        <v>1966</v>
      </c>
      <c r="G12" s="22"/>
    </row>
    <row r="13" spans="1:7" ht="20.25" hidden="1" customHeight="1">
      <c r="A13" s="102">
        <v>7203</v>
      </c>
      <c r="B13" s="102">
        <v>7303</v>
      </c>
      <c r="C13" s="102">
        <v>7203</v>
      </c>
      <c r="D13" s="102" t="s">
        <v>498</v>
      </c>
      <c r="E13" s="26"/>
      <c r="F13" s="166" t="s">
        <v>1966</v>
      </c>
      <c r="G13" s="22"/>
    </row>
    <row r="14" spans="1:7" ht="20.25" hidden="1" customHeight="1">
      <c r="A14" s="102">
        <v>7551</v>
      </c>
      <c r="B14" s="102">
        <v>7552</v>
      </c>
      <c r="C14" s="102">
        <v>7551</v>
      </c>
      <c r="D14" s="102" t="s">
        <v>498</v>
      </c>
      <c r="E14" s="26" t="s">
        <v>1968</v>
      </c>
      <c r="F14" s="5"/>
      <c r="G14" s="22"/>
    </row>
    <row r="15" spans="1:7" ht="20.25" hidden="1" customHeight="1">
      <c r="A15" s="102">
        <v>9000</v>
      </c>
      <c r="B15" s="102">
        <v>9000</v>
      </c>
      <c r="C15" s="102">
        <f t="shared" si="0"/>
        <v>9000</v>
      </c>
      <c r="D15" s="102" t="s">
        <v>498</v>
      </c>
      <c r="E15" s="26" t="s">
        <v>1969</v>
      </c>
      <c r="F15" s="7"/>
      <c r="G15" s="170">
        <v>43986100</v>
      </c>
    </row>
    <row r="16" spans="1:7" ht="20.25" hidden="1" customHeight="1">
      <c r="A16" s="102">
        <v>9401</v>
      </c>
      <c r="B16" s="102">
        <v>9401</v>
      </c>
      <c r="C16" s="102">
        <f t="shared" si="0"/>
        <v>9401</v>
      </c>
      <c r="D16" s="102" t="s">
        <v>498</v>
      </c>
      <c r="E16" s="26" t="s">
        <v>1970</v>
      </c>
      <c r="F16" s="7"/>
      <c r="G16" s="22"/>
    </row>
    <row r="17" spans="1:7" ht="20.25" hidden="1" customHeight="1">
      <c r="A17" s="102">
        <v>9402</v>
      </c>
      <c r="B17" s="102">
        <v>9402</v>
      </c>
      <c r="C17" s="102">
        <f t="shared" si="0"/>
        <v>9402</v>
      </c>
      <c r="D17" s="102" t="s">
        <v>498</v>
      </c>
      <c r="E17" s="26" t="s">
        <v>1971</v>
      </c>
      <c r="F17" s="7"/>
      <c r="G17" s="22"/>
    </row>
    <row r="18" spans="1:7" ht="20.25" hidden="1" customHeight="1">
      <c r="A18" s="102">
        <v>9403</v>
      </c>
      <c r="B18" s="102">
        <v>9403</v>
      </c>
      <c r="C18" s="102">
        <f t="shared" si="0"/>
        <v>9403</v>
      </c>
      <c r="D18" s="102" t="s">
        <v>498</v>
      </c>
      <c r="E18" s="26" t="s">
        <v>1972</v>
      </c>
      <c r="F18" s="7"/>
      <c r="G18" s="22"/>
    </row>
    <row r="19" spans="1:7" ht="20.25" hidden="1" customHeight="1">
      <c r="A19" s="102">
        <v>9404</v>
      </c>
      <c r="B19" s="102">
        <v>9404</v>
      </c>
      <c r="C19" s="102">
        <f t="shared" si="0"/>
        <v>9404</v>
      </c>
      <c r="D19" s="102" t="s">
        <v>498</v>
      </c>
      <c r="E19" s="26" t="s">
        <v>1973</v>
      </c>
      <c r="F19" s="7"/>
      <c r="G19" s="22"/>
    </row>
    <row r="20" spans="1:7" ht="20.25" hidden="1" customHeight="1">
      <c r="A20" s="102">
        <v>9405</v>
      </c>
      <c r="B20" s="102">
        <v>9405</v>
      </c>
      <c r="C20" s="102">
        <f t="shared" si="0"/>
        <v>9405</v>
      </c>
      <c r="D20" s="102" t="s">
        <v>498</v>
      </c>
      <c r="E20" s="26" t="s">
        <v>1974</v>
      </c>
      <c r="F20" s="7"/>
      <c r="G20" s="22"/>
    </row>
    <row r="21" spans="1:7" ht="20.25" hidden="1" customHeight="1">
      <c r="A21" s="102">
        <v>8643</v>
      </c>
      <c r="B21" s="102">
        <v>9630</v>
      </c>
      <c r="C21" s="102">
        <f t="shared" si="0"/>
        <v>8643</v>
      </c>
      <c r="D21" s="102" t="s">
        <v>498</v>
      </c>
      <c r="E21" s="26" t="s">
        <v>1975</v>
      </c>
      <c r="F21" s="7"/>
      <c r="G21" s="22"/>
    </row>
    <row r="22" spans="1:7" ht="20.25" hidden="1" customHeight="1">
      <c r="A22" s="102">
        <v>9708</v>
      </c>
      <c r="B22" s="102">
        <v>9708</v>
      </c>
      <c r="C22" s="102">
        <f t="shared" si="0"/>
        <v>9708</v>
      </c>
      <c r="D22" s="102" t="s">
        <v>498</v>
      </c>
      <c r="E22" s="26" t="s">
        <v>1976</v>
      </c>
      <c r="F22" s="7" t="s">
        <v>1113</v>
      </c>
    </row>
    <row r="23" spans="1:7" ht="20.25" hidden="1" customHeight="1">
      <c r="A23" s="102">
        <v>8817</v>
      </c>
      <c r="B23" s="102">
        <v>9817</v>
      </c>
      <c r="C23" s="102">
        <f t="shared" si="0"/>
        <v>8817</v>
      </c>
      <c r="D23" s="102" t="s">
        <v>67</v>
      </c>
      <c r="E23" s="26"/>
      <c r="F23" s="7"/>
      <c r="G23" s="22"/>
    </row>
    <row r="24" spans="1:7" ht="20.25" hidden="1" customHeight="1">
      <c r="A24" s="102">
        <v>9996</v>
      </c>
      <c r="B24" s="102">
        <v>9996</v>
      </c>
      <c r="C24" s="102">
        <f t="shared" si="0"/>
        <v>9996</v>
      </c>
      <c r="D24" s="102" t="s">
        <v>1977</v>
      </c>
      <c r="E24" s="26" t="s">
        <v>1978</v>
      </c>
      <c r="F24" s="10"/>
      <c r="G24" s="22"/>
    </row>
    <row r="25" spans="1:7" ht="20.25" hidden="1" customHeight="1">
      <c r="A25" s="102">
        <v>10625</v>
      </c>
      <c r="B25" s="102">
        <v>10625</v>
      </c>
      <c r="C25" s="102">
        <f t="shared" si="0"/>
        <v>10625</v>
      </c>
      <c r="D25" s="102" t="s">
        <v>67</v>
      </c>
      <c r="E25" s="26" t="s">
        <v>599</v>
      </c>
      <c r="F25" s="10" t="s">
        <v>1979</v>
      </c>
      <c r="G25" s="22"/>
    </row>
    <row r="26" spans="1:7" ht="20.25" hidden="1" customHeight="1">
      <c r="A26" s="102">
        <v>10626</v>
      </c>
      <c r="B26" s="102">
        <v>10626</v>
      </c>
      <c r="C26" s="102">
        <f t="shared" si="0"/>
        <v>10626</v>
      </c>
      <c r="D26" s="102" t="s">
        <v>67</v>
      </c>
      <c r="E26" s="26" t="s">
        <v>600</v>
      </c>
      <c r="F26" s="10" t="s">
        <v>1979</v>
      </c>
      <c r="G26" s="22"/>
    </row>
    <row r="27" spans="1:7" ht="20.25" hidden="1" customHeight="1">
      <c r="A27" s="102">
        <v>8776</v>
      </c>
      <c r="B27" s="102">
        <v>10776</v>
      </c>
      <c r="C27" s="102">
        <f t="shared" si="0"/>
        <v>8776</v>
      </c>
      <c r="D27" s="102" t="s">
        <v>498</v>
      </c>
      <c r="E27" s="26" t="s">
        <v>1980</v>
      </c>
      <c r="F27" s="10"/>
      <c r="G27" s="22"/>
    </row>
    <row r="28" spans="1:7" ht="20.25" hidden="1" customHeight="1">
      <c r="A28" s="102">
        <v>10779</v>
      </c>
      <c r="B28" s="102">
        <v>10781</v>
      </c>
      <c r="C28" s="102">
        <f t="shared" si="0"/>
        <v>10779</v>
      </c>
      <c r="D28" s="102" t="s">
        <v>67</v>
      </c>
      <c r="E28" s="26" t="s">
        <v>1981</v>
      </c>
      <c r="F28" s="10"/>
      <c r="G28" s="161" t="s">
        <v>602</v>
      </c>
    </row>
    <row r="29" spans="1:7" ht="20.25" hidden="1" customHeight="1">
      <c r="A29" s="102">
        <v>11050</v>
      </c>
      <c r="B29" s="102">
        <v>11055</v>
      </c>
      <c r="C29" s="102">
        <f t="shared" si="0"/>
        <v>11050</v>
      </c>
      <c r="D29" s="102" t="s">
        <v>498</v>
      </c>
      <c r="E29" s="26" t="s">
        <v>1982</v>
      </c>
      <c r="F29" s="7" t="s">
        <v>1983</v>
      </c>
      <c r="G29" s="130" t="s">
        <v>1984</v>
      </c>
    </row>
    <row r="30" spans="1:7" ht="20.25" hidden="1" customHeight="1">
      <c r="A30" s="102">
        <v>11060</v>
      </c>
      <c r="B30" s="102">
        <v>11065</v>
      </c>
      <c r="C30" s="102">
        <f t="shared" si="0"/>
        <v>11060</v>
      </c>
      <c r="D30" s="102" t="s">
        <v>498</v>
      </c>
      <c r="E30" s="26" t="s">
        <v>1985</v>
      </c>
      <c r="F30" s="7" t="s">
        <v>1983</v>
      </c>
      <c r="G30" s="130" t="s">
        <v>1984</v>
      </c>
    </row>
    <row r="31" spans="1:7" ht="20.25" hidden="1" customHeight="1">
      <c r="A31" s="102">
        <v>13269</v>
      </c>
      <c r="B31" s="102">
        <v>11269</v>
      </c>
      <c r="C31" s="102">
        <f t="shared" si="0"/>
        <v>13269</v>
      </c>
      <c r="D31" s="102" t="s">
        <v>498</v>
      </c>
      <c r="E31" s="26" t="s">
        <v>1986</v>
      </c>
      <c r="F31" s="10"/>
      <c r="G31" s="22"/>
    </row>
    <row r="32" spans="1:7" ht="20.25" hidden="1" customHeight="1">
      <c r="A32" s="102">
        <v>11773</v>
      </c>
      <c r="B32" s="102">
        <v>11773</v>
      </c>
      <c r="C32" s="102">
        <f t="shared" si="0"/>
        <v>11773</v>
      </c>
      <c r="D32" s="102" t="s">
        <v>498</v>
      </c>
      <c r="E32" s="26" t="s">
        <v>1980</v>
      </c>
      <c r="F32" s="10"/>
      <c r="G32" s="22"/>
    </row>
    <row r="33" spans="1:7" ht="20.25" hidden="1" customHeight="1">
      <c r="A33" s="102">
        <v>11943</v>
      </c>
      <c r="B33" s="102">
        <v>11944</v>
      </c>
      <c r="C33" s="102">
        <f t="shared" si="0"/>
        <v>11943</v>
      </c>
      <c r="D33" s="102" t="s">
        <v>498</v>
      </c>
      <c r="E33" s="26" t="s">
        <v>1987</v>
      </c>
      <c r="F33" s="7"/>
      <c r="G33" s="22" t="s">
        <v>1988</v>
      </c>
    </row>
    <row r="34" spans="1:7" ht="20.25" hidden="1" customHeight="1">
      <c r="A34" s="102">
        <v>12002</v>
      </c>
      <c r="B34" s="102">
        <v>12001</v>
      </c>
      <c r="C34" s="102">
        <f t="shared" si="0"/>
        <v>12002</v>
      </c>
      <c r="D34" s="102" t="s">
        <v>498</v>
      </c>
      <c r="E34" s="26" t="s">
        <v>1989</v>
      </c>
      <c r="F34" s="7" t="s">
        <v>1990</v>
      </c>
      <c r="G34" s="22"/>
    </row>
    <row r="35" spans="1:7" ht="20.25" hidden="1" customHeight="1">
      <c r="A35" s="102">
        <v>12768</v>
      </c>
      <c r="B35" s="102">
        <v>12769</v>
      </c>
      <c r="C35" s="102">
        <f t="shared" si="0"/>
        <v>12768</v>
      </c>
      <c r="D35" s="102" t="s">
        <v>498</v>
      </c>
      <c r="E35" s="115" t="s">
        <v>1991</v>
      </c>
      <c r="F35" s="7" t="s">
        <v>1992</v>
      </c>
      <c r="G35" s="163">
        <v>98484203</v>
      </c>
    </row>
    <row r="36" spans="1:7" ht="20.25" hidden="1" customHeight="1">
      <c r="A36" s="102">
        <v>12773</v>
      </c>
      <c r="B36" s="102">
        <v>12773</v>
      </c>
      <c r="C36" s="102">
        <f t="shared" si="0"/>
        <v>12773</v>
      </c>
      <c r="D36" s="102" t="s">
        <v>498</v>
      </c>
      <c r="E36" s="115" t="s">
        <v>1993</v>
      </c>
      <c r="F36" s="7" t="s">
        <v>1994</v>
      </c>
      <c r="G36" s="163"/>
    </row>
    <row r="37" spans="1:7" ht="20.25" hidden="1" customHeight="1">
      <c r="A37" s="102">
        <v>13357</v>
      </c>
      <c r="B37" s="102">
        <v>13358</v>
      </c>
      <c r="C37" s="102">
        <f t="shared" si="0"/>
        <v>13357</v>
      </c>
      <c r="D37" s="102" t="s">
        <v>67</v>
      </c>
      <c r="E37" s="26" t="s">
        <v>1995</v>
      </c>
      <c r="F37" s="10"/>
      <c r="G37" s="22" t="s">
        <v>538</v>
      </c>
    </row>
    <row r="38" spans="1:7" ht="20.25" hidden="1" customHeight="1">
      <c r="A38" s="102">
        <v>13441</v>
      </c>
      <c r="B38" s="102">
        <v>13442</v>
      </c>
      <c r="C38" s="102">
        <f t="shared" si="0"/>
        <v>13441</v>
      </c>
      <c r="D38" s="102" t="s">
        <v>498</v>
      </c>
      <c r="E38" s="26" t="s">
        <v>1996</v>
      </c>
      <c r="F38" s="7"/>
      <c r="G38" s="22" t="s">
        <v>697</v>
      </c>
    </row>
    <row r="39" spans="1:7" ht="20.25" hidden="1" customHeight="1">
      <c r="A39" s="102">
        <v>13476</v>
      </c>
      <c r="B39" s="102">
        <v>13477</v>
      </c>
      <c r="C39" s="102">
        <f t="shared" si="0"/>
        <v>13476</v>
      </c>
      <c r="D39" s="102" t="s">
        <v>498</v>
      </c>
      <c r="E39" s="26" t="s">
        <v>1997</v>
      </c>
      <c r="F39" s="7"/>
      <c r="G39" s="22" t="s">
        <v>1998</v>
      </c>
    </row>
    <row r="40" spans="1:7" ht="20.25" hidden="1" customHeight="1">
      <c r="A40" s="102">
        <v>13478</v>
      </c>
      <c r="B40" s="102">
        <v>13479</v>
      </c>
      <c r="C40" s="102">
        <f t="shared" si="0"/>
        <v>13478</v>
      </c>
      <c r="D40" s="102" t="s">
        <v>498</v>
      </c>
      <c r="E40" s="26" t="s">
        <v>1999</v>
      </c>
      <c r="F40" s="7"/>
      <c r="G40" s="22" t="s">
        <v>1998</v>
      </c>
    </row>
    <row r="41" spans="1:7" ht="20.25" hidden="1" customHeight="1">
      <c r="A41" s="102">
        <v>16260</v>
      </c>
      <c r="B41" s="102">
        <v>13528</v>
      </c>
      <c r="C41" s="102">
        <f t="shared" si="0"/>
        <v>16260</v>
      </c>
      <c r="D41" s="102" t="s">
        <v>498</v>
      </c>
      <c r="E41" s="26" t="s">
        <v>2000</v>
      </c>
      <c r="F41" s="10"/>
      <c r="G41" s="22"/>
    </row>
    <row r="42" spans="1:7" ht="20.25" hidden="1" customHeight="1">
      <c r="A42" s="102">
        <v>10001</v>
      </c>
      <c r="B42" s="102">
        <v>14001</v>
      </c>
      <c r="C42" s="102">
        <f t="shared" si="0"/>
        <v>10001</v>
      </c>
      <c r="D42" s="102" t="s">
        <v>498</v>
      </c>
      <c r="E42" s="26" t="s">
        <v>2001</v>
      </c>
      <c r="F42" s="7"/>
      <c r="G42" s="22" t="s">
        <v>1665</v>
      </c>
    </row>
    <row r="43" spans="1:7" ht="20.25" hidden="1" customHeight="1">
      <c r="A43" s="102">
        <v>10002</v>
      </c>
      <c r="B43" s="102">
        <v>14002</v>
      </c>
      <c r="C43" s="102">
        <f t="shared" si="0"/>
        <v>10002</v>
      </c>
      <c r="D43" s="102" t="s">
        <v>67</v>
      </c>
      <c r="E43" s="26" t="s">
        <v>2002</v>
      </c>
      <c r="F43" s="7"/>
      <c r="G43" s="22"/>
    </row>
    <row r="44" spans="1:7" ht="20.25" hidden="1" customHeight="1">
      <c r="A44" s="102">
        <v>10003</v>
      </c>
      <c r="B44" s="102">
        <v>14003</v>
      </c>
      <c r="C44" s="102">
        <f t="shared" si="0"/>
        <v>20003</v>
      </c>
      <c r="D44" s="102" t="s">
        <v>498</v>
      </c>
      <c r="E44" s="26" t="s">
        <v>2003</v>
      </c>
      <c r="F44" s="7"/>
      <c r="G44" s="22"/>
    </row>
    <row r="45" spans="1:7" ht="20.25" hidden="1" customHeight="1">
      <c r="A45" s="102">
        <v>10004</v>
      </c>
      <c r="B45" s="102">
        <v>14004</v>
      </c>
      <c r="C45" s="102">
        <f t="shared" si="0"/>
        <v>20004</v>
      </c>
      <c r="D45" s="102" t="s">
        <v>498</v>
      </c>
      <c r="E45" s="26" t="s">
        <v>2004</v>
      </c>
      <c r="F45" s="7"/>
      <c r="G45" s="22"/>
    </row>
    <row r="46" spans="1:7" ht="20.25" hidden="1" customHeight="1">
      <c r="A46" s="102">
        <v>10005</v>
      </c>
      <c r="B46" s="102">
        <v>14005</v>
      </c>
      <c r="C46" s="102">
        <f t="shared" si="0"/>
        <v>20005</v>
      </c>
      <c r="D46" s="102" t="s">
        <v>498</v>
      </c>
      <c r="E46" s="26" t="s">
        <v>2005</v>
      </c>
      <c r="F46" s="7"/>
      <c r="G46" s="22"/>
    </row>
    <row r="47" spans="1:7" ht="20.25" hidden="1" customHeight="1">
      <c r="A47" s="102">
        <v>10006</v>
      </c>
      <c r="B47" s="102">
        <v>14006</v>
      </c>
      <c r="C47" s="102">
        <f t="shared" si="0"/>
        <v>10006</v>
      </c>
      <c r="D47" s="102" t="s">
        <v>498</v>
      </c>
      <c r="E47" s="26" t="s">
        <v>2006</v>
      </c>
      <c r="F47" s="7"/>
      <c r="G47" s="22"/>
    </row>
    <row r="48" spans="1:7" ht="20.25" hidden="1" customHeight="1">
      <c r="A48" s="102">
        <v>10007</v>
      </c>
      <c r="B48" s="102">
        <v>14007</v>
      </c>
      <c r="C48" s="102">
        <f t="shared" si="0"/>
        <v>10007</v>
      </c>
      <c r="D48" s="102" t="s">
        <v>498</v>
      </c>
      <c r="E48" s="26" t="s">
        <v>2007</v>
      </c>
      <c r="F48" s="7"/>
      <c r="G48" s="22"/>
    </row>
    <row r="49" spans="1:7" ht="20.25" hidden="1" customHeight="1">
      <c r="A49" s="102">
        <v>10008</v>
      </c>
      <c r="B49" s="102">
        <v>14008</v>
      </c>
      <c r="C49" s="102">
        <f t="shared" si="0"/>
        <v>10008</v>
      </c>
      <c r="D49" s="102" t="s">
        <v>498</v>
      </c>
      <c r="E49" s="26" t="s">
        <v>2008</v>
      </c>
      <c r="F49" s="7"/>
      <c r="G49" s="22"/>
    </row>
    <row r="50" spans="1:7" ht="20.25" hidden="1" customHeight="1">
      <c r="A50" s="102">
        <v>10011</v>
      </c>
      <c r="B50" s="102">
        <v>14011</v>
      </c>
      <c r="C50" s="102">
        <f t="shared" si="0"/>
        <v>20011</v>
      </c>
      <c r="D50" s="102" t="s">
        <v>498</v>
      </c>
      <c r="E50" s="26" t="s">
        <v>2009</v>
      </c>
      <c r="F50" s="7"/>
      <c r="G50" s="22"/>
    </row>
    <row r="51" spans="1:7" ht="20.25" hidden="1" customHeight="1">
      <c r="A51" s="102">
        <v>10012</v>
      </c>
      <c r="B51" s="102">
        <v>14012</v>
      </c>
      <c r="C51" s="102">
        <f t="shared" si="0"/>
        <v>20012</v>
      </c>
      <c r="D51" s="102" t="s">
        <v>498</v>
      </c>
      <c r="E51" s="26" t="s">
        <v>2010</v>
      </c>
      <c r="F51" s="7"/>
      <c r="G51" s="22"/>
    </row>
    <row r="52" spans="1:7" ht="20.25" hidden="1" customHeight="1">
      <c r="A52" s="102">
        <v>10013</v>
      </c>
      <c r="B52" s="102">
        <v>14013</v>
      </c>
      <c r="C52" s="102">
        <f t="shared" si="0"/>
        <v>10013</v>
      </c>
      <c r="D52" s="102" t="s">
        <v>67</v>
      </c>
      <c r="E52" s="26" t="s">
        <v>2011</v>
      </c>
      <c r="F52" s="7"/>
      <c r="G52" s="22"/>
    </row>
    <row r="53" spans="1:7" ht="20.25" hidden="1" customHeight="1">
      <c r="A53" s="102">
        <v>10200</v>
      </c>
      <c r="B53" s="102">
        <v>14013</v>
      </c>
      <c r="C53" s="102">
        <f t="shared" si="0"/>
        <v>20200</v>
      </c>
      <c r="D53" s="102" t="s">
        <v>498</v>
      </c>
      <c r="E53" s="26" t="s">
        <v>2012</v>
      </c>
      <c r="F53" s="7"/>
      <c r="G53" s="22"/>
    </row>
    <row r="54" spans="1:7" ht="20.25" hidden="1" customHeight="1">
      <c r="A54" s="102">
        <v>10014</v>
      </c>
      <c r="B54" s="102">
        <v>14014</v>
      </c>
      <c r="C54" s="102">
        <f t="shared" si="0"/>
        <v>10014</v>
      </c>
      <c r="D54" s="102" t="s">
        <v>498</v>
      </c>
      <c r="E54" s="26" t="s">
        <v>2013</v>
      </c>
      <c r="F54" s="7"/>
      <c r="G54" s="22" t="s">
        <v>2014</v>
      </c>
    </row>
    <row r="55" spans="1:7" ht="20.25" hidden="1" customHeight="1">
      <c r="A55" s="102">
        <v>10015</v>
      </c>
      <c r="B55" s="102">
        <v>14015</v>
      </c>
      <c r="C55" s="102">
        <f t="shared" si="0"/>
        <v>20015</v>
      </c>
      <c r="D55" s="102" t="s">
        <v>498</v>
      </c>
      <c r="E55" s="26" t="s">
        <v>2015</v>
      </c>
      <c r="F55" s="7"/>
      <c r="G55" s="22"/>
    </row>
    <row r="56" spans="1:7" ht="20.25" hidden="1" customHeight="1">
      <c r="A56" s="102">
        <v>10016</v>
      </c>
      <c r="B56" s="102">
        <v>14016</v>
      </c>
      <c r="C56" s="102">
        <f t="shared" si="0"/>
        <v>10016</v>
      </c>
      <c r="D56" s="102" t="s">
        <v>498</v>
      </c>
      <c r="E56" s="26" t="s">
        <v>2016</v>
      </c>
      <c r="F56" s="7"/>
      <c r="G56" s="22" t="s">
        <v>2014</v>
      </c>
    </row>
    <row r="57" spans="1:7" ht="15" hidden="1">
      <c r="A57" s="102">
        <v>10017</v>
      </c>
      <c r="B57" s="102">
        <v>14017</v>
      </c>
      <c r="C57" s="102">
        <f t="shared" si="0"/>
        <v>20017</v>
      </c>
      <c r="D57" s="102" t="s">
        <v>498</v>
      </c>
      <c r="E57" s="26" t="s">
        <v>2017</v>
      </c>
      <c r="F57" s="7"/>
      <c r="G57" s="22" t="s">
        <v>2018</v>
      </c>
    </row>
    <row r="58" spans="1:7" ht="20.25" customHeight="1">
      <c r="A58" s="102">
        <v>10018</v>
      </c>
      <c r="B58" s="102">
        <v>14018</v>
      </c>
      <c r="C58" s="102">
        <f t="shared" si="0"/>
        <v>20018</v>
      </c>
      <c r="D58" s="102" t="s">
        <v>549</v>
      </c>
      <c r="E58" s="26" t="s">
        <v>2019</v>
      </c>
      <c r="F58" s="7"/>
      <c r="G58" s="22"/>
    </row>
    <row r="59" spans="1:7" ht="20.25" hidden="1" customHeight="1">
      <c r="A59" s="102">
        <v>10019</v>
      </c>
      <c r="B59" s="102">
        <v>14019</v>
      </c>
      <c r="C59" s="102">
        <f t="shared" si="0"/>
        <v>10019</v>
      </c>
      <c r="D59" s="102" t="s">
        <v>498</v>
      </c>
      <c r="E59" s="26" t="s">
        <v>2020</v>
      </c>
      <c r="F59" s="7"/>
      <c r="G59" s="22" t="s">
        <v>2021</v>
      </c>
    </row>
    <row r="60" spans="1:7" ht="20.25" hidden="1" customHeight="1">
      <c r="A60" s="102">
        <v>10020</v>
      </c>
      <c r="B60" s="102">
        <v>14020</v>
      </c>
      <c r="C60" s="102">
        <f t="shared" si="0"/>
        <v>20020</v>
      </c>
      <c r="D60" s="102" t="s">
        <v>498</v>
      </c>
      <c r="E60" s="26" t="s">
        <v>2022</v>
      </c>
      <c r="F60" s="7"/>
      <c r="G60" s="22"/>
    </row>
    <row r="61" spans="1:7" ht="20.25" hidden="1" customHeight="1">
      <c r="A61" s="102">
        <v>14021</v>
      </c>
      <c r="B61" s="102">
        <v>14021</v>
      </c>
      <c r="C61" s="102">
        <f t="shared" si="0"/>
        <v>14021</v>
      </c>
      <c r="D61" s="102" t="s">
        <v>498</v>
      </c>
      <c r="E61" s="26" t="s">
        <v>2023</v>
      </c>
      <c r="F61" s="7"/>
      <c r="G61" s="22"/>
    </row>
    <row r="62" spans="1:7" ht="20.25" hidden="1" customHeight="1">
      <c r="A62" s="102">
        <v>10022</v>
      </c>
      <c r="B62" s="102">
        <v>14022</v>
      </c>
      <c r="C62" s="102">
        <f t="shared" si="0"/>
        <v>10022</v>
      </c>
      <c r="D62" s="102" t="s">
        <v>498</v>
      </c>
      <c r="E62" s="26" t="s">
        <v>2024</v>
      </c>
      <c r="F62" s="7"/>
      <c r="G62" s="22"/>
    </row>
    <row r="63" spans="1:7" ht="15" hidden="1">
      <c r="A63" s="102">
        <v>10023</v>
      </c>
      <c r="B63" s="102">
        <v>14023</v>
      </c>
      <c r="C63" s="102">
        <f t="shared" si="0"/>
        <v>20023</v>
      </c>
      <c r="D63" s="102" t="s">
        <v>498</v>
      </c>
      <c r="E63" s="26" t="s">
        <v>2025</v>
      </c>
      <c r="F63" s="7"/>
      <c r="G63" s="22" t="s">
        <v>2014</v>
      </c>
    </row>
    <row r="64" spans="1:7" ht="20.25" hidden="1" customHeight="1">
      <c r="A64" s="102">
        <v>10024</v>
      </c>
      <c r="B64" s="102">
        <v>14024</v>
      </c>
      <c r="C64" s="102">
        <f t="shared" si="0"/>
        <v>20024</v>
      </c>
      <c r="D64" s="102" t="s">
        <v>498</v>
      </c>
      <c r="E64" s="26" t="s">
        <v>2026</v>
      </c>
      <c r="F64" s="7"/>
      <c r="G64" s="22" t="s">
        <v>2014</v>
      </c>
    </row>
    <row r="65" spans="1:7" ht="20.25" hidden="1" customHeight="1">
      <c r="A65" s="102"/>
      <c r="B65" s="102"/>
      <c r="C65" s="102"/>
      <c r="D65" s="102" t="s">
        <v>498</v>
      </c>
      <c r="E65" s="26"/>
      <c r="F65" s="7"/>
      <c r="G65" s="22"/>
    </row>
    <row r="66" spans="1:7" ht="20.25" hidden="1" customHeight="1">
      <c r="A66" s="102">
        <v>10026</v>
      </c>
      <c r="B66" s="102">
        <v>14026</v>
      </c>
      <c r="C66" s="102">
        <f t="shared" si="0"/>
        <v>10026</v>
      </c>
      <c r="D66" s="102" t="s">
        <v>498</v>
      </c>
      <c r="E66" s="185" t="s">
        <v>2027</v>
      </c>
      <c r="F66" s="7"/>
      <c r="G66" s="22"/>
    </row>
    <row r="67" spans="1:7" ht="20.25" hidden="1" customHeight="1">
      <c r="A67" s="102">
        <v>10027</v>
      </c>
      <c r="B67" s="102">
        <v>14027</v>
      </c>
      <c r="C67" s="102">
        <f t="shared" si="0"/>
        <v>10027</v>
      </c>
      <c r="D67" s="102" t="s">
        <v>498</v>
      </c>
      <c r="E67" s="185" t="s">
        <v>2028</v>
      </c>
      <c r="F67" s="7"/>
      <c r="G67" s="22"/>
    </row>
    <row r="68" spans="1:7" ht="20.25" hidden="1" customHeight="1">
      <c r="A68" s="102">
        <v>10028</v>
      </c>
      <c r="B68" s="102">
        <v>14028</v>
      </c>
      <c r="C68" s="102">
        <f t="shared" ref="C68:C131" si="1">IF(ISERROR(FIND("B_Epic",E68)),A68,A68+10000)</f>
        <v>10028</v>
      </c>
      <c r="D68" s="102" t="s">
        <v>498</v>
      </c>
      <c r="E68" s="185" t="s">
        <v>2029</v>
      </c>
      <c r="F68" s="7"/>
      <c r="G68" s="22"/>
    </row>
    <row r="69" spans="1:7" ht="20.25" hidden="1" customHeight="1">
      <c r="A69" s="102">
        <v>10029</v>
      </c>
      <c r="B69" s="102">
        <v>14029</v>
      </c>
      <c r="C69" s="102">
        <f t="shared" si="1"/>
        <v>10029</v>
      </c>
      <c r="D69" s="102" t="s">
        <v>498</v>
      </c>
      <c r="E69" s="185" t="s">
        <v>2030</v>
      </c>
      <c r="F69" s="7"/>
      <c r="G69" s="22"/>
    </row>
    <row r="70" spans="1:7" ht="20.25" hidden="1" customHeight="1">
      <c r="A70" s="102">
        <v>10030</v>
      </c>
      <c r="B70" s="102">
        <v>14030</v>
      </c>
      <c r="C70" s="102">
        <f t="shared" si="1"/>
        <v>20030</v>
      </c>
      <c r="D70" s="102" t="s">
        <v>498</v>
      </c>
      <c r="E70" s="185" t="s">
        <v>2031</v>
      </c>
      <c r="F70" s="7"/>
      <c r="G70" s="22"/>
    </row>
    <row r="71" spans="1:7" ht="20.25" hidden="1" customHeight="1">
      <c r="A71" s="102">
        <v>10031</v>
      </c>
      <c r="B71" s="102">
        <v>14031</v>
      </c>
      <c r="C71" s="102">
        <f t="shared" si="1"/>
        <v>10031</v>
      </c>
      <c r="D71" s="102" t="s">
        <v>498</v>
      </c>
      <c r="E71" s="26" t="s">
        <v>2032</v>
      </c>
      <c r="F71" s="7" t="s">
        <v>2033</v>
      </c>
      <c r="G71" s="110"/>
    </row>
    <row r="72" spans="1:7" ht="20.25" hidden="1" customHeight="1">
      <c r="A72" s="102">
        <v>10009</v>
      </c>
      <c r="B72" s="102">
        <v>14032</v>
      </c>
      <c r="C72" s="102">
        <f t="shared" si="1"/>
        <v>10009</v>
      </c>
      <c r="D72" s="102" t="s">
        <v>498</v>
      </c>
      <c r="E72" s="26" t="s">
        <v>2034</v>
      </c>
      <c r="F72" s="7"/>
      <c r="G72" s="22"/>
    </row>
    <row r="73" spans="1:7" ht="20.25" hidden="1" customHeight="1">
      <c r="A73" s="102">
        <v>10032</v>
      </c>
      <c r="B73" s="102">
        <v>14032</v>
      </c>
      <c r="C73" s="102">
        <f t="shared" si="1"/>
        <v>10032</v>
      </c>
      <c r="D73" s="102" t="s">
        <v>498</v>
      </c>
      <c r="E73" s="185" t="s">
        <v>2035</v>
      </c>
      <c r="F73" s="7" t="s">
        <v>2036</v>
      </c>
      <c r="G73" s="22"/>
    </row>
    <row r="74" spans="1:7" ht="20.25" hidden="1" customHeight="1">
      <c r="A74" s="102">
        <v>10033</v>
      </c>
      <c r="B74" s="102">
        <v>14033</v>
      </c>
      <c r="C74" s="102">
        <f t="shared" si="1"/>
        <v>10033</v>
      </c>
      <c r="D74" s="102" t="s">
        <v>67</v>
      </c>
      <c r="E74" s="26" t="s">
        <v>2037</v>
      </c>
      <c r="F74" s="7"/>
      <c r="G74" s="22"/>
    </row>
    <row r="75" spans="1:7" ht="20.25" hidden="1" customHeight="1">
      <c r="A75" s="102">
        <v>10034</v>
      </c>
      <c r="B75" s="102">
        <v>14034</v>
      </c>
      <c r="C75" s="102">
        <f t="shared" si="1"/>
        <v>10034</v>
      </c>
      <c r="D75" s="102" t="s">
        <v>67</v>
      </c>
      <c r="E75" s="26" t="s">
        <v>2038</v>
      </c>
      <c r="F75" s="7"/>
      <c r="G75" s="22"/>
    </row>
    <row r="76" spans="1:7" ht="20.100000000000001" hidden="1" customHeight="1">
      <c r="A76" s="102">
        <v>10035</v>
      </c>
      <c r="B76" s="102">
        <v>14035</v>
      </c>
      <c r="C76" s="102">
        <f t="shared" si="1"/>
        <v>20035</v>
      </c>
      <c r="D76" s="102" t="s">
        <v>498</v>
      </c>
      <c r="E76" s="1" t="s">
        <v>2039</v>
      </c>
      <c r="F76" s="7"/>
      <c r="G76" s="22"/>
    </row>
    <row r="77" spans="1:7" ht="20.100000000000001" hidden="1" customHeight="1">
      <c r="A77" s="102">
        <v>9259</v>
      </c>
      <c r="B77" s="102">
        <v>14036</v>
      </c>
      <c r="C77" s="102">
        <f t="shared" si="1"/>
        <v>9259</v>
      </c>
      <c r="D77" s="102" t="s">
        <v>498</v>
      </c>
      <c r="E77" s="26" t="s">
        <v>2040</v>
      </c>
      <c r="F77" s="7"/>
      <c r="G77" s="22"/>
    </row>
    <row r="78" spans="1:7" ht="20.100000000000001" hidden="1" customHeight="1">
      <c r="A78" s="102">
        <v>10036</v>
      </c>
      <c r="B78" s="102">
        <v>14036</v>
      </c>
      <c r="C78" s="102">
        <f t="shared" si="1"/>
        <v>20036</v>
      </c>
      <c r="D78" s="102" t="s">
        <v>498</v>
      </c>
      <c r="E78" s="26" t="s">
        <v>863</v>
      </c>
      <c r="F78" s="7"/>
      <c r="G78" s="22"/>
    </row>
    <row r="79" spans="1:7" ht="20.100000000000001" hidden="1" customHeight="1">
      <c r="A79" s="102">
        <v>10037</v>
      </c>
      <c r="B79" s="102">
        <v>14037</v>
      </c>
      <c r="C79" s="102">
        <f t="shared" si="1"/>
        <v>10037</v>
      </c>
      <c r="D79" s="102" t="s">
        <v>498</v>
      </c>
      <c r="E79" s="26" t="s">
        <v>2041</v>
      </c>
      <c r="F79" s="7"/>
      <c r="G79" s="110" t="s">
        <v>2042</v>
      </c>
    </row>
    <row r="80" spans="1:7" ht="20.100000000000001" hidden="1" customHeight="1">
      <c r="A80" s="102">
        <v>10039</v>
      </c>
      <c r="B80" s="102">
        <v>14039</v>
      </c>
      <c r="C80" s="102">
        <f t="shared" si="1"/>
        <v>10039</v>
      </c>
      <c r="D80" s="102" t="s">
        <v>498</v>
      </c>
      <c r="E80" s="26" t="s">
        <v>2043</v>
      </c>
      <c r="F80" s="10"/>
      <c r="G80" s="22"/>
    </row>
    <row r="81" spans="1:7" ht="20.100000000000001" hidden="1" customHeight="1">
      <c r="A81" s="102">
        <v>10040</v>
      </c>
      <c r="B81" s="102">
        <v>14040</v>
      </c>
      <c r="C81" s="102">
        <f t="shared" si="1"/>
        <v>10040</v>
      </c>
      <c r="D81" s="102" t="s">
        <v>498</v>
      </c>
      <c r="E81" s="26" t="s">
        <v>2044</v>
      </c>
      <c r="F81" s="10"/>
      <c r="G81" s="22"/>
    </row>
    <row r="82" spans="1:7" ht="20.100000000000001" hidden="1" customHeight="1">
      <c r="A82" s="102">
        <v>10041</v>
      </c>
      <c r="B82" s="102">
        <v>14041</v>
      </c>
      <c r="C82" s="102">
        <f t="shared" si="1"/>
        <v>10041</v>
      </c>
      <c r="D82" s="102"/>
      <c r="E82" s="26" t="s">
        <v>2045</v>
      </c>
      <c r="F82" s="7"/>
      <c r="G82" s="22"/>
    </row>
    <row r="83" spans="1:7" ht="20.100000000000001" hidden="1" customHeight="1">
      <c r="A83" s="102">
        <v>10042</v>
      </c>
      <c r="B83" s="102">
        <v>14042</v>
      </c>
      <c r="C83" s="102">
        <f t="shared" si="1"/>
        <v>10042</v>
      </c>
      <c r="D83" s="102" t="s">
        <v>498</v>
      </c>
      <c r="E83" s="26" t="s">
        <v>2046</v>
      </c>
      <c r="F83" s="7"/>
      <c r="G83" s="22"/>
    </row>
    <row r="84" spans="1:7" ht="20.100000000000001" hidden="1" customHeight="1">
      <c r="A84" s="102">
        <v>10043</v>
      </c>
      <c r="B84" s="102">
        <v>14043</v>
      </c>
      <c r="C84" s="102">
        <f t="shared" si="1"/>
        <v>10043</v>
      </c>
      <c r="D84" s="102" t="s">
        <v>498</v>
      </c>
      <c r="E84" s="26" t="s">
        <v>2047</v>
      </c>
      <c r="F84" s="10"/>
      <c r="G84" s="22"/>
    </row>
    <row r="85" spans="1:7" ht="20.100000000000001" hidden="1" customHeight="1">
      <c r="A85" s="102">
        <v>10044</v>
      </c>
      <c r="B85" s="102">
        <v>14044</v>
      </c>
      <c r="C85" s="102">
        <f t="shared" si="1"/>
        <v>10044</v>
      </c>
      <c r="D85" s="102" t="s">
        <v>498</v>
      </c>
      <c r="E85" s="26" t="s">
        <v>2048</v>
      </c>
      <c r="F85" s="7"/>
      <c r="G85" s="22"/>
    </row>
    <row r="86" spans="1:7" ht="20.100000000000001" hidden="1" customHeight="1">
      <c r="A86" s="102">
        <v>10045</v>
      </c>
      <c r="B86" s="102">
        <v>14045</v>
      </c>
      <c r="C86" s="102">
        <f t="shared" si="1"/>
        <v>10045</v>
      </c>
      <c r="D86" s="102" t="s">
        <v>498</v>
      </c>
      <c r="E86" s="224" t="s">
        <v>2049</v>
      </c>
      <c r="F86" s="10"/>
      <c r="G86" s="22"/>
    </row>
    <row r="87" spans="1:7" ht="20.100000000000001" hidden="1" customHeight="1">
      <c r="A87" s="102">
        <v>10046</v>
      </c>
      <c r="B87" s="102">
        <v>14046</v>
      </c>
      <c r="C87" s="102">
        <f t="shared" si="1"/>
        <v>20046</v>
      </c>
      <c r="D87" s="102" t="s">
        <v>498</v>
      </c>
      <c r="E87" s="26" t="s">
        <v>861</v>
      </c>
      <c r="F87" s="7"/>
      <c r="G87" s="22"/>
    </row>
    <row r="88" spans="1:7" ht="20.25" hidden="1" customHeight="1">
      <c r="A88" s="102">
        <v>10047</v>
      </c>
      <c r="B88" s="102">
        <v>14047</v>
      </c>
      <c r="C88" s="102">
        <f t="shared" si="1"/>
        <v>10047</v>
      </c>
      <c r="D88" s="102" t="s">
        <v>67</v>
      </c>
      <c r="E88" s="238" t="s">
        <v>2050</v>
      </c>
      <c r="F88" s="7"/>
      <c r="G88" s="22"/>
    </row>
    <row r="89" spans="1:7" ht="20.25" hidden="1" customHeight="1">
      <c r="A89" s="102">
        <v>10048</v>
      </c>
      <c r="B89" s="102">
        <v>14048</v>
      </c>
      <c r="C89" s="102">
        <f t="shared" si="1"/>
        <v>10048</v>
      </c>
      <c r="D89" s="102" t="s">
        <v>498</v>
      </c>
      <c r="E89" s="26" t="s">
        <v>2051</v>
      </c>
      <c r="F89" s="7"/>
      <c r="G89" s="22" t="s">
        <v>2052</v>
      </c>
    </row>
    <row r="90" spans="1:7" ht="20.25" hidden="1" customHeight="1">
      <c r="A90" s="102">
        <v>10049</v>
      </c>
      <c r="B90" s="102">
        <v>14049</v>
      </c>
      <c r="C90" s="102">
        <f t="shared" si="1"/>
        <v>10049</v>
      </c>
      <c r="D90" s="102" t="s">
        <v>498</v>
      </c>
      <c r="E90" s="26" t="s">
        <v>2053</v>
      </c>
      <c r="F90" s="7" t="s">
        <v>337</v>
      </c>
      <c r="G90" s="110" t="s">
        <v>338</v>
      </c>
    </row>
    <row r="91" spans="1:7" ht="20.25" hidden="1" customHeight="1">
      <c r="A91" s="102">
        <v>10050</v>
      </c>
      <c r="B91" s="102">
        <v>14050</v>
      </c>
      <c r="C91" s="102">
        <f t="shared" si="1"/>
        <v>10050</v>
      </c>
      <c r="D91" s="102" t="s">
        <v>498</v>
      </c>
      <c r="E91" s="26" t="s">
        <v>2054</v>
      </c>
      <c r="F91" s="7" t="s">
        <v>337</v>
      </c>
      <c r="G91" s="110" t="s">
        <v>338</v>
      </c>
    </row>
    <row r="92" spans="1:7" ht="20.25" hidden="1" customHeight="1">
      <c r="A92" s="102">
        <v>10051</v>
      </c>
      <c r="B92" s="102">
        <v>14051</v>
      </c>
      <c r="C92" s="102">
        <f t="shared" si="1"/>
        <v>10051</v>
      </c>
      <c r="D92" s="102" t="s">
        <v>498</v>
      </c>
      <c r="E92" s="26" t="s">
        <v>2055</v>
      </c>
      <c r="F92" s="7"/>
      <c r="G92" s="22"/>
    </row>
    <row r="93" spans="1:7" ht="20.25" hidden="1" customHeight="1">
      <c r="A93" s="102">
        <v>10052</v>
      </c>
      <c r="B93" s="102">
        <v>14052</v>
      </c>
      <c r="C93" s="102">
        <f t="shared" si="1"/>
        <v>10052</v>
      </c>
      <c r="D93" s="102" t="s">
        <v>498</v>
      </c>
      <c r="E93" s="26" t="s">
        <v>2056</v>
      </c>
      <c r="F93" s="7"/>
      <c r="G93" s="22"/>
    </row>
    <row r="94" spans="1:7" ht="20.25" hidden="1" customHeight="1">
      <c r="A94" s="102">
        <v>10053</v>
      </c>
      <c r="B94" s="102">
        <v>14053</v>
      </c>
      <c r="C94" s="102">
        <f t="shared" si="1"/>
        <v>10053</v>
      </c>
      <c r="D94" s="102" t="s">
        <v>498</v>
      </c>
      <c r="E94" s="26" t="s">
        <v>2057</v>
      </c>
      <c r="F94" s="7"/>
      <c r="G94" s="22"/>
    </row>
    <row r="95" spans="1:7" ht="15" hidden="1">
      <c r="A95" s="102">
        <v>10054</v>
      </c>
      <c r="B95" s="102">
        <v>14054</v>
      </c>
      <c r="C95" s="102">
        <f t="shared" si="1"/>
        <v>10054</v>
      </c>
      <c r="D95" s="102" t="s">
        <v>498</v>
      </c>
      <c r="E95" s="26" t="s">
        <v>2058</v>
      </c>
      <c r="F95" s="7"/>
      <c r="G95" s="22"/>
    </row>
    <row r="96" spans="1:7" ht="15" hidden="1">
      <c r="A96" s="102">
        <v>10055</v>
      </c>
      <c r="B96" s="102">
        <v>14055</v>
      </c>
      <c r="C96" s="102">
        <f t="shared" si="1"/>
        <v>10055</v>
      </c>
      <c r="D96" s="102" t="s">
        <v>498</v>
      </c>
      <c r="E96" s="26" t="s">
        <v>2059</v>
      </c>
      <c r="F96" s="7"/>
      <c r="G96" s="22"/>
    </row>
    <row r="97" spans="1:7" ht="20.25" hidden="1" customHeight="1">
      <c r="A97" s="102">
        <v>10056</v>
      </c>
      <c r="B97" s="102">
        <v>14056</v>
      </c>
      <c r="C97" s="102">
        <f t="shared" si="1"/>
        <v>10056</v>
      </c>
      <c r="D97" s="102" t="s">
        <v>498</v>
      </c>
      <c r="E97" s="26" t="s">
        <v>2060</v>
      </c>
      <c r="F97" s="7"/>
      <c r="G97" s="9" t="s">
        <v>697</v>
      </c>
    </row>
    <row r="98" spans="1:7" ht="20.25" hidden="1" customHeight="1">
      <c r="A98" s="102">
        <v>10057</v>
      </c>
      <c r="B98" s="102">
        <v>14057</v>
      </c>
      <c r="C98" s="102">
        <f t="shared" si="1"/>
        <v>10057</v>
      </c>
      <c r="D98" s="102" t="s">
        <v>498</v>
      </c>
      <c r="E98" s="26" t="s">
        <v>2061</v>
      </c>
      <c r="F98" s="7"/>
      <c r="G98" s="9" t="s">
        <v>697</v>
      </c>
    </row>
    <row r="99" spans="1:7" ht="20.25" hidden="1" customHeight="1">
      <c r="A99" s="102">
        <v>10058</v>
      </c>
      <c r="B99" s="102">
        <v>14058</v>
      </c>
      <c r="C99" s="102">
        <f t="shared" si="1"/>
        <v>10058</v>
      </c>
      <c r="D99" s="102" t="s">
        <v>498</v>
      </c>
      <c r="E99" s="26" t="s">
        <v>2062</v>
      </c>
      <c r="F99" s="7"/>
      <c r="G99" s="9" t="s">
        <v>697</v>
      </c>
    </row>
    <row r="100" spans="1:7" ht="20.25" hidden="1" customHeight="1">
      <c r="A100" s="102">
        <v>10059</v>
      </c>
      <c r="B100" s="102">
        <v>14059</v>
      </c>
      <c r="C100" s="102">
        <f t="shared" si="1"/>
        <v>10059</v>
      </c>
      <c r="D100" s="102" t="s">
        <v>498</v>
      </c>
      <c r="E100" s="26" t="s">
        <v>2063</v>
      </c>
      <c r="F100" s="7"/>
      <c r="G100" s="12"/>
    </row>
    <row r="101" spans="1:7" ht="20.25" hidden="1" customHeight="1">
      <c r="A101" s="102">
        <v>10060</v>
      </c>
      <c r="B101" s="102">
        <v>14060</v>
      </c>
      <c r="C101" s="102">
        <f t="shared" si="1"/>
        <v>10060</v>
      </c>
      <c r="D101" s="102" t="s">
        <v>498</v>
      </c>
      <c r="E101" s="26" t="s">
        <v>2064</v>
      </c>
      <c r="F101" s="7"/>
      <c r="G101" s="22"/>
    </row>
    <row r="102" spans="1:7" ht="20.25" hidden="1" customHeight="1">
      <c r="A102" s="102">
        <v>10061</v>
      </c>
      <c r="B102" s="102">
        <v>14061</v>
      </c>
      <c r="C102" s="102">
        <f t="shared" si="1"/>
        <v>20061</v>
      </c>
      <c r="D102" s="102" t="s">
        <v>498</v>
      </c>
      <c r="E102" s="26" t="s">
        <v>2065</v>
      </c>
      <c r="F102" s="7"/>
      <c r="G102" s="22"/>
    </row>
    <row r="103" spans="1:7" ht="20.25" hidden="1" customHeight="1">
      <c r="A103" s="102">
        <v>10062</v>
      </c>
      <c r="B103" s="102">
        <v>14062</v>
      </c>
      <c r="C103" s="102">
        <f t="shared" si="1"/>
        <v>20062</v>
      </c>
      <c r="D103" s="102" t="s">
        <v>498</v>
      </c>
      <c r="E103" s="26" t="s">
        <v>2066</v>
      </c>
      <c r="F103" s="7"/>
      <c r="G103" s="22"/>
    </row>
    <row r="104" spans="1:7" ht="20.25" hidden="1" customHeight="1">
      <c r="A104" s="102">
        <v>10063</v>
      </c>
      <c r="B104" s="102">
        <v>14063</v>
      </c>
      <c r="C104" s="102">
        <f t="shared" si="1"/>
        <v>20063</v>
      </c>
      <c r="D104" s="102" t="s">
        <v>498</v>
      </c>
      <c r="E104" s="26" t="s">
        <v>2067</v>
      </c>
      <c r="F104" s="7"/>
      <c r="G104" s="22" t="s">
        <v>2068</v>
      </c>
    </row>
    <row r="105" spans="1:7" ht="20.25" hidden="1" customHeight="1">
      <c r="A105" s="102">
        <v>10064</v>
      </c>
      <c r="B105" s="102">
        <v>14064</v>
      </c>
      <c r="C105" s="102">
        <f t="shared" si="1"/>
        <v>10064</v>
      </c>
      <c r="D105" s="102" t="s">
        <v>498</v>
      </c>
      <c r="E105" s="26" t="s">
        <v>2069</v>
      </c>
      <c r="F105" s="7"/>
      <c r="G105" s="22"/>
    </row>
    <row r="106" spans="1:7" ht="20.25" hidden="1" customHeight="1">
      <c r="A106" s="102">
        <v>10065</v>
      </c>
      <c r="B106" s="102">
        <v>14065</v>
      </c>
      <c r="C106" s="102">
        <f t="shared" si="1"/>
        <v>10065</v>
      </c>
      <c r="D106" s="102" t="s">
        <v>498</v>
      </c>
      <c r="E106" s="26" t="s">
        <v>2070</v>
      </c>
      <c r="F106" s="10"/>
      <c r="G106" s="22"/>
    </row>
    <row r="107" spans="1:7" ht="20.25" hidden="1" customHeight="1">
      <c r="A107" s="102">
        <v>10066</v>
      </c>
      <c r="B107" s="102">
        <v>14066</v>
      </c>
      <c r="C107" s="102">
        <f t="shared" si="1"/>
        <v>10066</v>
      </c>
      <c r="D107" s="102" t="s">
        <v>498</v>
      </c>
      <c r="E107" s="187" t="s">
        <v>2071</v>
      </c>
      <c r="F107" s="10"/>
      <c r="G107" s="22"/>
    </row>
    <row r="108" spans="1:7" ht="20.25" hidden="1" customHeight="1">
      <c r="A108" s="102">
        <v>10067</v>
      </c>
      <c r="B108" s="102">
        <v>14067</v>
      </c>
      <c r="C108" s="102">
        <f t="shared" si="1"/>
        <v>10067</v>
      </c>
      <c r="D108" s="102" t="s">
        <v>498</v>
      </c>
      <c r="E108" s="26" t="s">
        <v>2072</v>
      </c>
      <c r="F108" s="11"/>
      <c r="G108" s="22"/>
    </row>
    <row r="109" spans="1:7" ht="20.25" hidden="1" customHeight="1">
      <c r="A109" s="102">
        <v>10068</v>
      </c>
      <c r="B109" s="102">
        <v>14068</v>
      </c>
      <c r="C109" s="102">
        <f t="shared" si="1"/>
        <v>10068</v>
      </c>
      <c r="D109" s="102" t="s">
        <v>498</v>
      </c>
      <c r="E109" s="26" t="s">
        <v>2073</v>
      </c>
      <c r="F109" s="15" t="s">
        <v>2074</v>
      </c>
      <c r="G109" s="22"/>
    </row>
    <row r="110" spans="1:7" ht="20.25" hidden="1" customHeight="1">
      <c r="A110" s="102">
        <v>10069</v>
      </c>
      <c r="B110" s="102">
        <v>14069</v>
      </c>
      <c r="C110" s="102">
        <f t="shared" si="1"/>
        <v>20069</v>
      </c>
      <c r="D110" s="102" t="s">
        <v>498</v>
      </c>
      <c r="E110" s="26" t="s">
        <v>2075</v>
      </c>
      <c r="F110" s="15" t="s">
        <v>2074</v>
      </c>
      <c r="G110" s="22"/>
    </row>
    <row r="111" spans="1:7" ht="20.25" hidden="1" customHeight="1">
      <c r="A111" s="102">
        <v>10070</v>
      </c>
      <c r="B111" s="102">
        <v>14070</v>
      </c>
      <c r="C111" s="102">
        <f t="shared" si="1"/>
        <v>10070</v>
      </c>
      <c r="D111" s="102" t="s">
        <v>67</v>
      </c>
      <c r="E111" s="26" t="s">
        <v>2076</v>
      </c>
      <c r="F111" s="7"/>
      <c r="G111" s="22" t="s">
        <v>2077</v>
      </c>
    </row>
    <row r="112" spans="1:7" ht="20.25" hidden="1" customHeight="1">
      <c r="A112" s="102">
        <v>10071</v>
      </c>
      <c r="B112" s="102">
        <v>14071</v>
      </c>
      <c r="C112" s="102">
        <f t="shared" si="1"/>
        <v>10071</v>
      </c>
      <c r="D112" s="102" t="s">
        <v>67</v>
      </c>
      <c r="E112" s="26" t="s">
        <v>2078</v>
      </c>
      <c r="F112" s="10"/>
      <c r="G112" s="22" t="s">
        <v>2077</v>
      </c>
    </row>
    <row r="113" spans="1:7" ht="20.25" hidden="1" customHeight="1">
      <c r="A113" s="102">
        <v>10072</v>
      </c>
      <c r="B113" s="102">
        <v>14072</v>
      </c>
      <c r="C113" s="102">
        <f t="shared" si="1"/>
        <v>10072</v>
      </c>
      <c r="D113" s="102" t="s">
        <v>498</v>
      </c>
      <c r="E113" s="26" t="s">
        <v>2079</v>
      </c>
      <c r="F113" s="10"/>
      <c r="G113" s="22"/>
    </row>
    <row r="114" spans="1:7" ht="20.25" hidden="1" customHeight="1">
      <c r="A114" s="102">
        <v>10073</v>
      </c>
      <c r="B114" s="102">
        <v>14073</v>
      </c>
      <c r="C114" s="102">
        <f t="shared" si="1"/>
        <v>10073</v>
      </c>
      <c r="D114" s="102" t="s">
        <v>498</v>
      </c>
      <c r="E114" s="26" t="s">
        <v>2080</v>
      </c>
      <c r="F114" s="10"/>
      <c r="G114" s="22"/>
    </row>
    <row r="115" spans="1:7" ht="20.25" hidden="1" customHeight="1">
      <c r="A115" s="102">
        <v>10074</v>
      </c>
      <c r="B115" s="102">
        <v>14074</v>
      </c>
      <c r="C115" s="102">
        <f t="shared" si="1"/>
        <v>10074</v>
      </c>
      <c r="D115" s="102" t="s">
        <v>498</v>
      </c>
      <c r="E115" s="26" t="s">
        <v>2081</v>
      </c>
      <c r="F115" s="10"/>
      <c r="G115" s="22"/>
    </row>
    <row r="116" spans="1:7" ht="20.25" hidden="1" customHeight="1">
      <c r="A116" s="102">
        <v>10076</v>
      </c>
      <c r="B116" s="102">
        <v>14076</v>
      </c>
      <c r="C116" s="102">
        <f t="shared" si="1"/>
        <v>10076</v>
      </c>
      <c r="D116" s="102" t="s">
        <v>498</v>
      </c>
      <c r="E116" s="1" t="s">
        <v>2082</v>
      </c>
      <c r="F116" s="7"/>
    </row>
    <row r="117" spans="1:7" ht="20.25" hidden="1" customHeight="1">
      <c r="A117" s="102">
        <v>10077</v>
      </c>
      <c r="B117" s="102">
        <v>14077</v>
      </c>
      <c r="C117" s="102">
        <f t="shared" si="1"/>
        <v>10077</v>
      </c>
      <c r="D117" s="102" t="s">
        <v>498</v>
      </c>
      <c r="E117" s="26" t="s">
        <v>2083</v>
      </c>
      <c r="F117" s="7"/>
      <c r="G117" s="22"/>
    </row>
    <row r="118" spans="1:7" ht="20.25" hidden="1" customHeight="1">
      <c r="A118" s="102">
        <v>10078</v>
      </c>
      <c r="B118" s="102">
        <v>14078</v>
      </c>
      <c r="C118" s="102">
        <f t="shared" si="1"/>
        <v>10078</v>
      </c>
      <c r="D118" s="102" t="s">
        <v>498</v>
      </c>
      <c r="E118" s="26" t="s">
        <v>2084</v>
      </c>
      <c r="F118" s="7"/>
      <c r="G118" s="22"/>
    </row>
    <row r="119" spans="1:7" ht="20.25" hidden="1" customHeight="1">
      <c r="A119" s="102">
        <v>10079</v>
      </c>
      <c r="B119" s="102">
        <v>14079</v>
      </c>
      <c r="C119" s="102">
        <f t="shared" si="1"/>
        <v>20079</v>
      </c>
      <c r="D119" s="102" t="s">
        <v>498</v>
      </c>
      <c r="E119" s="26" t="s">
        <v>2085</v>
      </c>
      <c r="F119" s="10"/>
      <c r="G119" s="18" t="s">
        <v>2086</v>
      </c>
    </row>
    <row r="120" spans="1:7" ht="20.25" hidden="1" customHeight="1">
      <c r="A120" s="102">
        <v>10080</v>
      </c>
      <c r="B120" s="102">
        <v>14080</v>
      </c>
      <c r="C120" s="102">
        <f t="shared" si="1"/>
        <v>20080</v>
      </c>
      <c r="D120" s="102" t="s">
        <v>498</v>
      </c>
      <c r="E120" s="26" t="s">
        <v>2087</v>
      </c>
      <c r="F120" s="7"/>
      <c r="G120" s="22"/>
    </row>
    <row r="121" spans="1:7" ht="20.25" hidden="1" customHeight="1">
      <c r="A121" s="102">
        <v>10081</v>
      </c>
      <c r="B121" s="102">
        <v>14081</v>
      </c>
      <c r="C121" s="102">
        <f t="shared" si="1"/>
        <v>10081</v>
      </c>
      <c r="D121" s="102" t="s">
        <v>498</v>
      </c>
      <c r="E121" s="26" t="s">
        <v>2088</v>
      </c>
      <c r="F121" s="10"/>
      <c r="G121" s="22" t="s">
        <v>2089</v>
      </c>
    </row>
    <row r="122" spans="1:7" ht="20.25" hidden="1" customHeight="1">
      <c r="A122" s="102">
        <v>10082</v>
      </c>
      <c r="B122" s="102">
        <v>14082</v>
      </c>
      <c r="C122" s="102">
        <f t="shared" si="1"/>
        <v>10082</v>
      </c>
      <c r="D122" s="102" t="s">
        <v>498</v>
      </c>
      <c r="E122" s="26" t="s">
        <v>2090</v>
      </c>
      <c r="F122" s="10"/>
      <c r="G122" s="22"/>
    </row>
    <row r="123" spans="1:7" ht="20.25" hidden="1" customHeight="1">
      <c r="A123" s="102">
        <v>10083</v>
      </c>
      <c r="B123" s="102">
        <v>14083</v>
      </c>
      <c r="C123" s="102">
        <f t="shared" si="1"/>
        <v>10083</v>
      </c>
      <c r="D123" s="102" t="s">
        <v>498</v>
      </c>
      <c r="E123" s="26" t="s">
        <v>2091</v>
      </c>
      <c r="F123" s="10"/>
      <c r="G123" s="22" t="s">
        <v>2092</v>
      </c>
    </row>
    <row r="124" spans="1:7" ht="20.25" hidden="1" customHeight="1">
      <c r="A124" s="102">
        <v>10084</v>
      </c>
      <c r="B124" s="102">
        <v>14084</v>
      </c>
      <c r="C124" s="102">
        <f t="shared" si="1"/>
        <v>10084</v>
      </c>
      <c r="D124" s="102" t="s">
        <v>498</v>
      </c>
      <c r="E124" s="26" t="s">
        <v>2093</v>
      </c>
      <c r="F124" s="10"/>
      <c r="G124" s="22"/>
    </row>
    <row r="125" spans="1:7" ht="20.25" hidden="1" customHeight="1">
      <c r="A125" s="102">
        <v>10085</v>
      </c>
      <c r="B125" s="102">
        <v>14085</v>
      </c>
      <c r="C125" s="102">
        <f t="shared" si="1"/>
        <v>10085</v>
      </c>
      <c r="D125" s="102" t="s">
        <v>498</v>
      </c>
      <c r="E125" s="26" t="s">
        <v>2094</v>
      </c>
      <c r="F125" s="10"/>
      <c r="G125" s="22" t="s">
        <v>697</v>
      </c>
    </row>
    <row r="126" spans="1:7" ht="20.25" hidden="1" customHeight="1">
      <c r="A126" s="102">
        <v>10086</v>
      </c>
      <c r="B126" s="102">
        <v>14086</v>
      </c>
      <c r="C126" s="102">
        <f t="shared" si="1"/>
        <v>10086</v>
      </c>
      <c r="D126" s="102" t="s">
        <v>498</v>
      </c>
      <c r="E126" s="26" t="s">
        <v>2095</v>
      </c>
      <c r="F126" s="10"/>
      <c r="G126" s="22"/>
    </row>
    <row r="127" spans="1:7" ht="20.25" hidden="1" customHeight="1">
      <c r="A127" s="102">
        <v>10087</v>
      </c>
      <c r="B127" s="102">
        <v>14087</v>
      </c>
      <c r="C127" s="102">
        <f t="shared" si="1"/>
        <v>10087</v>
      </c>
      <c r="D127" s="102" t="s">
        <v>498</v>
      </c>
      <c r="E127" s="26" t="s">
        <v>2096</v>
      </c>
      <c r="F127" s="10"/>
      <c r="G127" s="22"/>
    </row>
    <row r="128" spans="1:7" ht="20.25" hidden="1" customHeight="1">
      <c r="A128" s="102">
        <v>10088</v>
      </c>
      <c r="B128" s="102">
        <v>14088</v>
      </c>
      <c r="C128" s="102">
        <f t="shared" si="1"/>
        <v>20088</v>
      </c>
      <c r="D128" s="102" t="s">
        <v>498</v>
      </c>
      <c r="E128" s="26" t="s">
        <v>2097</v>
      </c>
      <c r="F128" s="10"/>
      <c r="G128" s="22"/>
    </row>
    <row r="129" spans="1:7" ht="20.25" hidden="1" customHeight="1">
      <c r="A129" s="102">
        <v>10089</v>
      </c>
      <c r="B129" s="102">
        <v>14089</v>
      </c>
      <c r="C129" s="102">
        <f t="shared" si="1"/>
        <v>10089</v>
      </c>
      <c r="D129" s="102" t="s">
        <v>498</v>
      </c>
      <c r="E129" s="26" t="s">
        <v>2098</v>
      </c>
      <c r="F129" s="10" t="s">
        <v>2099</v>
      </c>
      <c r="G129" s="22"/>
    </row>
    <row r="130" spans="1:7" ht="20.25" hidden="1" customHeight="1">
      <c r="A130" s="102">
        <v>10090</v>
      </c>
      <c r="B130" s="102">
        <v>14090</v>
      </c>
      <c r="C130" s="102">
        <f t="shared" si="1"/>
        <v>10090</v>
      </c>
      <c r="D130" s="102" t="s">
        <v>498</v>
      </c>
      <c r="E130" s="26" t="s">
        <v>2100</v>
      </c>
      <c r="F130" s="10"/>
      <c r="G130" s="22"/>
    </row>
    <row r="131" spans="1:7" ht="20.25" hidden="1" customHeight="1">
      <c r="A131" s="102">
        <v>10091</v>
      </c>
      <c r="B131" s="102">
        <v>14091</v>
      </c>
      <c r="C131" s="102">
        <f t="shared" si="1"/>
        <v>10091</v>
      </c>
      <c r="D131" s="102" t="s">
        <v>498</v>
      </c>
      <c r="E131" s="26" t="s">
        <v>2101</v>
      </c>
      <c r="F131" s="10"/>
      <c r="G131" s="22"/>
    </row>
    <row r="132" spans="1:7" ht="20.25" hidden="1" customHeight="1">
      <c r="A132" s="102">
        <v>10092</v>
      </c>
      <c r="B132" s="102">
        <v>14092</v>
      </c>
      <c r="C132" s="102">
        <f t="shared" ref="C132:C195" si="2">IF(ISERROR(FIND("B_Epic",E132)),A132,A132+10000)</f>
        <v>20092</v>
      </c>
      <c r="D132" s="102" t="s">
        <v>498</v>
      </c>
      <c r="E132" s="26" t="s">
        <v>2102</v>
      </c>
      <c r="F132" s="10"/>
      <c r="G132" s="172" t="s">
        <v>136</v>
      </c>
    </row>
    <row r="133" spans="1:7" ht="20.25" hidden="1" customHeight="1">
      <c r="A133" s="102">
        <v>10093</v>
      </c>
      <c r="B133" s="102">
        <v>14093</v>
      </c>
      <c r="C133" s="102">
        <f t="shared" si="2"/>
        <v>20093</v>
      </c>
      <c r="D133" s="102" t="s">
        <v>498</v>
      </c>
      <c r="E133" s="26" t="s">
        <v>2103</v>
      </c>
      <c r="F133" s="10"/>
      <c r="G133" s="22"/>
    </row>
    <row r="134" spans="1:7" ht="20.25" hidden="1" customHeight="1">
      <c r="A134" s="102">
        <v>10180</v>
      </c>
      <c r="B134" s="102">
        <v>14094</v>
      </c>
      <c r="C134" s="102">
        <f t="shared" si="2"/>
        <v>10180</v>
      </c>
      <c r="D134" s="102" t="s">
        <v>498</v>
      </c>
      <c r="E134" s="26" t="s">
        <v>2104</v>
      </c>
      <c r="F134" s="5" t="s">
        <v>2105</v>
      </c>
      <c r="G134" s="22"/>
    </row>
    <row r="135" spans="1:7" ht="20.25" hidden="1" customHeight="1">
      <c r="A135" s="102">
        <v>10095</v>
      </c>
      <c r="B135" s="102">
        <v>14095</v>
      </c>
      <c r="C135" s="102">
        <f t="shared" si="2"/>
        <v>20095</v>
      </c>
      <c r="D135" s="102" t="s">
        <v>498</v>
      </c>
      <c r="E135" s="26" t="s">
        <v>2106</v>
      </c>
      <c r="F135" s="10"/>
      <c r="G135" s="22"/>
    </row>
    <row r="136" spans="1:7" ht="20.25" hidden="1" customHeight="1">
      <c r="A136" s="102">
        <v>10096</v>
      </c>
      <c r="B136" s="102">
        <v>14096</v>
      </c>
      <c r="C136" s="102">
        <f t="shared" si="2"/>
        <v>10096</v>
      </c>
      <c r="D136" s="102" t="s">
        <v>498</v>
      </c>
      <c r="E136" s="26"/>
      <c r="F136" s="7" t="s">
        <v>643</v>
      </c>
      <c r="G136" s="22"/>
    </row>
    <row r="137" spans="1:7" ht="20.25" hidden="1" customHeight="1">
      <c r="A137" s="102">
        <v>10097</v>
      </c>
      <c r="B137" s="102">
        <v>14097</v>
      </c>
      <c r="C137" s="102">
        <f t="shared" si="2"/>
        <v>10097</v>
      </c>
      <c r="D137" s="102" t="s">
        <v>498</v>
      </c>
      <c r="E137" s="26" t="s">
        <v>2107</v>
      </c>
      <c r="F137" s="10"/>
      <c r="G137" s="22"/>
    </row>
    <row r="138" spans="1:7" ht="20.25" hidden="1" customHeight="1">
      <c r="A138" s="102">
        <v>10098</v>
      </c>
      <c r="B138" s="102">
        <v>14098</v>
      </c>
      <c r="C138" s="102">
        <f t="shared" si="2"/>
        <v>20098</v>
      </c>
      <c r="D138" s="102" t="s">
        <v>498</v>
      </c>
      <c r="E138" s="188" t="s">
        <v>2108</v>
      </c>
      <c r="F138" s="10"/>
      <c r="G138" s="22"/>
    </row>
    <row r="139" spans="1:7" ht="20.25" hidden="1" customHeight="1">
      <c r="A139" s="102">
        <v>10099</v>
      </c>
      <c r="B139" s="102">
        <v>14099</v>
      </c>
      <c r="C139" s="102">
        <f t="shared" si="2"/>
        <v>10099</v>
      </c>
      <c r="D139" s="102" t="s">
        <v>498</v>
      </c>
      <c r="E139" s="188" t="s">
        <v>2109</v>
      </c>
      <c r="F139" s="10"/>
      <c r="G139" s="22"/>
    </row>
    <row r="140" spans="1:7" ht="20.25" hidden="1" customHeight="1">
      <c r="A140" s="102">
        <v>10100</v>
      </c>
      <c r="B140" s="102">
        <v>14100</v>
      </c>
      <c r="C140" s="102">
        <f t="shared" si="2"/>
        <v>10100</v>
      </c>
      <c r="D140" s="102" t="s">
        <v>498</v>
      </c>
      <c r="E140" s="188" t="s">
        <v>2110</v>
      </c>
      <c r="F140" s="7"/>
      <c r="G140" s="22"/>
    </row>
    <row r="141" spans="1:7" ht="20.25" hidden="1" customHeight="1">
      <c r="A141" s="102">
        <v>10100</v>
      </c>
      <c r="B141" s="102">
        <v>14101</v>
      </c>
      <c r="C141" s="102">
        <f t="shared" si="2"/>
        <v>10100</v>
      </c>
      <c r="D141" s="102" t="s">
        <v>498</v>
      </c>
      <c r="E141" s="188" t="s">
        <v>2110</v>
      </c>
      <c r="F141" s="7"/>
      <c r="G141" s="22"/>
    </row>
    <row r="142" spans="1:7" ht="20.25" hidden="1" customHeight="1">
      <c r="A142" s="102">
        <v>10102</v>
      </c>
      <c r="B142" s="102">
        <v>14102</v>
      </c>
      <c r="C142" s="102">
        <f t="shared" si="2"/>
        <v>10102</v>
      </c>
      <c r="D142" s="102" t="s">
        <v>67</v>
      </c>
      <c r="E142" s="188" t="s">
        <v>2111</v>
      </c>
      <c r="F142" s="7"/>
      <c r="G142" s="22" t="s">
        <v>2077</v>
      </c>
    </row>
    <row r="143" spans="1:7" ht="20.25" hidden="1" customHeight="1">
      <c r="A143" s="102">
        <v>10103</v>
      </c>
      <c r="B143" s="102">
        <v>14103</v>
      </c>
      <c r="C143" s="102">
        <f t="shared" si="2"/>
        <v>10103</v>
      </c>
      <c r="D143" s="102" t="s">
        <v>67</v>
      </c>
      <c r="E143" s="188" t="s">
        <v>2112</v>
      </c>
      <c r="F143" s="7"/>
      <c r="G143" s="22" t="s">
        <v>2077</v>
      </c>
    </row>
    <row r="144" spans="1:7" ht="20.25" hidden="1" customHeight="1">
      <c r="A144" s="102">
        <v>10104</v>
      </c>
      <c r="B144" s="102">
        <v>14104</v>
      </c>
      <c r="C144" s="102">
        <f t="shared" si="2"/>
        <v>10104</v>
      </c>
      <c r="D144" s="102" t="s">
        <v>67</v>
      </c>
      <c r="E144" s="26" t="s">
        <v>2113</v>
      </c>
      <c r="F144" s="7"/>
      <c r="G144" s="22" t="s">
        <v>2077</v>
      </c>
    </row>
    <row r="145" spans="1:7" ht="20.25" hidden="1" customHeight="1">
      <c r="A145" s="102">
        <v>10105</v>
      </c>
      <c r="B145" s="102">
        <v>14105</v>
      </c>
      <c r="C145" s="102">
        <f t="shared" si="2"/>
        <v>20105</v>
      </c>
      <c r="D145" s="102" t="s">
        <v>498</v>
      </c>
      <c r="E145" s="115" t="s">
        <v>2114</v>
      </c>
      <c r="F145" s="7"/>
      <c r="G145" s="22" t="s">
        <v>2115</v>
      </c>
    </row>
    <row r="146" spans="1:7" ht="20.25" hidden="1" customHeight="1">
      <c r="A146" s="102">
        <v>10106</v>
      </c>
      <c r="B146" s="102">
        <v>14106</v>
      </c>
      <c r="C146" s="102">
        <f t="shared" si="2"/>
        <v>10106</v>
      </c>
      <c r="D146" s="102" t="s">
        <v>498</v>
      </c>
      <c r="E146" s="26" t="s">
        <v>2116</v>
      </c>
      <c r="F146" s="7"/>
      <c r="G146" s="22" t="s">
        <v>697</v>
      </c>
    </row>
    <row r="147" spans="1:7" ht="20.25" hidden="1" customHeight="1">
      <c r="A147" s="102">
        <v>10107</v>
      </c>
      <c r="B147" s="102">
        <v>14107</v>
      </c>
      <c r="C147" s="102">
        <f t="shared" si="2"/>
        <v>10107</v>
      </c>
      <c r="D147" s="102" t="s">
        <v>498</v>
      </c>
      <c r="E147" s="26" t="s">
        <v>2117</v>
      </c>
      <c r="F147" s="7"/>
      <c r="G147" s="22"/>
    </row>
    <row r="148" spans="1:7" ht="20.25" hidden="1" customHeight="1">
      <c r="A148" s="102">
        <v>10108</v>
      </c>
      <c r="B148" s="102">
        <v>14108</v>
      </c>
      <c r="C148" s="102">
        <f t="shared" si="2"/>
        <v>20108</v>
      </c>
      <c r="D148" s="102" t="s">
        <v>498</v>
      </c>
      <c r="E148" s="26" t="s">
        <v>2118</v>
      </c>
      <c r="F148" s="7"/>
      <c r="G148" s="22"/>
    </row>
    <row r="149" spans="1:7" ht="20.25" hidden="1" customHeight="1">
      <c r="A149" s="102">
        <v>10109</v>
      </c>
      <c r="B149" s="102">
        <v>14109</v>
      </c>
      <c r="C149" s="102">
        <f t="shared" si="2"/>
        <v>20109</v>
      </c>
      <c r="D149" s="102" t="s">
        <v>498</v>
      </c>
      <c r="E149" s="115" t="s">
        <v>2119</v>
      </c>
      <c r="F149" s="7"/>
      <c r="G149" s="165" t="s">
        <v>2120</v>
      </c>
    </row>
    <row r="150" spans="1:7" ht="20.25" hidden="1" customHeight="1">
      <c r="A150" s="102">
        <v>10110</v>
      </c>
      <c r="B150" s="102">
        <v>14110</v>
      </c>
      <c r="C150" s="102">
        <f t="shared" si="2"/>
        <v>20110</v>
      </c>
      <c r="D150" s="102" t="s">
        <v>498</v>
      </c>
      <c r="E150" s="115" t="s">
        <v>2121</v>
      </c>
      <c r="F150" s="7"/>
      <c r="G150" s="165" t="s">
        <v>2120</v>
      </c>
    </row>
    <row r="151" spans="1:7" ht="20.25" hidden="1" customHeight="1">
      <c r="A151" s="102">
        <v>10111</v>
      </c>
      <c r="B151" s="102">
        <v>14111</v>
      </c>
      <c r="C151" s="102">
        <f t="shared" si="2"/>
        <v>20111</v>
      </c>
      <c r="D151" s="102" t="s">
        <v>498</v>
      </c>
      <c r="E151" s="187" t="s">
        <v>2122</v>
      </c>
      <c r="F151" s="7"/>
      <c r="G151" s="22"/>
    </row>
    <row r="152" spans="1:7" ht="20.25" hidden="1" customHeight="1">
      <c r="A152" s="102">
        <v>10112</v>
      </c>
      <c r="B152" s="102">
        <v>14112</v>
      </c>
      <c r="C152" s="102">
        <f t="shared" si="2"/>
        <v>20112</v>
      </c>
      <c r="D152" s="102" t="s">
        <v>498</v>
      </c>
      <c r="E152" s="187" t="s">
        <v>2123</v>
      </c>
      <c r="F152" s="7"/>
      <c r="G152" s="22"/>
    </row>
    <row r="153" spans="1:7" ht="20.25" hidden="1" customHeight="1">
      <c r="A153" s="102">
        <v>10113</v>
      </c>
      <c r="B153" s="102">
        <v>14113</v>
      </c>
      <c r="C153" s="102">
        <f t="shared" si="2"/>
        <v>10113</v>
      </c>
      <c r="D153" s="102" t="s">
        <v>498</v>
      </c>
      <c r="E153" s="187" t="s">
        <v>2124</v>
      </c>
      <c r="F153" s="7"/>
      <c r="G153" s="22"/>
    </row>
    <row r="154" spans="1:7" ht="20.25" hidden="1" customHeight="1">
      <c r="A154" s="102">
        <v>10114</v>
      </c>
      <c r="B154" s="102">
        <v>14114</v>
      </c>
      <c r="C154" s="102">
        <f t="shared" si="2"/>
        <v>10114</v>
      </c>
      <c r="D154" s="102" t="s">
        <v>498</v>
      </c>
      <c r="E154" s="187" t="s">
        <v>2125</v>
      </c>
      <c r="F154" s="7"/>
      <c r="G154" s="22"/>
    </row>
    <row r="155" spans="1:7" ht="20.25" hidden="1" customHeight="1">
      <c r="A155" s="102">
        <v>10115</v>
      </c>
      <c r="B155" s="102">
        <v>14115</v>
      </c>
      <c r="C155" s="102">
        <f t="shared" si="2"/>
        <v>10115</v>
      </c>
      <c r="D155" s="102" t="s">
        <v>498</v>
      </c>
      <c r="E155" s="187" t="s">
        <v>2126</v>
      </c>
      <c r="F155" s="7"/>
      <c r="G155" s="22"/>
    </row>
    <row r="156" spans="1:7" ht="20.25" hidden="1" customHeight="1">
      <c r="A156" s="102">
        <v>10116</v>
      </c>
      <c r="B156" s="102">
        <v>14116</v>
      </c>
      <c r="C156" s="102">
        <f t="shared" si="2"/>
        <v>10116</v>
      </c>
      <c r="D156" s="102" t="s">
        <v>498</v>
      </c>
      <c r="E156" s="187" t="s">
        <v>2127</v>
      </c>
      <c r="F156" s="7"/>
      <c r="G156" s="22"/>
    </row>
    <row r="157" spans="1:7" ht="20.25" hidden="1" customHeight="1">
      <c r="A157" s="102">
        <v>10117</v>
      </c>
      <c r="B157" s="102">
        <v>14117</v>
      </c>
      <c r="C157" s="102">
        <f t="shared" si="2"/>
        <v>20117</v>
      </c>
      <c r="D157" s="102" t="s">
        <v>498</v>
      </c>
      <c r="E157" s="187" t="s">
        <v>2128</v>
      </c>
      <c r="F157" s="7"/>
      <c r="G157" s="22"/>
    </row>
    <row r="158" spans="1:7" ht="20.25" hidden="1" customHeight="1">
      <c r="A158" s="102">
        <v>10118</v>
      </c>
      <c r="B158" s="102">
        <v>14118</v>
      </c>
      <c r="C158" s="102">
        <f t="shared" si="2"/>
        <v>20118</v>
      </c>
      <c r="D158" s="102" t="s">
        <v>498</v>
      </c>
      <c r="E158" s="26" t="s">
        <v>2129</v>
      </c>
      <c r="F158" s="7"/>
      <c r="G158" s="22" t="s">
        <v>2130</v>
      </c>
    </row>
    <row r="159" spans="1:7" ht="20.25" hidden="1" customHeight="1">
      <c r="A159" s="102">
        <v>10119</v>
      </c>
      <c r="B159" s="102">
        <v>14119</v>
      </c>
      <c r="C159" s="102">
        <f t="shared" si="2"/>
        <v>10119</v>
      </c>
      <c r="D159" s="102" t="s">
        <v>67</v>
      </c>
      <c r="E159" s="189" t="s">
        <v>2131</v>
      </c>
      <c r="F159" s="7"/>
      <c r="G159" s="132" t="s">
        <v>2077</v>
      </c>
    </row>
    <row r="160" spans="1:7" ht="20.25" hidden="1" customHeight="1">
      <c r="A160" s="102">
        <v>10120</v>
      </c>
      <c r="B160" s="102">
        <v>14120</v>
      </c>
      <c r="C160" s="102">
        <f t="shared" si="2"/>
        <v>10120</v>
      </c>
      <c r="D160" s="102" t="s">
        <v>67</v>
      </c>
      <c r="E160" s="26" t="s">
        <v>2132</v>
      </c>
      <c r="F160" s="7"/>
      <c r="G160" s="22" t="s">
        <v>2077</v>
      </c>
    </row>
    <row r="161" spans="1:7" ht="20.25" hidden="1" customHeight="1">
      <c r="A161" s="102">
        <v>10121</v>
      </c>
      <c r="B161" s="102">
        <v>14121</v>
      </c>
      <c r="C161" s="102">
        <f t="shared" si="2"/>
        <v>10121</v>
      </c>
      <c r="D161" s="102" t="s">
        <v>498</v>
      </c>
      <c r="E161" s="26" t="s">
        <v>2133</v>
      </c>
      <c r="F161" s="7"/>
      <c r="G161" s="22"/>
    </row>
    <row r="162" spans="1:7" ht="20.25" hidden="1" customHeight="1">
      <c r="A162" s="102">
        <v>10122</v>
      </c>
      <c r="B162" s="102">
        <v>14122</v>
      </c>
      <c r="C162" s="102">
        <f t="shared" si="2"/>
        <v>20122</v>
      </c>
      <c r="D162" s="102" t="s">
        <v>498</v>
      </c>
      <c r="E162" s="26" t="s">
        <v>864</v>
      </c>
      <c r="F162" s="7"/>
      <c r="G162" s="22"/>
    </row>
    <row r="163" spans="1:7" ht="20.25" hidden="1" customHeight="1">
      <c r="A163" s="102">
        <v>10123</v>
      </c>
      <c r="B163" s="102">
        <v>14123</v>
      </c>
      <c r="C163" s="102">
        <f t="shared" si="2"/>
        <v>20123</v>
      </c>
      <c r="D163" s="102" t="s">
        <v>498</v>
      </c>
      <c r="E163" s="26" t="s">
        <v>865</v>
      </c>
      <c r="F163" s="7"/>
      <c r="G163" s="22"/>
    </row>
    <row r="164" spans="1:7" ht="20.25" hidden="1" customHeight="1">
      <c r="A164" s="102">
        <v>10124</v>
      </c>
      <c r="B164" s="102">
        <v>14124</v>
      </c>
      <c r="C164" s="102">
        <f t="shared" si="2"/>
        <v>10124</v>
      </c>
      <c r="D164" s="102" t="s">
        <v>67</v>
      </c>
      <c r="E164" s="26" t="s">
        <v>2134</v>
      </c>
      <c r="F164" s="10"/>
      <c r="G164" s="10" t="s">
        <v>2077</v>
      </c>
    </row>
    <row r="165" spans="1:7" ht="20.25" hidden="1" customHeight="1">
      <c r="A165" s="102">
        <v>10125</v>
      </c>
      <c r="B165" s="102">
        <v>14125</v>
      </c>
      <c r="C165" s="102">
        <f t="shared" si="2"/>
        <v>10125</v>
      </c>
      <c r="D165" s="102" t="s">
        <v>67</v>
      </c>
      <c r="E165" s="26" t="s">
        <v>2135</v>
      </c>
      <c r="F165" s="7"/>
      <c r="G165" s="10" t="s">
        <v>2077</v>
      </c>
    </row>
    <row r="166" spans="1:7" ht="20.25" hidden="1" customHeight="1">
      <c r="A166" s="102">
        <v>10126</v>
      </c>
      <c r="B166" s="102">
        <v>14126</v>
      </c>
      <c r="C166" s="102">
        <f t="shared" si="2"/>
        <v>10126</v>
      </c>
      <c r="D166" s="102" t="s">
        <v>67</v>
      </c>
      <c r="E166" s="189" t="s">
        <v>2136</v>
      </c>
      <c r="F166" s="10"/>
      <c r="G166" s="10" t="s">
        <v>2077</v>
      </c>
    </row>
    <row r="167" spans="1:7" ht="20.25" hidden="1" customHeight="1">
      <c r="A167" s="102">
        <v>10127</v>
      </c>
      <c r="B167" s="102">
        <v>14127</v>
      </c>
      <c r="C167" s="102">
        <f t="shared" si="2"/>
        <v>20127</v>
      </c>
      <c r="D167" s="102" t="s">
        <v>498</v>
      </c>
      <c r="E167" s="26" t="s">
        <v>2137</v>
      </c>
      <c r="F167" s="10"/>
      <c r="G167" s="10"/>
    </row>
    <row r="168" spans="1:7" ht="20.25" hidden="1" customHeight="1">
      <c r="A168" s="102">
        <v>10128</v>
      </c>
      <c r="B168" s="102">
        <v>14128</v>
      </c>
      <c r="C168" s="102">
        <f t="shared" si="2"/>
        <v>20128</v>
      </c>
      <c r="D168" s="102" t="s">
        <v>498</v>
      </c>
      <c r="E168" s="115" t="s">
        <v>2138</v>
      </c>
      <c r="F168" s="10"/>
      <c r="G168" s="22" t="s">
        <v>2139</v>
      </c>
    </row>
    <row r="169" spans="1:7" ht="20.25" hidden="1" customHeight="1">
      <c r="A169" s="102">
        <v>10129</v>
      </c>
      <c r="B169" s="102">
        <v>14129</v>
      </c>
      <c r="C169" s="102">
        <f t="shared" si="2"/>
        <v>10129</v>
      </c>
      <c r="D169" s="102" t="s">
        <v>498</v>
      </c>
      <c r="E169" s="115" t="s">
        <v>2140</v>
      </c>
      <c r="F169" s="10"/>
      <c r="G169" s="22" t="s">
        <v>2139</v>
      </c>
    </row>
    <row r="170" spans="1:7" ht="20.25" hidden="1" customHeight="1">
      <c r="A170" s="102">
        <v>10130</v>
      </c>
      <c r="B170" s="102">
        <v>14130</v>
      </c>
      <c r="C170" s="102">
        <f t="shared" si="2"/>
        <v>10130</v>
      </c>
      <c r="D170" s="102" t="s">
        <v>498</v>
      </c>
      <c r="E170" s="115" t="s">
        <v>2141</v>
      </c>
      <c r="F170" s="7"/>
      <c r="G170" s="22" t="s">
        <v>2139</v>
      </c>
    </row>
    <row r="171" spans="1:7" ht="20.25" hidden="1" customHeight="1">
      <c r="A171" s="102">
        <v>10131</v>
      </c>
      <c r="B171" s="102">
        <v>14131</v>
      </c>
      <c r="C171" s="102">
        <f t="shared" si="2"/>
        <v>10131</v>
      </c>
      <c r="D171" s="102" t="s">
        <v>498</v>
      </c>
      <c r="E171" s="26" t="s">
        <v>2142</v>
      </c>
      <c r="F171" s="7"/>
      <c r="G171" s="22"/>
    </row>
    <row r="172" spans="1:7" ht="20.25" hidden="1" customHeight="1">
      <c r="A172" s="102">
        <v>10132</v>
      </c>
      <c r="B172" s="102">
        <v>14132</v>
      </c>
      <c r="C172" s="102">
        <f t="shared" si="2"/>
        <v>10132</v>
      </c>
      <c r="D172" s="102" t="s">
        <v>498</v>
      </c>
      <c r="E172" s="26" t="s">
        <v>2143</v>
      </c>
      <c r="F172" s="7"/>
      <c r="G172" s="22"/>
    </row>
    <row r="173" spans="1:7" ht="20.25" hidden="1" customHeight="1">
      <c r="A173" s="102">
        <v>10133</v>
      </c>
      <c r="B173" s="102">
        <v>14133</v>
      </c>
      <c r="C173" s="102">
        <f t="shared" si="2"/>
        <v>10133</v>
      </c>
      <c r="D173" s="102" t="s">
        <v>67</v>
      </c>
      <c r="E173" s="26" t="s">
        <v>2144</v>
      </c>
      <c r="F173" s="7"/>
      <c r="G173" s="22">
        <v>71074000</v>
      </c>
    </row>
    <row r="174" spans="1:7" ht="20.25" hidden="1" customHeight="1">
      <c r="A174" s="102">
        <v>10134</v>
      </c>
      <c r="B174" s="102">
        <v>14134</v>
      </c>
      <c r="C174" s="102">
        <f t="shared" si="2"/>
        <v>10134</v>
      </c>
      <c r="D174" s="102" t="s">
        <v>498</v>
      </c>
      <c r="E174" s="26" t="s">
        <v>2145</v>
      </c>
      <c r="F174" s="10"/>
      <c r="G174" s="22" t="s">
        <v>2139</v>
      </c>
    </row>
    <row r="175" spans="1:7" ht="20.25" hidden="1" customHeight="1">
      <c r="A175" s="102">
        <v>10135</v>
      </c>
      <c r="B175" s="102">
        <v>14135</v>
      </c>
      <c r="C175" s="102">
        <f t="shared" si="2"/>
        <v>20135</v>
      </c>
      <c r="D175" s="102" t="s">
        <v>498</v>
      </c>
      <c r="E175" s="26" t="s">
        <v>2146</v>
      </c>
      <c r="F175" s="7"/>
      <c r="G175" s="18" t="s">
        <v>663</v>
      </c>
    </row>
    <row r="176" spans="1:7" ht="20.25" hidden="1" customHeight="1">
      <c r="A176" s="102">
        <v>10136</v>
      </c>
      <c r="B176" s="102">
        <v>14136</v>
      </c>
      <c r="C176" s="102">
        <f t="shared" si="2"/>
        <v>20136</v>
      </c>
      <c r="D176" s="102" t="s">
        <v>498</v>
      </c>
      <c r="E176" s="26" t="s">
        <v>2147</v>
      </c>
      <c r="F176" s="10"/>
      <c r="G176" s="22"/>
    </row>
    <row r="177" spans="1:7" ht="20.25" hidden="1" customHeight="1">
      <c r="A177" s="102">
        <v>10137</v>
      </c>
      <c r="B177" s="102">
        <v>14137</v>
      </c>
      <c r="C177" s="102">
        <f t="shared" si="2"/>
        <v>20137</v>
      </c>
      <c r="D177" s="102" t="s">
        <v>498</v>
      </c>
      <c r="E177" s="26" t="s">
        <v>2148</v>
      </c>
      <c r="F177" s="7"/>
      <c r="G177" s="22"/>
    </row>
    <row r="178" spans="1:7" ht="20.25" hidden="1" customHeight="1">
      <c r="A178" s="102">
        <v>10138</v>
      </c>
      <c r="B178" s="102">
        <v>14138</v>
      </c>
      <c r="C178" s="102">
        <f t="shared" si="2"/>
        <v>20138</v>
      </c>
      <c r="D178" s="102" t="s">
        <v>498</v>
      </c>
      <c r="E178" s="26" t="s">
        <v>2149</v>
      </c>
      <c r="F178" s="7"/>
      <c r="G178" s="22"/>
    </row>
    <row r="179" spans="1:7" ht="20.25" hidden="1" customHeight="1">
      <c r="A179" s="102">
        <v>10139</v>
      </c>
      <c r="B179" s="102">
        <v>14139</v>
      </c>
      <c r="C179" s="102">
        <f t="shared" si="2"/>
        <v>20139</v>
      </c>
      <c r="D179" s="102" t="s">
        <v>498</v>
      </c>
      <c r="E179" s="26" t="s">
        <v>2150</v>
      </c>
      <c r="F179" s="10"/>
      <c r="G179" s="22"/>
    </row>
    <row r="180" spans="1:7" ht="20.25" hidden="1" customHeight="1">
      <c r="A180" s="102">
        <v>10140</v>
      </c>
      <c r="B180" s="102">
        <v>14140</v>
      </c>
      <c r="C180" s="102">
        <f t="shared" si="2"/>
        <v>20140</v>
      </c>
      <c r="D180" s="102" t="s">
        <v>498</v>
      </c>
      <c r="E180" s="26" t="s">
        <v>2151</v>
      </c>
      <c r="F180" s="7"/>
      <c r="G180" s="22"/>
    </row>
    <row r="181" spans="1:7" ht="20.25" hidden="1" customHeight="1">
      <c r="A181" s="102">
        <v>10141</v>
      </c>
      <c r="B181" s="102">
        <v>14141</v>
      </c>
      <c r="C181" s="102">
        <f t="shared" si="2"/>
        <v>10141</v>
      </c>
      <c r="D181" s="102" t="s">
        <v>67</v>
      </c>
      <c r="E181" s="26" t="s">
        <v>2152</v>
      </c>
      <c r="F181" s="7"/>
      <c r="G181" s="22"/>
    </row>
    <row r="182" spans="1:7" ht="20.25" hidden="1" customHeight="1">
      <c r="A182" s="102">
        <v>10142</v>
      </c>
      <c r="B182" s="102">
        <v>14142</v>
      </c>
      <c r="C182" s="102">
        <f t="shared" si="2"/>
        <v>10142</v>
      </c>
      <c r="D182" s="102" t="s">
        <v>498</v>
      </c>
      <c r="E182" s="26" t="s">
        <v>2153</v>
      </c>
      <c r="F182" s="7"/>
      <c r="G182" s="129" t="s">
        <v>2130</v>
      </c>
    </row>
    <row r="183" spans="1:7" ht="20.25" hidden="1" customHeight="1">
      <c r="A183" s="102">
        <v>10143</v>
      </c>
      <c r="B183" s="102">
        <v>14143</v>
      </c>
      <c r="C183" s="102">
        <f t="shared" si="2"/>
        <v>20143</v>
      </c>
      <c r="D183" s="102" t="s">
        <v>498</v>
      </c>
      <c r="E183" s="26" t="s">
        <v>2154</v>
      </c>
      <c r="F183" s="7"/>
      <c r="G183" s="129" t="s">
        <v>2130</v>
      </c>
    </row>
    <row r="184" spans="1:7" ht="20.25" hidden="1" customHeight="1">
      <c r="A184" s="102">
        <v>10144</v>
      </c>
      <c r="B184" s="102">
        <v>14144</v>
      </c>
      <c r="C184" s="102">
        <f t="shared" si="2"/>
        <v>20144</v>
      </c>
      <c r="D184" s="102" t="s">
        <v>498</v>
      </c>
      <c r="E184" s="26" t="s">
        <v>2155</v>
      </c>
      <c r="F184" s="7"/>
      <c r="G184" s="129" t="s">
        <v>2130</v>
      </c>
    </row>
    <row r="185" spans="1:7" ht="20.25" hidden="1" customHeight="1">
      <c r="A185" s="102">
        <v>10145</v>
      </c>
      <c r="B185" s="102">
        <v>14145</v>
      </c>
      <c r="C185" s="102">
        <f t="shared" si="2"/>
        <v>10145</v>
      </c>
      <c r="D185" s="102" t="s">
        <v>498</v>
      </c>
      <c r="E185" s="26" t="s">
        <v>2156</v>
      </c>
      <c r="F185" s="7"/>
      <c r="G185" s="129" t="s">
        <v>2130</v>
      </c>
    </row>
    <row r="186" spans="1:7" ht="20.25" hidden="1" customHeight="1">
      <c r="A186" s="102">
        <v>10146</v>
      </c>
      <c r="B186" s="102">
        <v>14146</v>
      </c>
      <c r="C186" s="102">
        <f t="shared" si="2"/>
        <v>20146</v>
      </c>
      <c r="D186" s="102" t="s">
        <v>498</v>
      </c>
      <c r="E186" s="26" t="s">
        <v>2157</v>
      </c>
      <c r="F186" s="7"/>
      <c r="G186" s="22"/>
    </row>
    <row r="187" spans="1:7" ht="20.25" hidden="1" customHeight="1">
      <c r="A187" s="102">
        <v>10147</v>
      </c>
      <c r="B187" s="102">
        <v>14147</v>
      </c>
      <c r="C187" s="102">
        <f t="shared" si="2"/>
        <v>20147</v>
      </c>
      <c r="D187" s="102" t="s">
        <v>498</v>
      </c>
      <c r="E187" s="26" t="s">
        <v>2158</v>
      </c>
      <c r="F187" s="7"/>
      <c r="G187" s="22"/>
    </row>
    <row r="188" spans="1:7" ht="20.25" hidden="1" customHeight="1">
      <c r="A188" s="102">
        <v>10148</v>
      </c>
      <c r="B188" s="102">
        <v>14148</v>
      </c>
      <c r="C188" s="102">
        <f t="shared" si="2"/>
        <v>10148</v>
      </c>
      <c r="D188" s="102" t="s">
        <v>498</v>
      </c>
      <c r="E188" s="26" t="s">
        <v>2159</v>
      </c>
      <c r="F188" s="7"/>
      <c r="G188" s="22" t="s">
        <v>2130</v>
      </c>
    </row>
    <row r="189" spans="1:7" ht="20.25" hidden="1" customHeight="1">
      <c r="A189" s="102">
        <v>10149</v>
      </c>
      <c r="B189" s="102">
        <v>14149</v>
      </c>
      <c r="C189" s="102">
        <f t="shared" si="2"/>
        <v>10149</v>
      </c>
      <c r="D189" s="102" t="s">
        <v>498</v>
      </c>
      <c r="E189" s="26" t="s">
        <v>2160</v>
      </c>
      <c r="F189" s="7"/>
      <c r="G189" s="20">
        <v>79286100</v>
      </c>
    </row>
    <row r="190" spans="1:7" ht="20.25" hidden="1" customHeight="1">
      <c r="A190" s="102">
        <v>10150</v>
      </c>
      <c r="B190" s="102">
        <v>14150</v>
      </c>
      <c r="C190" s="102">
        <f t="shared" si="2"/>
        <v>10150</v>
      </c>
      <c r="D190" s="102" t="s">
        <v>498</v>
      </c>
      <c r="E190" s="26" t="s">
        <v>2161</v>
      </c>
      <c r="F190" s="7"/>
      <c r="G190" s="22"/>
    </row>
    <row r="191" spans="1:7" ht="20.25" hidden="1" customHeight="1">
      <c r="A191" s="102">
        <v>10151</v>
      </c>
      <c r="B191" s="102">
        <v>14151</v>
      </c>
      <c r="C191" s="102">
        <f t="shared" si="2"/>
        <v>10151</v>
      </c>
      <c r="D191" s="102" t="s">
        <v>498</v>
      </c>
      <c r="E191" s="26" t="s">
        <v>2162</v>
      </c>
      <c r="F191" s="7"/>
      <c r="G191" s="22"/>
    </row>
    <row r="192" spans="1:7" ht="20.25" hidden="1" customHeight="1">
      <c r="A192" s="102">
        <v>10152</v>
      </c>
      <c r="B192" s="102">
        <v>14152</v>
      </c>
      <c r="C192" s="102">
        <f t="shared" si="2"/>
        <v>10152</v>
      </c>
      <c r="D192" s="102" t="s">
        <v>498</v>
      </c>
      <c r="E192" s="26" t="s">
        <v>2163</v>
      </c>
      <c r="F192" s="7"/>
      <c r="G192" s="22"/>
    </row>
    <row r="193" spans="1:7" ht="20.25" hidden="1" customHeight="1">
      <c r="A193" s="102">
        <v>10153</v>
      </c>
      <c r="B193" s="102">
        <v>14153</v>
      </c>
      <c r="C193" s="102">
        <f t="shared" si="2"/>
        <v>10153</v>
      </c>
      <c r="D193" s="102" t="s">
        <v>498</v>
      </c>
      <c r="E193" s="26" t="s">
        <v>2164</v>
      </c>
      <c r="F193" s="7"/>
      <c r="G193" s="22"/>
    </row>
    <row r="194" spans="1:7" ht="20.25" hidden="1" customHeight="1">
      <c r="A194" s="102">
        <v>10154</v>
      </c>
      <c r="B194" s="102">
        <v>14154</v>
      </c>
      <c r="C194" s="102">
        <f t="shared" si="2"/>
        <v>10154</v>
      </c>
      <c r="D194" s="102" t="s">
        <v>498</v>
      </c>
      <c r="E194" s="26" t="s">
        <v>2165</v>
      </c>
      <c r="F194" s="7"/>
      <c r="G194" s="22"/>
    </row>
    <row r="195" spans="1:7" ht="20.25" hidden="1" customHeight="1">
      <c r="A195" s="102">
        <v>10155</v>
      </c>
      <c r="B195" s="102">
        <v>14155</v>
      </c>
      <c r="C195" s="102">
        <f t="shared" si="2"/>
        <v>10155</v>
      </c>
      <c r="D195" s="102" t="s">
        <v>498</v>
      </c>
      <c r="E195" s="26" t="s">
        <v>2166</v>
      </c>
      <c r="F195" s="7"/>
      <c r="G195" s="22"/>
    </row>
    <row r="196" spans="1:7" ht="20.25" hidden="1" customHeight="1">
      <c r="A196" s="102">
        <v>10156</v>
      </c>
      <c r="B196" s="102">
        <v>14156</v>
      </c>
      <c r="C196" s="102">
        <f t="shared" ref="C196:C259" si="3">IF(ISERROR(FIND("B_Epic",E196)),A196,A196+10000)</f>
        <v>10156</v>
      </c>
      <c r="D196" s="102" t="s">
        <v>498</v>
      </c>
      <c r="E196" s="26" t="s">
        <v>2167</v>
      </c>
      <c r="F196" s="7"/>
      <c r="G196" s="22"/>
    </row>
    <row r="197" spans="1:7" ht="20.25" hidden="1" customHeight="1">
      <c r="A197" s="102">
        <v>10157</v>
      </c>
      <c r="B197" s="102">
        <v>14157</v>
      </c>
      <c r="C197" s="102">
        <f t="shared" si="3"/>
        <v>10157</v>
      </c>
      <c r="D197" s="102" t="s">
        <v>498</v>
      </c>
      <c r="E197" s="26" t="s">
        <v>2168</v>
      </c>
      <c r="F197" s="7"/>
      <c r="G197" s="22"/>
    </row>
    <row r="198" spans="1:7" ht="20.25" hidden="1" customHeight="1">
      <c r="A198" s="102">
        <v>10158</v>
      </c>
      <c r="B198" s="102">
        <v>14158</v>
      </c>
      <c r="C198" s="102">
        <f t="shared" si="3"/>
        <v>20158</v>
      </c>
      <c r="D198" s="102" t="s">
        <v>498</v>
      </c>
      <c r="E198" s="26" t="s">
        <v>2169</v>
      </c>
      <c r="F198" s="7"/>
      <c r="G198" s="22"/>
    </row>
    <row r="199" spans="1:7" ht="20.25" hidden="1" customHeight="1">
      <c r="A199" s="102">
        <v>10159</v>
      </c>
      <c r="B199" s="102">
        <v>14159</v>
      </c>
      <c r="C199" s="102">
        <f t="shared" si="3"/>
        <v>20159</v>
      </c>
      <c r="D199" s="102" t="s">
        <v>498</v>
      </c>
      <c r="E199" s="26" t="s">
        <v>2170</v>
      </c>
      <c r="F199" s="10"/>
      <c r="G199" s="22"/>
    </row>
    <row r="200" spans="1:7" ht="20.25" hidden="1" customHeight="1">
      <c r="A200" s="102">
        <v>10160</v>
      </c>
      <c r="B200" s="102">
        <v>14160</v>
      </c>
      <c r="C200" s="102">
        <f t="shared" si="3"/>
        <v>20160</v>
      </c>
      <c r="D200" s="102" t="s">
        <v>498</v>
      </c>
      <c r="E200" s="26" t="s">
        <v>2171</v>
      </c>
      <c r="F200" s="7"/>
      <c r="G200" s="22" t="s">
        <v>2172</v>
      </c>
    </row>
    <row r="201" spans="1:7" ht="20.25" hidden="1" customHeight="1">
      <c r="A201" s="102">
        <v>10161</v>
      </c>
      <c r="B201" s="102">
        <v>14161</v>
      </c>
      <c r="C201" s="102">
        <f t="shared" si="3"/>
        <v>10161</v>
      </c>
      <c r="D201" s="102" t="s">
        <v>498</v>
      </c>
      <c r="E201" s="26" t="s">
        <v>2173</v>
      </c>
      <c r="F201" s="7"/>
      <c r="G201" s="22"/>
    </row>
    <row r="202" spans="1:7" ht="20.25" hidden="1" customHeight="1">
      <c r="A202" s="102">
        <v>10162</v>
      </c>
      <c r="B202" s="102">
        <v>14162</v>
      </c>
      <c r="C202" s="102">
        <f t="shared" si="3"/>
        <v>10162</v>
      </c>
      <c r="D202" s="102" t="s">
        <v>498</v>
      </c>
      <c r="E202" s="26" t="s">
        <v>2174</v>
      </c>
      <c r="F202" s="7"/>
      <c r="G202" s="22" t="s">
        <v>2089</v>
      </c>
    </row>
    <row r="203" spans="1:7" ht="20.25" hidden="1" customHeight="1">
      <c r="A203" s="102">
        <v>10163</v>
      </c>
      <c r="B203" s="102">
        <v>14163</v>
      </c>
      <c r="C203" s="102">
        <f t="shared" si="3"/>
        <v>10163</v>
      </c>
      <c r="D203" s="102" t="s">
        <v>498</v>
      </c>
      <c r="E203" s="26" t="s">
        <v>2175</v>
      </c>
      <c r="F203" s="7"/>
      <c r="G203" s="22" t="s">
        <v>2089</v>
      </c>
    </row>
    <row r="204" spans="1:7" ht="20.25" hidden="1" customHeight="1">
      <c r="A204" s="102">
        <v>10164</v>
      </c>
      <c r="B204" s="102">
        <v>14164</v>
      </c>
      <c r="C204" s="102">
        <f t="shared" si="3"/>
        <v>10164</v>
      </c>
      <c r="D204" s="102" t="s">
        <v>498</v>
      </c>
      <c r="E204" s="26" t="s">
        <v>2176</v>
      </c>
      <c r="F204" s="7"/>
      <c r="G204" s="22" t="s">
        <v>2089</v>
      </c>
    </row>
    <row r="205" spans="1:7" ht="20.25" hidden="1" customHeight="1">
      <c r="A205" s="102">
        <v>10165</v>
      </c>
      <c r="B205" s="102">
        <v>14165</v>
      </c>
      <c r="C205" s="102">
        <f t="shared" si="3"/>
        <v>10165</v>
      </c>
      <c r="D205" s="102" t="s">
        <v>498</v>
      </c>
      <c r="E205" s="26" t="s">
        <v>2177</v>
      </c>
      <c r="F205" s="7"/>
      <c r="G205" s="22" t="s">
        <v>823</v>
      </c>
    </row>
    <row r="206" spans="1:7" ht="20.25" hidden="1" customHeight="1">
      <c r="A206" s="102">
        <v>10166</v>
      </c>
      <c r="B206" s="102">
        <v>14166</v>
      </c>
      <c r="C206" s="102">
        <f t="shared" si="3"/>
        <v>20166</v>
      </c>
      <c r="D206" s="102" t="s">
        <v>498</v>
      </c>
      <c r="E206" s="26" t="s">
        <v>2178</v>
      </c>
      <c r="F206" s="7"/>
      <c r="G206" s="22"/>
    </row>
    <row r="207" spans="1:7" ht="20.25" hidden="1" customHeight="1">
      <c r="A207" s="102">
        <v>10167</v>
      </c>
      <c r="B207" s="102">
        <v>14167</v>
      </c>
      <c r="C207" s="102">
        <f t="shared" si="3"/>
        <v>10167</v>
      </c>
      <c r="D207" s="102" t="s">
        <v>498</v>
      </c>
      <c r="E207" s="26" t="s">
        <v>2179</v>
      </c>
      <c r="F207" s="14" t="s">
        <v>2180</v>
      </c>
      <c r="G207" s="22"/>
    </row>
    <row r="208" spans="1:7" ht="20.25" hidden="1" customHeight="1">
      <c r="A208" s="102">
        <v>10168</v>
      </c>
      <c r="B208" s="102">
        <v>14168</v>
      </c>
      <c r="C208" s="102">
        <f t="shared" si="3"/>
        <v>10168</v>
      </c>
      <c r="D208" s="102" t="s">
        <v>498</v>
      </c>
      <c r="E208" s="26" t="s">
        <v>2181</v>
      </c>
      <c r="F208" s="7"/>
      <c r="G208" s="22"/>
    </row>
    <row r="209" spans="1:7" ht="20.25" hidden="1" customHeight="1">
      <c r="A209" s="102">
        <v>10169</v>
      </c>
      <c r="B209" s="102">
        <v>14169</v>
      </c>
      <c r="C209" s="102">
        <f t="shared" si="3"/>
        <v>20169</v>
      </c>
      <c r="D209" s="102" t="s">
        <v>498</v>
      </c>
      <c r="E209" s="26" t="s">
        <v>2182</v>
      </c>
      <c r="F209" s="7"/>
      <c r="G209" s="22"/>
    </row>
    <row r="210" spans="1:7" ht="20.25" hidden="1" customHeight="1">
      <c r="A210" s="102">
        <v>4070</v>
      </c>
      <c r="B210" s="102">
        <v>14170</v>
      </c>
      <c r="C210" s="102">
        <f t="shared" si="3"/>
        <v>4070</v>
      </c>
      <c r="D210" s="102" t="s">
        <v>498</v>
      </c>
      <c r="E210" s="162" t="s">
        <v>2183</v>
      </c>
      <c r="F210" s="5"/>
      <c r="G210" s="22"/>
    </row>
    <row r="211" spans="1:7" ht="20.25" hidden="1" customHeight="1">
      <c r="A211" s="102">
        <v>10171</v>
      </c>
      <c r="B211" s="102">
        <v>14171</v>
      </c>
      <c r="C211" s="102">
        <f t="shared" si="3"/>
        <v>10171</v>
      </c>
      <c r="D211" s="102" t="s">
        <v>498</v>
      </c>
      <c r="E211" s="26"/>
      <c r="F211" s="7" t="s">
        <v>643</v>
      </c>
      <c r="G211" s="22"/>
    </row>
    <row r="212" spans="1:7" ht="20.25" hidden="1" customHeight="1">
      <c r="A212" s="102">
        <v>10172</v>
      </c>
      <c r="B212" s="102">
        <v>14172</v>
      </c>
      <c r="C212" s="102">
        <f t="shared" si="3"/>
        <v>10172</v>
      </c>
      <c r="D212" s="102" t="s">
        <v>498</v>
      </c>
      <c r="E212" s="26" t="s">
        <v>2184</v>
      </c>
      <c r="F212" s="10"/>
      <c r="G212" s="22" t="s">
        <v>2185</v>
      </c>
    </row>
    <row r="213" spans="1:7" ht="20.25" hidden="1" customHeight="1">
      <c r="A213" s="102">
        <v>10173</v>
      </c>
      <c r="B213" s="102">
        <v>14173</v>
      </c>
      <c r="C213" s="102">
        <f t="shared" si="3"/>
        <v>10173</v>
      </c>
      <c r="D213" s="102" t="s">
        <v>498</v>
      </c>
      <c r="E213" s="26" t="s">
        <v>2186</v>
      </c>
      <c r="F213" s="10"/>
      <c r="G213" s="22"/>
    </row>
    <row r="214" spans="1:7" ht="20.25" hidden="1" customHeight="1">
      <c r="A214" s="102">
        <v>10174</v>
      </c>
      <c r="B214" s="102">
        <v>14174</v>
      </c>
      <c r="C214" s="102">
        <f t="shared" si="3"/>
        <v>10174</v>
      </c>
      <c r="D214" s="102" t="s">
        <v>498</v>
      </c>
      <c r="E214" s="26" t="s">
        <v>2187</v>
      </c>
      <c r="F214" s="10"/>
      <c r="G214" s="19" t="s">
        <v>2188</v>
      </c>
    </row>
    <row r="215" spans="1:7" ht="20.25" hidden="1" customHeight="1">
      <c r="A215" s="102">
        <v>10175</v>
      </c>
      <c r="B215" s="102">
        <v>14175</v>
      </c>
      <c r="C215" s="102">
        <f t="shared" si="3"/>
        <v>10175</v>
      </c>
      <c r="D215" s="102" t="s">
        <v>498</v>
      </c>
      <c r="E215" s="26" t="s">
        <v>2189</v>
      </c>
      <c r="F215" s="10"/>
      <c r="G215" s="22" t="s">
        <v>996</v>
      </c>
    </row>
    <row r="216" spans="1:7" ht="20.25" hidden="1" customHeight="1">
      <c r="A216" s="102">
        <v>10176</v>
      </c>
      <c r="B216" s="102">
        <v>14176</v>
      </c>
      <c r="C216" s="102">
        <f t="shared" si="3"/>
        <v>10176</v>
      </c>
      <c r="D216" s="102" t="s">
        <v>498</v>
      </c>
      <c r="E216" s="26" t="s">
        <v>2190</v>
      </c>
      <c r="F216" s="10"/>
      <c r="G216" s="22"/>
    </row>
    <row r="217" spans="1:7" ht="20.25" hidden="1" customHeight="1">
      <c r="A217" s="102">
        <v>10177</v>
      </c>
      <c r="B217" s="102">
        <v>14177</v>
      </c>
      <c r="C217" s="102">
        <f t="shared" si="3"/>
        <v>10177</v>
      </c>
      <c r="D217" s="102" t="s">
        <v>498</v>
      </c>
      <c r="E217" s="26"/>
      <c r="F217" s="10"/>
      <c r="G217" s="22" t="s">
        <v>2191</v>
      </c>
    </row>
    <row r="218" spans="1:7" ht="20.25" hidden="1" customHeight="1">
      <c r="A218" s="102">
        <v>10178</v>
      </c>
      <c r="B218" s="102">
        <v>14178</v>
      </c>
      <c r="C218" s="102">
        <f t="shared" si="3"/>
        <v>10178</v>
      </c>
      <c r="D218" s="102" t="s">
        <v>498</v>
      </c>
      <c r="E218" s="26" t="s">
        <v>2192</v>
      </c>
      <c r="F218" s="7" t="s">
        <v>2193</v>
      </c>
      <c r="G218" s="22" t="s">
        <v>2194</v>
      </c>
    </row>
    <row r="219" spans="1:7" ht="20.25" hidden="1" customHeight="1">
      <c r="A219" s="102">
        <v>10179</v>
      </c>
      <c r="B219" s="102">
        <v>14179</v>
      </c>
      <c r="C219" s="102">
        <f t="shared" si="3"/>
        <v>10179</v>
      </c>
      <c r="D219" s="102" t="s">
        <v>498</v>
      </c>
      <c r="E219" s="26" t="s">
        <v>2195</v>
      </c>
      <c r="F219" s="7" t="s">
        <v>2196</v>
      </c>
      <c r="G219" s="22" t="s">
        <v>2194</v>
      </c>
    </row>
    <row r="220" spans="1:7" ht="20.25" hidden="1" customHeight="1">
      <c r="A220" s="102">
        <v>10181</v>
      </c>
      <c r="B220" s="102">
        <v>14181</v>
      </c>
      <c r="C220" s="102">
        <f t="shared" si="3"/>
        <v>10181</v>
      </c>
      <c r="D220" s="102" t="s">
        <v>498</v>
      </c>
      <c r="E220" s="26" t="s">
        <v>2197</v>
      </c>
      <c r="F220" s="5"/>
      <c r="G220" s="22"/>
    </row>
    <row r="221" spans="1:7" ht="20.25" hidden="1" customHeight="1">
      <c r="A221" s="102">
        <v>10182</v>
      </c>
      <c r="B221" s="102">
        <v>14182</v>
      </c>
      <c r="C221" s="102">
        <f t="shared" si="3"/>
        <v>10182</v>
      </c>
      <c r="D221" s="102" t="s">
        <v>498</v>
      </c>
      <c r="E221" s="26" t="s">
        <v>2198</v>
      </c>
      <c r="F221" s="5"/>
      <c r="G221" s="22"/>
    </row>
    <row r="222" spans="1:7" ht="20.25" hidden="1" customHeight="1">
      <c r="A222" s="102">
        <v>10183</v>
      </c>
      <c r="B222" s="102">
        <v>14183</v>
      </c>
      <c r="C222" s="102">
        <f t="shared" si="3"/>
        <v>20183</v>
      </c>
      <c r="D222" s="102" t="s">
        <v>498</v>
      </c>
      <c r="E222" s="26" t="s">
        <v>2199</v>
      </c>
      <c r="F222" s="10" t="s">
        <v>2200</v>
      </c>
      <c r="G222" s="10" t="s">
        <v>2201</v>
      </c>
    </row>
    <row r="223" spans="1:7" ht="20.25" hidden="1" customHeight="1">
      <c r="A223" s="102">
        <v>10183</v>
      </c>
      <c r="B223" s="102">
        <v>14183</v>
      </c>
      <c r="C223" s="102">
        <f t="shared" si="3"/>
        <v>10183</v>
      </c>
      <c r="D223" s="102" t="s">
        <v>498</v>
      </c>
      <c r="E223" s="26" t="s">
        <v>2202</v>
      </c>
      <c r="F223" s="10"/>
      <c r="G223" s="22" t="s">
        <v>2203</v>
      </c>
    </row>
    <row r="224" spans="1:7" ht="20.25" hidden="1" customHeight="1">
      <c r="A224" s="102">
        <v>10184</v>
      </c>
      <c r="B224" s="102">
        <v>14184</v>
      </c>
      <c r="C224" s="102">
        <f t="shared" si="3"/>
        <v>10184</v>
      </c>
      <c r="D224" s="102" t="s">
        <v>498</v>
      </c>
      <c r="E224" s="26" t="s">
        <v>2204</v>
      </c>
      <c r="F224" s="5"/>
      <c r="G224" s="22" t="s">
        <v>2203</v>
      </c>
    </row>
    <row r="225" spans="1:7" ht="20.25" hidden="1" customHeight="1">
      <c r="A225" s="102">
        <v>10185</v>
      </c>
      <c r="B225" s="102">
        <v>14185</v>
      </c>
      <c r="C225" s="102">
        <f t="shared" si="3"/>
        <v>10185</v>
      </c>
      <c r="D225" s="102" t="s">
        <v>498</v>
      </c>
      <c r="E225" s="26" t="s">
        <v>2205</v>
      </c>
      <c r="F225" s="5"/>
      <c r="G225" s="22" t="s">
        <v>2203</v>
      </c>
    </row>
    <row r="226" spans="1:7" ht="20.25" hidden="1" customHeight="1">
      <c r="A226" s="102">
        <v>10186</v>
      </c>
      <c r="B226" s="102">
        <v>14186</v>
      </c>
      <c r="C226" s="102">
        <f t="shared" si="3"/>
        <v>10186</v>
      </c>
      <c r="D226" s="102" t="s">
        <v>498</v>
      </c>
      <c r="E226" s="26" t="s">
        <v>2206</v>
      </c>
      <c r="F226" s="5"/>
      <c r="G226" s="22" t="s">
        <v>2203</v>
      </c>
    </row>
    <row r="227" spans="1:7" ht="20.25" hidden="1" customHeight="1">
      <c r="A227" s="102">
        <v>10187</v>
      </c>
      <c r="B227" s="102">
        <v>14187</v>
      </c>
      <c r="C227" s="102">
        <f t="shared" si="3"/>
        <v>10187</v>
      </c>
      <c r="D227" s="102" t="s">
        <v>498</v>
      </c>
      <c r="E227" s="26"/>
      <c r="F227" s="222" t="s">
        <v>2207</v>
      </c>
      <c r="G227" s="22"/>
    </row>
    <row r="228" spans="1:7" ht="20.25" hidden="1" customHeight="1">
      <c r="A228" s="102">
        <v>10189</v>
      </c>
      <c r="B228" s="102">
        <v>14189</v>
      </c>
      <c r="C228" s="102">
        <f t="shared" si="3"/>
        <v>10189</v>
      </c>
      <c r="D228" s="102" t="s">
        <v>67</v>
      </c>
      <c r="E228" s="26" t="s">
        <v>2208</v>
      </c>
      <c r="F228" s="5"/>
      <c r="G228" s="22"/>
    </row>
    <row r="229" spans="1:7" ht="20.25" hidden="1" customHeight="1">
      <c r="A229" s="102">
        <v>10190</v>
      </c>
      <c r="B229" s="102">
        <v>14190</v>
      </c>
      <c r="C229" s="102">
        <f t="shared" si="3"/>
        <v>20190</v>
      </c>
      <c r="D229" s="102" t="s">
        <v>498</v>
      </c>
      <c r="E229" s="26" t="s">
        <v>2209</v>
      </c>
      <c r="F229" s="5"/>
      <c r="G229" s="22"/>
    </row>
    <row r="230" spans="1:7" ht="20.25" hidden="1" customHeight="1">
      <c r="A230" s="102">
        <v>10191</v>
      </c>
      <c r="B230" s="102">
        <v>14191</v>
      </c>
      <c r="C230" s="102">
        <f t="shared" si="3"/>
        <v>10191</v>
      </c>
      <c r="D230" s="102" t="s">
        <v>498</v>
      </c>
      <c r="E230" s="26" t="s">
        <v>2210</v>
      </c>
      <c r="F230" s="5" t="s">
        <v>2211</v>
      </c>
      <c r="G230" s="22"/>
    </row>
    <row r="231" spans="1:7" ht="20.25" hidden="1" customHeight="1">
      <c r="A231" s="102">
        <v>10192</v>
      </c>
      <c r="B231" s="102">
        <v>14192</v>
      </c>
      <c r="C231" s="102">
        <f t="shared" si="3"/>
        <v>10192</v>
      </c>
      <c r="D231" s="102" t="s">
        <v>67</v>
      </c>
      <c r="E231" s="189" t="s">
        <v>2212</v>
      </c>
      <c r="F231" s="5"/>
      <c r="G231" s="22"/>
    </row>
    <row r="232" spans="1:7" ht="20.25" hidden="1" customHeight="1">
      <c r="A232" s="102">
        <v>10192</v>
      </c>
      <c r="B232" s="102">
        <v>14192</v>
      </c>
      <c r="C232" s="102">
        <f t="shared" si="3"/>
        <v>10192</v>
      </c>
      <c r="D232" s="102" t="s">
        <v>498</v>
      </c>
      <c r="E232" s="26" t="s">
        <v>2213</v>
      </c>
      <c r="F232" s="5"/>
      <c r="G232" s="22"/>
    </row>
    <row r="233" spans="1:7" ht="20.25" hidden="1" customHeight="1">
      <c r="A233" s="102">
        <v>10193</v>
      </c>
      <c r="B233" s="102">
        <v>14193</v>
      </c>
      <c r="C233" s="102">
        <f t="shared" si="3"/>
        <v>10193</v>
      </c>
      <c r="D233" s="102" t="s">
        <v>498</v>
      </c>
      <c r="E233" s="26" t="s">
        <v>2214</v>
      </c>
      <c r="F233" s="5" t="s">
        <v>1410</v>
      </c>
      <c r="G233" s="22" t="s">
        <v>728</v>
      </c>
    </row>
    <row r="234" spans="1:7" ht="20.25" hidden="1" customHeight="1">
      <c r="A234" s="102">
        <v>10193</v>
      </c>
      <c r="B234" s="102">
        <v>14193</v>
      </c>
      <c r="C234" s="102">
        <f t="shared" si="3"/>
        <v>10193</v>
      </c>
      <c r="D234" s="102" t="s">
        <v>67</v>
      </c>
      <c r="E234" s="26" t="s">
        <v>2215</v>
      </c>
      <c r="F234" s="5" t="s">
        <v>1410</v>
      </c>
      <c r="G234" s="22" t="s">
        <v>728</v>
      </c>
    </row>
    <row r="235" spans="1:7" ht="20.25" hidden="1" customHeight="1">
      <c r="A235" s="102">
        <v>10195</v>
      </c>
      <c r="B235" s="102">
        <v>14195</v>
      </c>
      <c r="C235" s="102">
        <f t="shared" si="3"/>
        <v>20195</v>
      </c>
      <c r="D235" s="102" t="s">
        <v>498</v>
      </c>
      <c r="E235" s="26" t="s">
        <v>2216</v>
      </c>
      <c r="F235" s="10"/>
      <c r="G235" s="22"/>
    </row>
    <row r="236" spans="1:7" ht="20.25" hidden="1" customHeight="1">
      <c r="A236" s="102">
        <v>10196</v>
      </c>
      <c r="B236" s="102">
        <v>14196</v>
      </c>
      <c r="C236" s="102">
        <f t="shared" si="3"/>
        <v>10196</v>
      </c>
      <c r="D236" s="102" t="s">
        <v>498</v>
      </c>
      <c r="E236" s="26" t="s">
        <v>2217</v>
      </c>
      <c r="F236" s="10"/>
      <c r="G236" s="22"/>
    </row>
    <row r="237" spans="1:7" ht="20.25" hidden="1" customHeight="1">
      <c r="A237" s="102">
        <v>10197</v>
      </c>
      <c r="B237" s="102">
        <v>14197</v>
      </c>
      <c r="C237" s="102">
        <f t="shared" si="3"/>
        <v>10197</v>
      </c>
      <c r="D237" s="102" t="s">
        <v>498</v>
      </c>
      <c r="E237" s="26" t="s">
        <v>2218</v>
      </c>
      <c r="F237" s="7"/>
      <c r="G237" s="22"/>
    </row>
    <row r="238" spans="1:7" ht="20.25" hidden="1" customHeight="1">
      <c r="A238" s="102">
        <v>10198</v>
      </c>
      <c r="B238" s="102">
        <v>14198</v>
      </c>
      <c r="C238" s="102">
        <f t="shared" si="3"/>
        <v>10198</v>
      </c>
      <c r="D238" s="102" t="s">
        <v>67</v>
      </c>
      <c r="E238" s="26" t="s">
        <v>2219</v>
      </c>
      <c r="F238" s="7"/>
      <c r="G238" s="22"/>
    </row>
    <row r="239" spans="1:7" ht="20.25" hidden="1" customHeight="1">
      <c r="A239" s="102">
        <v>10199</v>
      </c>
      <c r="B239" s="102">
        <v>14199</v>
      </c>
      <c r="C239" s="102">
        <f t="shared" si="3"/>
        <v>10199</v>
      </c>
      <c r="D239" s="102" t="s">
        <v>498</v>
      </c>
      <c r="E239" s="26" t="s">
        <v>2220</v>
      </c>
      <c r="F239" s="7"/>
      <c r="G239" s="22"/>
    </row>
    <row r="240" spans="1:7" ht="20.25" hidden="1" customHeight="1">
      <c r="A240" s="102">
        <v>10201</v>
      </c>
      <c r="B240" s="102">
        <v>14201</v>
      </c>
      <c r="C240" s="102">
        <f t="shared" si="3"/>
        <v>10201</v>
      </c>
      <c r="D240" s="102" t="s">
        <v>498</v>
      </c>
      <c r="E240" s="26" t="s">
        <v>2221</v>
      </c>
      <c r="F240" s="7"/>
      <c r="G240" s="22"/>
    </row>
    <row r="241" spans="1:7" ht="20.25" hidden="1" customHeight="1">
      <c r="A241" s="102">
        <v>10202</v>
      </c>
      <c r="B241" s="102">
        <v>14202</v>
      </c>
      <c r="C241" s="102">
        <f t="shared" si="3"/>
        <v>10202</v>
      </c>
      <c r="D241" s="102" t="s">
        <v>498</v>
      </c>
      <c r="E241" s="26" t="s">
        <v>2222</v>
      </c>
      <c r="F241" s="7"/>
      <c r="G241" s="22"/>
    </row>
    <row r="242" spans="1:7" ht="20.25" hidden="1" customHeight="1">
      <c r="A242" s="102">
        <v>10203</v>
      </c>
      <c r="B242" s="102">
        <v>14203</v>
      </c>
      <c r="C242" s="102">
        <f t="shared" si="3"/>
        <v>10203</v>
      </c>
      <c r="D242" s="102" t="s">
        <v>498</v>
      </c>
      <c r="E242" s="26" t="s">
        <v>2223</v>
      </c>
      <c r="F242" s="7"/>
      <c r="G242" s="22"/>
    </row>
    <row r="243" spans="1:7" ht="20.25" hidden="1" customHeight="1">
      <c r="A243" s="102">
        <v>10204</v>
      </c>
      <c r="B243" s="102">
        <v>14204</v>
      </c>
      <c r="C243" s="102">
        <f t="shared" si="3"/>
        <v>10204</v>
      </c>
      <c r="D243" s="102" t="s">
        <v>498</v>
      </c>
      <c r="E243" s="26" t="s">
        <v>2224</v>
      </c>
      <c r="F243" s="7"/>
      <c r="G243" s="22"/>
    </row>
    <row r="244" spans="1:7" ht="20.25" hidden="1" customHeight="1">
      <c r="A244" s="102">
        <v>10205</v>
      </c>
      <c r="B244" s="102">
        <v>14205</v>
      </c>
      <c r="C244" s="102">
        <f t="shared" si="3"/>
        <v>10205</v>
      </c>
      <c r="D244" s="102" t="s">
        <v>498</v>
      </c>
      <c r="E244" s="26" t="s">
        <v>2225</v>
      </c>
      <c r="F244" s="7"/>
      <c r="G244" s="22"/>
    </row>
    <row r="245" spans="1:7" ht="20.25" hidden="1" customHeight="1">
      <c r="A245" s="102">
        <v>10038</v>
      </c>
      <c r="B245" s="102">
        <v>14206</v>
      </c>
      <c r="C245" s="102">
        <f t="shared" si="3"/>
        <v>20038</v>
      </c>
      <c r="D245" s="102" t="s">
        <v>498</v>
      </c>
      <c r="E245" s="26" t="s">
        <v>2226</v>
      </c>
      <c r="F245" s="16" t="s">
        <v>2227</v>
      </c>
      <c r="G245" s="22"/>
    </row>
    <row r="246" spans="1:7" ht="20.25" hidden="1" customHeight="1">
      <c r="A246" s="102">
        <v>10038</v>
      </c>
      <c r="B246" s="102">
        <v>14206</v>
      </c>
      <c r="C246" s="102">
        <f t="shared" si="3"/>
        <v>20038</v>
      </c>
      <c r="D246" s="102" t="s">
        <v>498</v>
      </c>
      <c r="E246" s="26" t="s">
        <v>2226</v>
      </c>
      <c r="F246" s="16" t="s">
        <v>2227</v>
      </c>
      <c r="G246" s="22"/>
    </row>
    <row r="247" spans="1:7" ht="20.25" hidden="1" customHeight="1">
      <c r="A247" s="102">
        <v>10207</v>
      </c>
      <c r="B247" s="102">
        <v>14207</v>
      </c>
      <c r="C247" s="102">
        <f t="shared" si="3"/>
        <v>10207</v>
      </c>
      <c r="D247" s="102" t="s">
        <v>498</v>
      </c>
      <c r="E247" s="26" t="s">
        <v>2228</v>
      </c>
      <c r="F247" s="7"/>
      <c r="G247" s="22"/>
    </row>
    <row r="248" spans="1:7" ht="20.25" hidden="1" customHeight="1">
      <c r="A248" s="102">
        <v>10208</v>
      </c>
      <c r="B248" s="102">
        <v>14208</v>
      </c>
      <c r="C248" s="102">
        <f t="shared" si="3"/>
        <v>10208</v>
      </c>
      <c r="D248" s="102" t="s">
        <v>498</v>
      </c>
      <c r="E248" s="26" t="s">
        <v>2229</v>
      </c>
      <c r="F248" s="7"/>
      <c r="G248" s="22"/>
    </row>
    <row r="249" spans="1:7" ht="20.25" hidden="1" customHeight="1">
      <c r="A249" s="102">
        <v>10209</v>
      </c>
      <c r="B249" s="102">
        <v>14209</v>
      </c>
      <c r="C249" s="102">
        <f t="shared" si="3"/>
        <v>10209</v>
      </c>
      <c r="D249" s="102" t="s">
        <v>498</v>
      </c>
      <c r="E249" s="26" t="s">
        <v>2230</v>
      </c>
      <c r="F249" s="7"/>
      <c r="G249" s="22" t="s">
        <v>2089</v>
      </c>
    </row>
    <row r="250" spans="1:7" ht="20.25" hidden="1" customHeight="1">
      <c r="A250" s="102">
        <v>10210</v>
      </c>
      <c r="B250" s="102">
        <v>14210</v>
      </c>
      <c r="C250" s="102">
        <f t="shared" si="3"/>
        <v>10210</v>
      </c>
      <c r="D250" s="102" t="s">
        <v>498</v>
      </c>
      <c r="E250" s="26" t="s">
        <v>2231</v>
      </c>
      <c r="F250" s="10"/>
      <c r="G250" s="22" t="s">
        <v>2089</v>
      </c>
    </row>
    <row r="251" spans="1:7" ht="20.25" hidden="1" customHeight="1">
      <c r="A251" s="102">
        <v>10211</v>
      </c>
      <c r="B251" s="102">
        <v>14211</v>
      </c>
      <c r="C251" s="102">
        <f t="shared" si="3"/>
        <v>10211</v>
      </c>
      <c r="D251" s="102" t="s">
        <v>498</v>
      </c>
      <c r="E251" s="26"/>
      <c r="F251" s="7" t="s">
        <v>643</v>
      </c>
      <c r="G251" s="22"/>
    </row>
    <row r="252" spans="1:7" ht="20.25" hidden="1" customHeight="1">
      <c r="A252" s="102">
        <v>10212</v>
      </c>
      <c r="B252" s="102">
        <v>14212</v>
      </c>
      <c r="C252" s="102">
        <f t="shared" si="3"/>
        <v>10212</v>
      </c>
      <c r="D252" s="102" t="s">
        <v>67</v>
      </c>
      <c r="E252" s="26" t="s">
        <v>2232</v>
      </c>
      <c r="F252" s="7"/>
      <c r="G252" s="22"/>
    </row>
    <row r="253" spans="1:7" ht="20.25" hidden="1" customHeight="1">
      <c r="A253" s="102">
        <v>10213</v>
      </c>
      <c r="B253" s="102">
        <v>14213</v>
      </c>
      <c r="C253" s="102">
        <f t="shared" si="3"/>
        <v>10213</v>
      </c>
      <c r="D253" s="102" t="s">
        <v>498</v>
      </c>
      <c r="E253" s="26" t="s">
        <v>2233</v>
      </c>
      <c r="F253" s="7"/>
      <c r="G253" s="22"/>
    </row>
    <row r="254" spans="1:7" ht="20.25" hidden="1" customHeight="1">
      <c r="A254" s="102">
        <v>10214</v>
      </c>
      <c r="B254" s="102">
        <v>14214</v>
      </c>
      <c r="C254" s="102">
        <f t="shared" si="3"/>
        <v>10214</v>
      </c>
      <c r="D254" s="102" t="s">
        <v>498</v>
      </c>
      <c r="E254" s="26" t="s">
        <v>2234</v>
      </c>
      <c r="F254" s="7"/>
      <c r="G254" s="22"/>
    </row>
    <row r="255" spans="1:7" ht="20.25" hidden="1" customHeight="1">
      <c r="A255" s="102">
        <v>10215</v>
      </c>
      <c r="B255" s="102">
        <v>14215</v>
      </c>
      <c r="C255" s="102">
        <f t="shared" si="3"/>
        <v>10215</v>
      </c>
      <c r="D255" s="102" t="s">
        <v>498</v>
      </c>
      <c r="E255" s="26" t="s">
        <v>2189</v>
      </c>
      <c r="F255" s="7"/>
      <c r="G255" s="22"/>
    </row>
    <row r="256" spans="1:7" ht="20.25" hidden="1" customHeight="1">
      <c r="A256" s="102">
        <v>10216</v>
      </c>
      <c r="B256" s="102">
        <v>14216</v>
      </c>
      <c r="C256" s="102">
        <f t="shared" si="3"/>
        <v>10216</v>
      </c>
      <c r="D256" s="102" t="s">
        <v>498</v>
      </c>
      <c r="E256" s="26"/>
      <c r="F256" s="7" t="s">
        <v>643</v>
      </c>
      <c r="G256" s="22"/>
    </row>
    <row r="257" spans="1:7" ht="20.25" hidden="1" customHeight="1">
      <c r="A257" s="102">
        <v>10217</v>
      </c>
      <c r="B257" s="102">
        <v>14217</v>
      </c>
      <c r="C257" s="102">
        <f t="shared" si="3"/>
        <v>10217</v>
      </c>
      <c r="D257" s="102" t="s">
        <v>498</v>
      </c>
      <c r="E257" s="26" t="s">
        <v>2235</v>
      </c>
      <c r="F257" s="7"/>
      <c r="G257" s="22" t="s">
        <v>2089</v>
      </c>
    </row>
    <row r="258" spans="1:7" ht="20.25" hidden="1" customHeight="1">
      <c r="A258" s="102">
        <v>10218</v>
      </c>
      <c r="B258" s="102">
        <v>14218</v>
      </c>
      <c r="C258" s="102">
        <f t="shared" si="3"/>
        <v>10218</v>
      </c>
      <c r="D258" s="102" t="s">
        <v>498</v>
      </c>
      <c r="E258" s="26" t="s">
        <v>2236</v>
      </c>
      <c r="F258" s="10"/>
      <c r="G258" s="22" t="s">
        <v>2089</v>
      </c>
    </row>
    <row r="259" spans="1:7" ht="20.25" hidden="1" customHeight="1">
      <c r="A259" s="102">
        <v>10219</v>
      </c>
      <c r="B259" s="102">
        <v>14219</v>
      </c>
      <c r="C259" s="102">
        <f t="shared" si="3"/>
        <v>10219</v>
      </c>
      <c r="D259" s="102" t="s">
        <v>498</v>
      </c>
      <c r="E259" s="26" t="s">
        <v>2237</v>
      </c>
      <c r="F259" s="7"/>
      <c r="G259" s="22" t="s">
        <v>2089</v>
      </c>
    </row>
    <row r="260" spans="1:7" ht="20.25" hidden="1" customHeight="1">
      <c r="A260" s="102">
        <v>10220</v>
      </c>
      <c r="B260" s="102">
        <v>14220</v>
      </c>
      <c r="C260" s="102">
        <f t="shared" ref="C260:C323" si="4">IF(ISERROR(FIND("B_Epic",E260)),A260,A260+10000)</f>
        <v>10220</v>
      </c>
      <c r="D260" s="102" t="s">
        <v>498</v>
      </c>
      <c r="E260" s="26" t="s">
        <v>2238</v>
      </c>
      <c r="F260" s="7"/>
      <c r="G260" s="22" t="s">
        <v>2089</v>
      </c>
    </row>
    <row r="261" spans="1:7" ht="20.25" hidden="1" customHeight="1">
      <c r="A261" s="102">
        <v>10221</v>
      </c>
      <c r="B261" s="102">
        <v>14221</v>
      </c>
      <c r="C261" s="102">
        <f t="shared" si="4"/>
        <v>10221</v>
      </c>
      <c r="D261" s="102" t="s">
        <v>498</v>
      </c>
      <c r="E261" s="26" t="s">
        <v>2239</v>
      </c>
      <c r="F261" s="7"/>
      <c r="G261" s="22" t="s">
        <v>2089</v>
      </c>
    </row>
    <row r="262" spans="1:7" ht="20.25" hidden="1" customHeight="1">
      <c r="A262" s="102">
        <v>10222</v>
      </c>
      <c r="B262" s="102">
        <v>14222</v>
      </c>
      <c r="C262" s="102">
        <f t="shared" si="4"/>
        <v>10222</v>
      </c>
      <c r="D262" s="102" t="s">
        <v>498</v>
      </c>
      <c r="E262" s="26" t="s">
        <v>2240</v>
      </c>
      <c r="F262" s="7"/>
      <c r="G262" s="123" t="s">
        <v>2241</v>
      </c>
    </row>
    <row r="263" spans="1:7" ht="20.25" hidden="1" customHeight="1">
      <c r="A263" s="102">
        <v>10223</v>
      </c>
      <c r="B263" s="102">
        <v>14223</v>
      </c>
      <c r="C263" s="102">
        <f t="shared" si="4"/>
        <v>10223</v>
      </c>
      <c r="D263" s="102" t="s">
        <v>498</v>
      </c>
      <c r="E263" s="26" t="s">
        <v>2242</v>
      </c>
      <c r="F263" s="10"/>
      <c r="G263" s="123" t="s">
        <v>2241</v>
      </c>
    </row>
    <row r="264" spans="1:7" ht="20.25" hidden="1" customHeight="1">
      <c r="A264" s="102">
        <v>10224</v>
      </c>
      <c r="B264" s="102">
        <v>14224</v>
      </c>
      <c r="C264" s="102">
        <f t="shared" si="4"/>
        <v>10224</v>
      </c>
      <c r="D264" s="102" t="s">
        <v>498</v>
      </c>
      <c r="E264" s="26" t="s">
        <v>2243</v>
      </c>
      <c r="F264" s="10"/>
      <c r="G264" s="22"/>
    </row>
    <row r="265" spans="1:7" ht="20.25" hidden="1" customHeight="1">
      <c r="A265" s="102">
        <v>10225</v>
      </c>
      <c r="B265" s="102">
        <v>14225</v>
      </c>
      <c r="C265" s="102">
        <f t="shared" si="4"/>
        <v>10225</v>
      </c>
      <c r="D265" s="102" t="s">
        <v>498</v>
      </c>
      <c r="E265" s="26" t="s">
        <v>2244</v>
      </c>
      <c r="F265" s="10"/>
      <c r="G265" s="22"/>
    </row>
    <row r="266" spans="1:7" ht="20.25" hidden="1" customHeight="1">
      <c r="A266" s="102">
        <v>10226</v>
      </c>
      <c r="B266" s="102">
        <v>14226</v>
      </c>
      <c r="C266" s="102">
        <f t="shared" si="4"/>
        <v>10226</v>
      </c>
      <c r="D266" s="102" t="s">
        <v>498</v>
      </c>
      <c r="E266" s="26" t="s">
        <v>2245</v>
      </c>
      <c r="F266" s="10"/>
      <c r="G266" s="22"/>
    </row>
    <row r="267" spans="1:7" ht="20.25" hidden="1" customHeight="1">
      <c r="A267" s="102">
        <v>10227</v>
      </c>
      <c r="B267" s="102">
        <v>14227</v>
      </c>
      <c r="C267" s="102">
        <f t="shared" si="4"/>
        <v>10227</v>
      </c>
      <c r="D267" s="102" t="s">
        <v>498</v>
      </c>
      <c r="E267" s="26" t="s">
        <v>2246</v>
      </c>
      <c r="F267" s="10"/>
      <c r="G267" s="22"/>
    </row>
    <row r="268" spans="1:7" ht="20.25" hidden="1" customHeight="1">
      <c r="A268" s="102">
        <v>10228</v>
      </c>
      <c r="B268" s="102">
        <v>14228</v>
      </c>
      <c r="C268" s="102">
        <f t="shared" si="4"/>
        <v>10228</v>
      </c>
      <c r="D268" s="102" t="s">
        <v>498</v>
      </c>
      <c r="E268" s="26" t="s">
        <v>2247</v>
      </c>
      <c r="F268" s="10"/>
      <c r="G268" s="22"/>
    </row>
    <row r="269" spans="1:7" ht="20.25" hidden="1" customHeight="1">
      <c r="A269" s="102">
        <v>10229</v>
      </c>
      <c r="B269" s="102">
        <v>14229</v>
      </c>
      <c r="C269" s="102">
        <f t="shared" si="4"/>
        <v>10229</v>
      </c>
      <c r="D269" s="102" t="s">
        <v>498</v>
      </c>
      <c r="E269" s="26" t="s">
        <v>2248</v>
      </c>
      <c r="F269" s="10"/>
      <c r="G269" s="22"/>
    </row>
    <row r="270" spans="1:7" ht="20.25" hidden="1" customHeight="1">
      <c r="A270" s="102">
        <v>10230</v>
      </c>
      <c r="B270" s="102">
        <v>14230</v>
      </c>
      <c r="C270" s="102">
        <f t="shared" si="4"/>
        <v>10230</v>
      </c>
      <c r="D270" s="102" t="s">
        <v>498</v>
      </c>
      <c r="E270" s="26" t="s">
        <v>2249</v>
      </c>
      <c r="F270" s="10"/>
      <c r="G270" s="22"/>
    </row>
    <row r="271" spans="1:7" ht="20.25" hidden="1" customHeight="1">
      <c r="A271" s="102">
        <v>10231</v>
      </c>
      <c r="B271" s="102">
        <v>14231</v>
      </c>
      <c r="C271" s="102">
        <f t="shared" si="4"/>
        <v>10231</v>
      </c>
      <c r="D271" s="102" t="s">
        <v>498</v>
      </c>
      <c r="E271" s="26" t="s">
        <v>2250</v>
      </c>
      <c r="F271" s="10"/>
      <c r="G271" s="22"/>
    </row>
    <row r="272" spans="1:7" ht="20.25" hidden="1" customHeight="1">
      <c r="A272" s="102">
        <v>10232</v>
      </c>
      <c r="B272" s="102">
        <v>14232</v>
      </c>
      <c r="C272" s="102">
        <f t="shared" si="4"/>
        <v>10232</v>
      </c>
      <c r="D272" s="102" t="s">
        <v>498</v>
      </c>
      <c r="E272" s="26" t="s">
        <v>2251</v>
      </c>
      <c r="F272" s="10"/>
      <c r="G272" s="22"/>
    </row>
    <row r="273" spans="1:7" ht="20.25" hidden="1" customHeight="1">
      <c r="A273" s="102">
        <v>10233</v>
      </c>
      <c r="B273" s="102">
        <v>14233</v>
      </c>
      <c r="C273" s="102">
        <f t="shared" si="4"/>
        <v>10233</v>
      </c>
      <c r="D273" s="102" t="s">
        <v>498</v>
      </c>
      <c r="E273" s="26" t="s">
        <v>2252</v>
      </c>
      <c r="F273" s="10"/>
      <c r="G273" s="22"/>
    </row>
    <row r="274" spans="1:7" ht="20.25" hidden="1" customHeight="1">
      <c r="A274" s="102">
        <v>10234</v>
      </c>
      <c r="B274" s="102">
        <v>14234</v>
      </c>
      <c r="C274" s="102">
        <f t="shared" si="4"/>
        <v>10234</v>
      </c>
      <c r="D274" s="102" t="s">
        <v>498</v>
      </c>
      <c r="E274" s="26" t="s">
        <v>2253</v>
      </c>
      <c r="F274" s="10"/>
      <c r="G274" s="22"/>
    </row>
    <row r="275" spans="1:7" ht="20.25" hidden="1" customHeight="1">
      <c r="A275" s="102">
        <v>10235</v>
      </c>
      <c r="B275" s="102">
        <v>14235</v>
      </c>
      <c r="C275" s="102">
        <f t="shared" si="4"/>
        <v>10235</v>
      </c>
      <c r="D275" s="102" t="s">
        <v>498</v>
      </c>
      <c r="E275" s="26" t="s">
        <v>2254</v>
      </c>
      <c r="F275" s="10"/>
      <c r="G275" s="22"/>
    </row>
    <row r="276" spans="1:7" ht="20.25" hidden="1" customHeight="1">
      <c r="A276" s="102">
        <v>10236</v>
      </c>
      <c r="B276" s="102">
        <v>14236</v>
      </c>
      <c r="C276" s="102">
        <f t="shared" si="4"/>
        <v>10236</v>
      </c>
      <c r="D276" s="102" t="s">
        <v>498</v>
      </c>
      <c r="E276" s="26" t="s">
        <v>2255</v>
      </c>
      <c r="F276" s="10"/>
    </row>
    <row r="277" spans="1:7" ht="20.25" hidden="1" customHeight="1">
      <c r="A277" s="102">
        <v>10237</v>
      </c>
      <c r="B277" s="102">
        <v>14237</v>
      </c>
      <c r="C277" s="102">
        <f t="shared" si="4"/>
        <v>10237</v>
      </c>
      <c r="D277" s="102" t="s">
        <v>498</v>
      </c>
      <c r="E277" s="26" t="s">
        <v>2256</v>
      </c>
      <c r="F277" s="10"/>
    </row>
    <row r="278" spans="1:7" ht="20.25" hidden="1" customHeight="1">
      <c r="A278" s="102">
        <v>10238</v>
      </c>
      <c r="B278" s="102">
        <v>14238</v>
      </c>
      <c r="C278" s="102">
        <f t="shared" si="4"/>
        <v>10238</v>
      </c>
      <c r="D278" s="102" t="s">
        <v>498</v>
      </c>
      <c r="E278" s="26" t="s">
        <v>2257</v>
      </c>
      <c r="F278" s="10"/>
      <c r="G278" s="22"/>
    </row>
    <row r="279" spans="1:7" ht="20.25" hidden="1" customHeight="1">
      <c r="A279" s="102">
        <v>10239</v>
      </c>
      <c r="B279" s="102">
        <v>14239</v>
      </c>
      <c r="C279" s="102">
        <f t="shared" si="4"/>
        <v>10239</v>
      </c>
      <c r="D279" s="102" t="s">
        <v>498</v>
      </c>
      <c r="E279" s="26" t="s">
        <v>2258</v>
      </c>
      <c r="F279" s="10"/>
      <c r="G279" s="22"/>
    </row>
    <row r="280" spans="1:7" ht="20.25" hidden="1" customHeight="1">
      <c r="A280" s="102">
        <v>10240</v>
      </c>
      <c r="B280" s="102">
        <v>14240</v>
      </c>
      <c r="C280" s="102">
        <f t="shared" si="4"/>
        <v>10240</v>
      </c>
      <c r="D280" s="102" t="s">
        <v>498</v>
      </c>
      <c r="E280" s="26" t="s">
        <v>2259</v>
      </c>
      <c r="F280" s="10"/>
      <c r="G280" s="22"/>
    </row>
    <row r="281" spans="1:7" ht="20.25" hidden="1" customHeight="1">
      <c r="A281" s="102">
        <v>10241</v>
      </c>
      <c r="B281" s="102">
        <v>14241</v>
      </c>
      <c r="C281" s="102">
        <f t="shared" si="4"/>
        <v>10241</v>
      </c>
      <c r="D281" s="102" t="s">
        <v>498</v>
      </c>
      <c r="E281" s="26" t="s">
        <v>2260</v>
      </c>
      <c r="F281" s="10"/>
      <c r="G281" s="22"/>
    </row>
    <row r="282" spans="1:7" ht="20.25" hidden="1" customHeight="1">
      <c r="A282" s="102">
        <v>10242</v>
      </c>
      <c r="B282" s="102">
        <v>14242</v>
      </c>
      <c r="C282" s="102">
        <f t="shared" si="4"/>
        <v>10242</v>
      </c>
      <c r="D282" s="102" t="s">
        <v>498</v>
      </c>
      <c r="E282" s="26" t="s">
        <v>2261</v>
      </c>
      <c r="F282" s="10"/>
      <c r="G282" s="22"/>
    </row>
    <row r="283" spans="1:7" ht="20.25" hidden="1" customHeight="1">
      <c r="A283" s="102">
        <v>10243</v>
      </c>
      <c r="B283" s="102">
        <v>14243</v>
      </c>
      <c r="C283" s="102">
        <f t="shared" si="4"/>
        <v>10243</v>
      </c>
      <c r="D283" s="102" t="s">
        <v>498</v>
      </c>
      <c r="E283" s="26" t="s">
        <v>2262</v>
      </c>
      <c r="F283" s="10"/>
      <c r="G283" s="22"/>
    </row>
    <row r="284" spans="1:7" ht="20.25" hidden="1" customHeight="1">
      <c r="A284" s="102">
        <v>10244</v>
      </c>
      <c r="B284" s="102">
        <v>14244</v>
      </c>
      <c r="C284" s="102">
        <f t="shared" si="4"/>
        <v>10244</v>
      </c>
      <c r="D284" s="102" t="s">
        <v>498</v>
      </c>
      <c r="E284" s="26" t="s">
        <v>2263</v>
      </c>
      <c r="F284" s="10"/>
      <c r="G284" s="22"/>
    </row>
    <row r="285" spans="1:7" ht="20.25" hidden="1" customHeight="1">
      <c r="A285" s="102">
        <v>10245</v>
      </c>
      <c r="B285" s="102">
        <v>14245</v>
      </c>
      <c r="C285" s="102">
        <f t="shared" si="4"/>
        <v>10245</v>
      </c>
      <c r="D285" s="102" t="s">
        <v>498</v>
      </c>
      <c r="E285" s="26" t="s">
        <v>2264</v>
      </c>
      <c r="F285" s="10"/>
      <c r="G285" s="22"/>
    </row>
    <row r="286" spans="1:7" ht="20.25" hidden="1" customHeight="1">
      <c r="A286" s="102">
        <v>10246</v>
      </c>
      <c r="B286" s="102">
        <v>14246</v>
      </c>
      <c r="C286" s="102">
        <f t="shared" si="4"/>
        <v>20246</v>
      </c>
      <c r="D286" s="102" t="s">
        <v>498</v>
      </c>
      <c r="E286" s="26" t="s">
        <v>2265</v>
      </c>
      <c r="F286" s="10"/>
      <c r="G286" s="22"/>
    </row>
    <row r="287" spans="1:7" ht="20.25" hidden="1" customHeight="1">
      <c r="A287" s="102">
        <v>10247</v>
      </c>
      <c r="B287" s="102">
        <v>14247</v>
      </c>
      <c r="C287" s="102">
        <f t="shared" si="4"/>
        <v>10247</v>
      </c>
      <c r="D287" s="2" t="s">
        <v>67</v>
      </c>
      <c r="E287" s="26" t="s">
        <v>2266</v>
      </c>
      <c r="F287" s="10"/>
      <c r="G287" s="22"/>
    </row>
    <row r="288" spans="1:7" ht="20.25" hidden="1" customHeight="1">
      <c r="A288" s="102">
        <v>10247</v>
      </c>
      <c r="B288" s="102">
        <v>14247</v>
      </c>
      <c r="C288" s="102">
        <f t="shared" si="4"/>
        <v>10247</v>
      </c>
      <c r="D288" s="102" t="s">
        <v>498</v>
      </c>
      <c r="E288" s="26" t="s">
        <v>2267</v>
      </c>
      <c r="F288" s="10"/>
      <c r="G288" s="22"/>
    </row>
    <row r="289" spans="1:7" ht="20.25" hidden="1" customHeight="1">
      <c r="A289" s="102">
        <v>10248</v>
      </c>
      <c r="B289" s="102">
        <v>14248</v>
      </c>
      <c r="C289" s="102">
        <f t="shared" si="4"/>
        <v>10248</v>
      </c>
      <c r="D289" s="102" t="s">
        <v>498</v>
      </c>
      <c r="E289" s="190" t="s">
        <v>2268</v>
      </c>
      <c r="F289" s="10"/>
      <c r="G289" s="128" t="s">
        <v>2086</v>
      </c>
    </row>
    <row r="290" spans="1:7" ht="20.25" hidden="1" customHeight="1">
      <c r="A290" s="102">
        <v>10249</v>
      </c>
      <c r="B290" s="102">
        <v>14249</v>
      </c>
      <c r="C290" s="102">
        <f t="shared" si="4"/>
        <v>10249</v>
      </c>
      <c r="D290" s="102" t="s">
        <v>498</v>
      </c>
      <c r="E290" s="190" t="s">
        <v>2269</v>
      </c>
      <c r="F290" s="10"/>
      <c r="G290" s="128" t="s">
        <v>2086</v>
      </c>
    </row>
    <row r="291" spans="1:7" ht="20.25" hidden="1" customHeight="1">
      <c r="A291" s="102">
        <v>10250</v>
      </c>
      <c r="B291" s="102">
        <v>14250</v>
      </c>
      <c r="C291" s="102">
        <f t="shared" si="4"/>
        <v>10250</v>
      </c>
      <c r="D291" s="102" t="s">
        <v>67</v>
      </c>
      <c r="E291" s="26" t="s">
        <v>2270</v>
      </c>
      <c r="F291" s="10"/>
      <c r="G291" s="22"/>
    </row>
    <row r="292" spans="1:7" ht="20.25" hidden="1" customHeight="1">
      <c r="A292" s="102">
        <v>10251</v>
      </c>
      <c r="B292" s="102">
        <v>14251</v>
      </c>
      <c r="C292" s="102">
        <f t="shared" si="4"/>
        <v>10251</v>
      </c>
      <c r="D292" s="102" t="s">
        <v>67</v>
      </c>
      <c r="E292" s="26" t="s">
        <v>2271</v>
      </c>
      <c r="F292" s="10"/>
      <c r="G292" s="22"/>
    </row>
    <row r="293" spans="1:7" ht="20.25" hidden="1" customHeight="1">
      <c r="A293" s="102">
        <v>10252</v>
      </c>
      <c r="B293" s="102">
        <v>14252</v>
      </c>
      <c r="C293" s="102">
        <f t="shared" si="4"/>
        <v>10252</v>
      </c>
      <c r="D293" s="102" t="s">
        <v>67</v>
      </c>
      <c r="E293" s="26" t="s">
        <v>2272</v>
      </c>
      <c r="F293" s="10"/>
      <c r="G293" s="22"/>
    </row>
    <row r="294" spans="1:7" ht="20.25" hidden="1" customHeight="1">
      <c r="A294" s="102">
        <v>10253</v>
      </c>
      <c r="B294" s="102">
        <v>14253</v>
      </c>
      <c r="C294" s="102">
        <f t="shared" si="4"/>
        <v>10253</v>
      </c>
      <c r="D294" s="102" t="s">
        <v>498</v>
      </c>
      <c r="E294" s="26" t="s">
        <v>2273</v>
      </c>
      <c r="F294" s="10"/>
      <c r="G294" s="22" t="s">
        <v>697</v>
      </c>
    </row>
    <row r="295" spans="1:7" ht="20.25" hidden="1" customHeight="1">
      <c r="A295" s="102">
        <v>10254</v>
      </c>
      <c r="B295" s="102">
        <v>14254</v>
      </c>
      <c r="C295" s="102">
        <f t="shared" si="4"/>
        <v>10254</v>
      </c>
      <c r="D295" s="102" t="s">
        <v>498</v>
      </c>
      <c r="E295" s="26"/>
      <c r="F295" s="7" t="s">
        <v>643</v>
      </c>
      <c r="G295" s="22"/>
    </row>
    <row r="296" spans="1:7" ht="20.25" hidden="1" customHeight="1">
      <c r="A296" s="102">
        <v>10255</v>
      </c>
      <c r="B296" s="102">
        <v>14255</v>
      </c>
      <c r="C296" s="102">
        <f t="shared" si="4"/>
        <v>10255</v>
      </c>
      <c r="D296" s="102" t="s">
        <v>498</v>
      </c>
      <c r="E296" s="26"/>
      <c r="F296" s="7" t="s">
        <v>643</v>
      </c>
      <c r="G296" s="22"/>
    </row>
    <row r="297" spans="1:7" ht="20.25" hidden="1" customHeight="1">
      <c r="A297" s="102">
        <v>10256</v>
      </c>
      <c r="B297" s="102">
        <v>14256</v>
      </c>
      <c r="C297" s="102">
        <f t="shared" si="4"/>
        <v>10256</v>
      </c>
      <c r="D297" s="102" t="s">
        <v>498</v>
      </c>
      <c r="E297" s="26" t="s">
        <v>2274</v>
      </c>
      <c r="F297" s="10"/>
      <c r="G297" s="18" t="s">
        <v>697</v>
      </c>
    </row>
    <row r="298" spans="1:7" ht="20.25" hidden="1" customHeight="1">
      <c r="A298" s="102">
        <v>10257</v>
      </c>
      <c r="B298" s="102">
        <v>14257</v>
      </c>
      <c r="C298" s="102">
        <f t="shared" si="4"/>
        <v>10257</v>
      </c>
      <c r="D298" s="102" t="s">
        <v>498</v>
      </c>
      <c r="E298" s="26" t="s">
        <v>2275</v>
      </c>
      <c r="F298" s="10"/>
      <c r="G298" s="11">
        <v>49584203</v>
      </c>
    </row>
    <row r="299" spans="1:7" ht="20.25" hidden="1" customHeight="1">
      <c r="A299" s="102">
        <v>10258</v>
      </c>
      <c r="B299" s="102">
        <v>14258</v>
      </c>
      <c r="C299" s="102">
        <f t="shared" si="4"/>
        <v>10258</v>
      </c>
      <c r="D299" s="102" t="s">
        <v>498</v>
      </c>
      <c r="E299" s="26" t="s">
        <v>2276</v>
      </c>
      <c r="F299" s="10"/>
      <c r="G299" s="11">
        <v>49584203</v>
      </c>
    </row>
    <row r="300" spans="1:7" ht="20.25" hidden="1" customHeight="1">
      <c r="A300" s="102">
        <v>10259</v>
      </c>
      <c r="B300" s="102">
        <v>14259</v>
      </c>
      <c r="C300" s="102">
        <f t="shared" si="4"/>
        <v>10259</v>
      </c>
      <c r="D300" s="102" t="s">
        <v>498</v>
      </c>
      <c r="E300" s="26" t="s">
        <v>2277</v>
      </c>
      <c r="F300" s="10"/>
      <c r="G300" s="11">
        <v>49584203</v>
      </c>
    </row>
    <row r="301" spans="1:7" ht="20.25" hidden="1" customHeight="1">
      <c r="A301" s="102">
        <v>10260</v>
      </c>
      <c r="B301" s="102">
        <v>14260</v>
      </c>
      <c r="C301" s="102">
        <f t="shared" si="4"/>
        <v>10260</v>
      </c>
      <c r="D301" s="102" t="s">
        <v>498</v>
      </c>
      <c r="E301" s="26" t="s">
        <v>2278</v>
      </c>
      <c r="F301" s="10"/>
      <c r="G301" s="22" t="s">
        <v>697</v>
      </c>
    </row>
    <row r="302" spans="1:7" ht="20.25" hidden="1" customHeight="1">
      <c r="A302" s="102">
        <v>10261</v>
      </c>
      <c r="B302" s="102">
        <v>14261</v>
      </c>
      <c r="C302" s="102">
        <f t="shared" si="4"/>
        <v>10261</v>
      </c>
      <c r="D302" s="102" t="s">
        <v>498</v>
      </c>
      <c r="E302" s="26" t="s">
        <v>2279</v>
      </c>
      <c r="F302" s="10"/>
      <c r="G302" s="9">
        <v>55495163012</v>
      </c>
    </row>
    <row r="303" spans="1:7" ht="20.25" hidden="1" customHeight="1">
      <c r="A303" s="102">
        <v>10262</v>
      </c>
      <c r="B303" s="102">
        <v>14262</v>
      </c>
      <c r="C303" s="102">
        <f t="shared" si="4"/>
        <v>10262</v>
      </c>
      <c r="D303" s="102" t="s">
        <v>498</v>
      </c>
      <c r="E303" s="26" t="s">
        <v>2280</v>
      </c>
      <c r="F303" s="10"/>
      <c r="G303" s="9">
        <v>55495163012</v>
      </c>
    </row>
    <row r="304" spans="1:7" ht="20.25" hidden="1" customHeight="1">
      <c r="A304" s="102">
        <v>10263</v>
      </c>
      <c r="B304" s="102">
        <v>14263</v>
      </c>
      <c r="C304" s="102">
        <f t="shared" si="4"/>
        <v>10263</v>
      </c>
      <c r="D304" s="102" t="s">
        <v>498</v>
      </c>
      <c r="E304" s="26" t="s">
        <v>2281</v>
      </c>
      <c r="F304" s="10"/>
      <c r="G304" s="9">
        <v>55495163012</v>
      </c>
    </row>
    <row r="305" spans="1:7" ht="20.25" hidden="1" customHeight="1">
      <c r="A305" s="102">
        <v>10264</v>
      </c>
      <c r="B305" s="102">
        <v>14264</v>
      </c>
      <c r="C305" s="102">
        <f t="shared" si="4"/>
        <v>10264</v>
      </c>
      <c r="D305" s="102" t="s">
        <v>498</v>
      </c>
      <c r="E305" s="26" t="s">
        <v>2282</v>
      </c>
      <c r="F305" s="10"/>
      <c r="G305" s="22" t="s">
        <v>1101</v>
      </c>
    </row>
    <row r="306" spans="1:7" ht="20.25" hidden="1" customHeight="1">
      <c r="A306" s="102">
        <v>10265</v>
      </c>
      <c r="B306" s="102">
        <v>14265</v>
      </c>
      <c r="C306" s="102">
        <f t="shared" si="4"/>
        <v>10265</v>
      </c>
      <c r="D306" s="102" t="s">
        <v>498</v>
      </c>
      <c r="E306" s="26" t="s">
        <v>2283</v>
      </c>
      <c r="F306" s="5"/>
      <c r="G306" s="22" t="s">
        <v>182</v>
      </c>
    </row>
    <row r="307" spans="1:7" ht="20.25" hidden="1" customHeight="1">
      <c r="A307" s="102">
        <v>10266</v>
      </c>
      <c r="B307" s="102">
        <v>14266</v>
      </c>
      <c r="C307" s="102">
        <f t="shared" si="4"/>
        <v>10266</v>
      </c>
      <c r="D307" s="102" t="s">
        <v>498</v>
      </c>
      <c r="E307" s="26" t="s">
        <v>2284</v>
      </c>
      <c r="F307" s="10"/>
      <c r="G307" s="22"/>
    </row>
    <row r="308" spans="1:7" ht="20.25" hidden="1" customHeight="1">
      <c r="A308" s="102">
        <v>10267</v>
      </c>
      <c r="B308" s="102">
        <v>14267</v>
      </c>
      <c r="C308" s="102">
        <f t="shared" si="4"/>
        <v>10267</v>
      </c>
      <c r="D308" s="102" t="s">
        <v>498</v>
      </c>
      <c r="E308" s="26" t="s">
        <v>2285</v>
      </c>
      <c r="F308" s="10"/>
      <c r="G308" s="22"/>
    </row>
    <row r="309" spans="1:7" ht="20.25" hidden="1" customHeight="1">
      <c r="A309" s="102">
        <v>10268</v>
      </c>
      <c r="B309" s="102">
        <v>14268</v>
      </c>
      <c r="C309" s="102">
        <f t="shared" si="4"/>
        <v>10268</v>
      </c>
      <c r="D309" s="102" t="s">
        <v>67</v>
      </c>
      <c r="E309" s="26" t="s">
        <v>2286</v>
      </c>
      <c r="F309" s="10"/>
      <c r="G309" s="22"/>
    </row>
    <row r="310" spans="1:7" ht="20.25" hidden="1" customHeight="1">
      <c r="A310" s="102">
        <v>10269</v>
      </c>
      <c r="B310" s="102">
        <v>14269</v>
      </c>
      <c r="C310" s="102">
        <f t="shared" si="4"/>
        <v>10269</v>
      </c>
      <c r="D310" s="102" t="s">
        <v>67</v>
      </c>
      <c r="E310" s="26" t="s">
        <v>2287</v>
      </c>
      <c r="F310" s="10"/>
      <c r="G310" s="22"/>
    </row>
    <row r="311" spans="1:7" ht="20.25" hidden="1" customHeight="1">
      <c r="A311" s="102">
        <v>10270</v>
      </c>
      <c r="B311" s="102">
        <v>14270</v>
      </c>
      <c r="C311" s="102">
        <f t="shared" si="4"/>
        <v>10270</v>
      </c>
      <c r="D311" s="102" t="s">
        <v>498</v>
      </c>
      <c r="E311" s="26" t="s">
        <v>2288</v>
      </c>
      <c r="F311" s="10"/>
      <c r="G311" s="172">
        <v>49584166</v>
      </c>
    </row>
    <row r="312" spans="1:7" ht="20.25" hidden="1" customHeight="1">
      <c r="A312" s="102">
        <v>10271</v>
      </c>
      <c r="B312" s="102">
        <v>14271</v>
      </c>
      <c r="C312" s="102">
        <f t="shared" si="4"/>
        <v>20271</v>
      </c>
      <c r="D312" s="102" t="s">
        <v>498</v>
      </c>
      <c r="E312" s="26" t="s">
        <v>2289</v>
      </c>
      <c r="F312" s="10"/>
      <c r="G312" s="22"/>
    </row>
    <row r="313" spans="1:7" ht="20.25" hidden="1" customHeight="1">
      <c r="A313" s="102">
        <v>10272</v>
      </c>
      <c r="B313" s="102">
        <v>14272</v>
      </c>
      <c r="C313" s="102">
        <f t="shared" si="4"/>
        <v>10272</v>
      </c>
      <c r="D313" s="102" t="s">
        <v>498</v>
      </c>
      <c r="E313" s="26" t="s">
        <v>2290</v>
      </c>
      <c r="F313" s="10"/>
      <c r="G313" s="172">
        <v>49584166</v>
      </c>
    </row>
    <row r="314" spans="1:7" ht="20.25" hidden="1" customHeight="1">
      <c r="A314" s="102">
        <v>10273</v>
      </c>
      <c r="B314" s="102">
        <v>14273</v>
      </c>
      <c r="C314" s="102">
        <f t="shared" si="4"/>
        <v>10273</v>
      </c>
      <c r="D314" s="102" t="s">
        <v>498</v>
      </c>
      <c r="E314" s="26" t="s">
        <v>2291</v>
      </c>
      <c r="F314" s="10"/>
      <c r="G314" s="172">
        <v>49584166</v>
      </c>
    </row>
    <row r="315" spans="1:7" ht="20.25" hidden="1" customHeight="1">
      <c r="A315" s="102">
        <v>10274</v>
      </c>
      <c r="B315" s="102">
        <v>14274</v>
      </c>
      <c r="C315" s="102">
        <f t="shared" si="4"/>
        <v>10274</v>
      </c>
      <c r="D315" s="102" t="s">
        <v>498</v>
      </c>
      <c r="E315" s="26" t="s">
        <v>2292</v>
      </c>
      <c r="F315" s="10"/>
      <c r="G315" s="22"/>
    </row>
    <row r="316" spans="1:7" ht="20.25" hidden="1" customHeight="1">
      <c r="A316" s="102">
        <v>10275</v>
      </c>
      <c r="B316" s="102">
        <v>14275</v>
      </c>
      <c r="C316" s="102">
        <f t="shared" si="4"/>
        <v>10275</v>
      </c>
      <c r="D316" s="102" t="s">
        <v>498</v>
      </c>
      <c r="E316" s="26" t="s">
        <v>2293</v>
      </c>
      <c r="F316" s="10"/>
      <c r="G316" s="22"/>
    </row>
    <row r="317" spans="1:7" ht="20.25" hidden="1" customHeight="1">
      <c r="A317" s="102">
        <v>10276</v>
      </c>
      <c r="B317" s="102">
        <v>14276</v>
      </c>
      <c r="C317" s="102">
        <f t="shared" si="4"/>
        <v>10276</v>
      </c>
      <c r="D317" s="102" t="s">
        <v>498</v>
      </c>
      <c r="E317" s="26" t="s">
        <v>2294</v>
      </c>
      <c r="F317" s="10"/>
      <c r="G317" s="22"/>
    </row>
    <row r="318" spans="1:7" ht="20.25" hidden="1" customHeight="1">
      <c r="A318" s="102">
        <v>10277</v>
      </c>
      <c r="B318" s="102">
        <v>14277</v>
      </c>
      <c r="C318" s="102">
        <f t="shared" si="4"/>
        <v>20277</v>
      </c>
      <c r="D318" s="102" t="s">
        <v>498</v>
      </c>
      <c r="E318" s="26" t="s">
        <v>2295</v>
      </c>
      <c r="F318" s="10"/>
      <c r="G318" s="22"/>
    </row>
    <row r="319" spans="1:7" ht="20.25" hidden="1" customHeight="1">
      <c r="A319" s="102">
        <v>10278</v>
      </c>
      <c r="B319" s="102">
        <v>14278</v>
      </c>
      <c r="C319" s="102">
        <f t="shared" si="4"/>
        <v>20278</v>
      </c>
      <c r="D319" s="102" t="s">
        <v>498</v>
      </c>
      <c r="E319" s="26" t="s">
        <v>2296</v>
      </c>
      <c r="F319" s="10"/>
      <c r="G319" s="22"/>
    </row>
    <row r="320" spans="1:7" ht="20.25" hidden="1" customHeight="1">
      <c r="A320" s="102">
        <v>10279</v>
      </c>
      <c r="B320" s="102">
        <v>14279</v>
      </c>
      <c r="C320" s="102">
        <f t="shared" si="4"/>
        <v>10279</v>
      </c>
      <c r="D320" s="102" t="s">
        <v>498</v>
      </c>
      <c r="E320" s="26" t="s">
        <v>2297</v>
      </c>
      <c r="F320" s="10"/>
      <c r="G320" s="22"/>
    </row>
    <row r="321" spans="1:7" ht="20.25" hidden="1" customHeight="1">
      <c r="A321" s="102">
        <v>10280</v>
      </c>
      <c r="B321" s="102">
        <v>14280</v>
      </c>
      <c r="C321" s="102">
        <f t="shared" si="4"/>
        <v>10280</v>
      </c>
      <c r="D321" s="102" t="s">
        <v>498</v>
      </c>
      <c r="E321" s="26" t="s">
        <v>2298</v>
      </c>
      <c r="F321" s="10"/>
      <c r="G321" s="22"/>
    </row>
    <row r="322" spans="1:7" ht="20.25" hidden="1" customHeight="1">
      <c r="A322" s="102">
        <v>10281</v>
      </c>
      <c r="B322" s="102">
        <v>14281</v>
      </c>
      <c r="C322" s="102">
        <f t="shared" si="4"/>
        <v>10281</v>
      </c>
      <c r="D322" s="102" t="s">
        <v>67</v>
      </c>
      <c r="E322" s="26" t="s">
        <v>2299</v>
      </c>
      <c r="F322" s="10"/>
      <c r="G322" s="22"/>
    </row>
    <row r="323" spans="1:7" ht="20.25" hidden="1" customHeight="1">
      <c r="A323" s="102">
        <v>10282</v>
      </c>
      <c r="B323" s="102">
        <v>14282</v>
      </c>
      <c r="C323" s="102">
        <f t="shared" si="4"/>
        <v>10282</v>
      </c>
      <c r="D323" s="102" t="s">
        <v>498</v>
      </c>
      <c r="E323" s="26" t="s">
        <v>2300</v>
      </c>
      <c r="F323" s="10"/>
      <c r="G323" s="22" t="s">
        <v>2130</v>
      </c>
    </row>
    <row r="324" spans="1:7" ht="20.25" hidden="1" customHeight="1">
      <c r="A324" s="102">
        <v>10283</v>
      </c>
      <c r="B324" s="102">
        <v>14283</v>
      </c>
      <c r="C324" s="102">
        <f t="shared" ref="C324:C387" si="5">IF(ISERROR(FIND("B_Epic",E324)),A324,A324+10000)</f>
        <v>20283</v>
      </c>
      <c r="D324" s="102" t="s">
        <v>498</v>
      </c>
      <c r="E324" s="26" t="s">
        <v>2301</v>
      </c>
      <c r="F324" s="10"/>
      <c r="G324" s="22">
        <v>49584142</v>
      </c>
    </row>
    <row r="325" spans="1:7" ht="20.25" hidden="1" customHeight="1">
      <c r="A325" s="102">
        <v>10284</v>
      </c>
      <c r="B325" s="102">
        <v>14284</v>
      </c>
      <c r="C325" s="102">
        <f t="shared" si="5"/>
        <v>10284</v>
      </c>
      <c r="D325" s="102" t="s">
        <v>67</v>
      </c>
      <c r="E325" s="26" t="s">
        <v>2302</v>
      </c>
      <c r="F325" s="10"/>
      <c r="G325" s="22"/>
    </row>
    <row r="326" spans="1:7" ht="20.25" hidden="1" customHeight="1">
      <c r="A326" s="102">
        <v>10285</v>
      </c>
      <c r="B326" s="102">
        <v>14285</v>
      </c>
      <c r="C326" s="102">
        <f t="shared" si="5"/>
        <v>10285</v>
      </c>
      <c r="D326" s="102" t="s">
        <v>67</v>
      </c>
      <c r="E326" s="26" t="s">
        <v>2303</v>
      </c>
      <c r="F326" s="10"/>
      <c r="G326" s="22"/>
    </row>
    <row r="327" spans="1:7" ht="20.25" hidden="1" customHeight="1">
      <c r="A327" s="102">
        <v>10286</v>
      </c>
      <c r="B327" s="102">
        <v>14286</v>
      </c>
      <c r="C327" s="102">
        <f t="shared" si="5"/>
        <v>10286</v>
      </c>
      <c r="D327" s="102" t="s">
        <v>67</v>
      </c>
      <c r="E327" s="26" t="s">
        <v>2304</v>
      </c>
      <c r="F327" s="10"/>
      <c r="G327" s="22"/>
    </row>
    <row r="328" spans="1:7" ht="20.25" hidden="1" customHeight="1">
      <c r="A328" s="102">
        <v>10287</v>
      </c>
      <c r="B328" s="102">
        <v>14287</v>
      </c>
      <c r="C328" s="102">
        <f t="shared" si="5"/>
        <v>10287</v>
      </c>
      <c r="D328" s="102" t="s">
        <v>498</v>
      </c>
      <c r="E328" s="26" t="s">
        <v>2305</v>
      </c>
      <c r="F328" s="10"/>
      <c r="G328" s="22"/>
    </row>
    <row r="329" spans="1:7" ht="20.25" hidden="1" customHeight="1">
      <c r="A329" s="102">
        <v>10288</v>
      </c>
      <c r="B329" s="102">
        <v>14288</v>
      </c>
      <c r="C329" s="102">
        <f t="shared" si="5"/>
        <v>10288</v>
      </c>
      <c r="D329" s="102" t="s">
        <v>2306</v>
      </c>
      <c r="E329" s="26" t="s">
        <v>2307</v>
      </c>
      <c r="F329" s="10"/>
      <c r="G329" s="22"/>
    </row>
    <row r="330" spans="1:7" ht="20.25" hidden="1" customHeight="1">
      <c r="A330" s="102">
        <v>10289</v>
      </c>
      <c r="B330" s="102">
        <v>14289</v>
      </c>
      <c r="C330" s="102">
        <f t="shared" si="5"/>
        <v>20289</v>
      </c>
      <c r="D330" s="102" t="s">
        <v>498</v>
      </c>
      <c r="E330" s="26" t="s">
        <v>2308</v>
      </c>
      <c r="F330" s="10"/>
      <c r="G330" s="22"/>
    </row>
    <row r="331" spans="1:7" ht="20.25" hidden="1" customHeight="1">
      <c r="A331" s="102">
        <v>10290</v>
      </c>
      <c r="B331" s="102">
        <v>14290</v>
      </c>
      <c r="C331" s="102">
        <f t="shared" si="5"/>
        <v>10290</v>
      </c>
      <c r="D331" s="102" t="s">
        <v>498</v>
      </c>
      <c r="E331" s="26" t="s">
        <v>2309</v>
      </c>
      <c r="F331" s="10"/>
      <c r="G331" s="22"/>
    </row>
    <row r="332" spans="1:7" ht="20.25" hidden="1" customHeight="1">
      <c r="A332" s="102">
        <v>10291</v>
      </c>
      <c r="B332" s="102">
        <v>14291</v>
      </c>
      <c r="C332" s="102">
        <f t="shared" si="5"/>
        <v>10291</v>
      </c>
      <c r="D332" s="102" t="s">
        <v>498</v>
      </c>
      <c r="E332" s="26" t="s">
        <v>2310</v>
      </c>
      <c r="F332" s="10"/>
      <c r="G332" s="22"/>
    </row>
    <row r="333" spans="1:7" ht="20.25" hidden="1" customHeight="1">
      <c r="A333" s="102">
        <v>10292</v>
      </c>
      <c r="B333" s="102">
        <v>14292</v>
      </c>
      <c r="C333" s="102">
        <f t="shared" si="5"/>
        <v>10292</v>
      </c>
      <c r="D333" s="102" t="s">
        <v>498</v>
      </c>
      <c r="E333" s="26" t="s">
        <v>2311</v>
      </c>
      <c r="F333" s="10"/>
      <c r="G333" s="22"/>
    </row>
    <row r="334" spans="1:7" ht="20.25" hidden="1" customHeight="1">
      <c r="A334" s="102">
        <v>10293</v>
      </c>
      <c r="B334" s="102">
        <v>14293</v>
      </c>
      <c r="C334" s="102">
        <f t="shared" si="5"/>
        <v>10293</v>
      </c>
      <c r="D334" s="102" t="s">
        <v>498</v>
      </c>
      <c r="E334" s="26" t="s">
        <v>2312</v>
      </c>
      <c r="F334" s="10"/>
      <c r="G334" s="22"/>
    </row>
    <row r="335" spans="1:7" ht="20.25" hidden="1" customHeight="1">
      <c r="A335" s="102">
        <v>10294</v>
      </c>
      <c r="B335" s="102">
        <v>14294</v>
      </c>
      <c r="C335" s="102">
        <f t="shared" si="5"/>
        <v>10294</v>
      </c>
      <c r="D335" s="102" t="s">
        <v>498</v>
      </c>
      <c r="E335" s="236" t="s">
        <v>2313</v>
      </c>
      <c r="F335" s="10"/>
      <c r="G335" s="22"/>
    </row>
    <row r="336" spans="1:7" ht="20.25" hidden="1" customHeight="1">
      <c r="A336" s="102">
        <v>10295</v>
      </c>
      <c r="B336" s="102">
        <v>14295</v>
      </c>
      <c r="C336" s="102">
        <f t="shared" si="5"/>
        <v>10295</v>
      </c>
      <c r="D336" s="102" t="s">
        <v>498</v>
      </c>
      <c r="E336" s="26" t="s">
        <v>2314</v>
      </c>
      <c r="F336" s="10" t="s">
        <v>2315</v>
      </c>
      <c r="G336" s="22" t="s">
        <v>2316</v>
      </c>
    </row>
    <row r="337" spans="1:7" ht="20.25" hidden="1" customHeight="1">
      <c r="A337" s="102">
        <v>10296</v>
      </c>
      <c r="B337" s="102">
        <v>14296</v>
      </c>
      <c r="C337" s="102">
        <f t="shared" si="5"/>
        <v>10296</v>
      </c>
      <c r="D337" s="102" t="s">
        <v>498</v>
      </c>
      <c r="E337" s="26" t="s">
        <v>2317</v>
      </c>
      <c r="F337" s="10"/>
      <c r="G337" s="22" t="s">
        <v>2318</v>
      </c>
    </row>
    <row r="338" spans="1:7" ht="20.25" hidden="1" customHeight="1">
      <c r="A338" s="102">
        <v>10297</v>
      </c>
      <c r="B338" s="102">
        <v>14297</v>
      </c>
      <c r="C338" s="102">
        <f t="shared" si="5"/>
        <v>10297</v>
      </c>
      <c r="D338" s="102" t="s">
        <v>498</v>
      </c>
      <c r="E338" s="26" t="s">
        <v>2319</v>
      </c>
      <c r="F338" s="10"/>
      <c r="G338" s="22"/>
    </row>
    <row r="339" spans="1:7" ht="20.25" hidden="1" customHeight="1">
      <c r="A339" s="102">
        <v>10298</v>
      </c>
      <c r="B339" s="102">
        <v>14298</v>
      </c>
      <c r="C339" s="102">
        <f t="shared" si="5"/>
        <v>10298</v>
      </c>
      <c r="D339" s="102" t="s">
        <v>498</v>
      </c>
      <c r="E339" s="26" t="s">
        <v>2320</v>
      </c>
      <c r="F339" s="10"/>
      <c r="G339" s="22"/>
    </row>
    <row r="340" spans="1:7" ht="20.25" hidden="1" customHeight="1">
      <c r="A340" s="102">
        <v>10299</v>
      </c>
      <c r="B340" s="102">
        <v>14299</v>
      </c>
      <c r="C340" s="102">
        <f t="shared" si="5"/>
        <v>10299</v>
      </c>
      <c r="D340" s="102" t="s">
        <v>498</v>
      </c>
      <c r="E340" s="26" t="s">
        <v>2321</v>
      </c>
      <c r="F340" s="10"/>
      <c r="G340" s="22" t="s">
        <v>2322</v>
      </c>
    </row>
    <row r="341" spans="1:7" ht="20.25" hidden="1" customHeight="1">
      <c r="A341" s="102">
        <v>7072</v>
      </c>
      <c r="B341" s="102">
        <v>14300</v>
      </c>
      <c r="C341" s="102">
        <f t="shared" si="5"/>
        <v>7072</v>
      </c>
      <c r="D341" s="102" t="s">
        <v>498</v>
      </c>
      <c r="E341" s="26" t="s">
        <v>2323</v>
      </c>
      <c r="F341" s="7"/>
      <c r="G341" s="22"/>
    </row>
    <row r="342" spans="1:7" ht="20.25" hidden="1" customHeight="1">
      <c r="A342" s="102">
        <v>10300</v>
      </c>
      <c r="B342" s="102">
        <v>14300</v>
      </c>
      <c r="C342" s="102">
        <f t="shared" si="5"/>
        <v>10300</v>
      </c>
      <c r="D342" s="102" t="s">
        <v>498</v>
      </c>
      <c r="E342" s="26" t="s">
        <v>2324</v>
      </c>
      <c r="F342" s="10"/>
      <c r="G342" s="22"/>
    </row>
    <row r="343" spans="1:7" ht="20.25" hidden="1" customHeight="1">
      <c r="A343" s="102">
        <v>10301</v>
      </c>
      <c r="B343" s="102">
        <v>14301</v>
      </c>
      <c r="C343" s="102">
        <f t="shared" si="5"/>
        <v>10301</v>
      </c>
      <c r="D343" s="102" t="s">
        <v>498</v>
      </c>
      <c r="E343" s="26" t="s">
        <v>2325</v>
      </c>
      <c r="F343" s="10"/>
      <c r="G343" s="22" t="s">
        <v>2326</v>
      </c>
    </row>
    <row r="344" spans="1:7" ht="20.25" hidden="1" customHeight="1">
      <c r="A344" s="102">
        <v>10302</v>
      </c>
      <c r="B344" s="102">
        <v>14302</v>
      </c>
      <c r="C344" s="102">
        <f t="shared" si="5"/>
        <v>10302</v>
      </c>
      <c r="D344" s="102" t="s">
        <v>498</v>
      </c>
      <c r="E344" s="26" t="s">
        <v>2327</v>
      </c>
      <c r="F344" s="10"/>
      <c r="G344" s="22" t="s">
        <v>2326</v>
      </c>
    </row>
    <row r="345" spans="1:7" ht="20.25" hidden="1" customHeight="1">
      <c r="A345" s="102">
        <v>10303</v>
      </c>
      <c r="B345" s="102">
        <v>14303</v>
      </c>
      <c r="C345" s="102">
        <f t="shared" si="5"/>
        <v>10303</v>
      </c>
      <c r="D345" s="102" t="s">
        <v>498</v>
      </c>
      <c r="E345" s="26" t="s">
        <v>2328</v>
      </c>
      <c r="F345" s="10"/>
      <c r="G345" s="22" t="s">
        <v>2326</v>
      </c>
    </row>
    <row r="346" spans="1:7" ht="20.25" hidden="1" customHeight="1">
      <c r="A346" s="102">
        <v>10304</v>
      </c>
      <c r="B346" s="102">
        <v>14304</v>
      </c>
      <c r="C346" s="102">
        <f t="shared" si="5"/>
        <v>10304</v>
      </c>
      <c r="D346" s="102" t="s">
        <v>67</v>
      </c>
      <c r="E346" s="26" t="s">
        <v>2329</v>
      </c>
      <c r="F346" s="10"/>
      <c r="G346" s="22"/>
    </row>
    <row r="347" spans="1:7" ht="20.25" hidden="1" customHeight="1">
      <c r="A347" s="102">
        <v>10305</v>
      </c>
      <c r="B347" s="102">
        <v>14305</v>
      </c>
      <c r="C347" s="102">
        <f t="shared" si="5"/>
        <v>10305</v>
      </c>
      <c r="D347" s="102" t="s">
        <v>67</v>
      </c>
      <c r="E347" s="26" t="s">
        <v>2330</v>
      </c>
      <c r="F347" s="10"/>
      <c r="G347" s="22"/>
    </row>
    <row r="348" spans="1:7" ht="20.25" hidden="1" customHeight="1">
      <c r="A348" s="102">
        <v>10306</v>
      </c>
      <c r="B348" s="102">
        <v>14306</v>
      </c>
      <c r="C348" s="102">
        <f t="shared" si="5"/>
        <v>10306</v>
      </c>
      <c r="D348" s="102" t="s">
        <v>67</v>
      </c>
      <c r="E348" s="26"/>
      <c r="F348" s="10"/>
      <c r="G348" s="22"/>
    </row>
    <row r="349" spans="1:7" ht="20.25" hidden="1" customHeight="1">
      <c r="A349" s="102">
        <v>10307</v>
      </c>
      <c r="B349" s="102">
        <v>14307</v>
      </c>
      <c r="C349" s="102">
        <f t="shared" si="5"/>
        <v>10307</v>
      </c>
      <c r="D349" s="102" t="s">
        <v>498</v>
      </c>
      <c r="E349" s="26" t="s">
        <v>2331</v>
      </c>
      <c r="F349" s="10"/>
      <c r="G349" s="22" t="s">
        <v>2086</v>
      </c>
    </row>
    <row r="350" spans="1:7" ht="20.25" hidden="1" customHeight="1">
      <c r="A350" s="102">
        <v>10308</v>
      </c>
      <c r="B350" s="102">
        <v>14308</v>
      </c>
      <c r="C350" s="102">
        <f t="shared" si="5"/>
        <v>10308</v>
      </c>
      <c r="D350" s="102" t="s">
        <v>498</v>
      </c>
      <c r="E350" s="26" t="s">
        <v>2332</v>
      </c>
      <c r="F350" s="10"/>
      <c r="G350" s="22" t="s">
        <v>2333</v>
      </c>
    </row>
    <row r="351" spans="1:7" ht="20.25" hidden="1" customHeight="1">
      <c r="A351" s="102">
        <v>10309</v>
      </c>
      <c r="B351" s="102">
        <v>14309</v>
      </c>
      <c r="C351" s="102">
        <f t="shared" si="5"/>
        <v>10309</v>
      </c>
      <c r="D351" s="102" t="s">
        <v>498</v>
      </c>
      <c r="E351" s="26" t="s">
        <v>2334</v>
      </c>
      <c r="F351" s="10"/>
      <c r="G351" s="22"/>
    </row>
    <row r="352" spans="1:7" ht="20.25" hidden="1" customHeight="1">
      <c r="A352" s="102">
        <v>10310</v>
      </c>
      <c r="B352" s="102">
        <v>14310</v>
      </c>
      <c r="C352" s="102">
        <f t="shared" si="5"/>
        <v>10310</v>
      </c>
      <c r="D352" s="102" t="s">
        <v>498</v>
      </c>
      <c r="E352" s="187" t="s">
        <v>2335</v>
      </c>
      <c r="F352" s="10"/>
      <c r="G352" s="22"/>
    </row>
    <row r="353" spans="1:7" ht="20.25" hidden="1" customHeight="1">
      <c r="A353" s="102">
        <v>10311</v>
      </c>
      <c r="B353" s="102">
        <v>14311</v>
      </c>
      <c r="C353" s="102">
        <f t="shared" si="5"/>
        <v>10311</v>
      </c>
      <c r="D353" s="102" t="s">
        <v>498</v>
      </c>
      <c r="E353" s="26" t="s">
        <v>2336</v>
      </c>
      <c r="F353" s="7"/>
      <c r="G353" s="9" t="s">
        <v>2337</v>
      </c>
    </row>
    <row r="354" spans="1:7" ht="20.25" hidden="1" customHeight="1">
      <c r="A354" s="102">
        <v>10312</v>
      </c>
      <c r="B354" s="102">
        <v>14312</v>
      </c>
      <c r="C354" s="102">
        <f t="shared" si="5"/>
        <v>10312</v>
      </c>
      <c r="D354" s="102" t="s">
        <v>498</v>
      </c>
      <c r="E354" s="26" t="s">
        <v>2338</v>
      </c>
      <c r="F354" s="7"/>
      <c r="G354" s="9" t="s">
        <v>2337</v>
      </c>
    </row>
    <row r="355" spans="1:7" ht="20.25" hidden="1" customHeight="1">
      <c r="A355" s="102">
        <v>10313</v>
      </c>
      <c r="B355" s="102">
        <v>14313</v>
      </c>
      <c r="C355" s="102">
        <f t="shared" si="5"/>
        <v>20313</v>
      </c>
      <c r="D355" s="102" t="s">
        <v>498</v>
      </c>
      <c r="E355" s="26" t="s">
        <v>2339</v>
      </c>
      <c r="F355" s="7"/>
    </row>
    <row r="356" spans="1:7" ht="20.25" hidden="1" customHeight="1">
      <c r="A356" s="102">
        <v>10314</v>
      </c>
      <c r="B356" s="102">
        <v>14314</v>
      </c>
      <c r="C356" s="102">
        <f t="shared" si="5"/>
        <v>10314</v>
      </c>
      <c r="D356" s="102" t="s">
        <v>498</v>
      </c>
      <c r="E356" s="26" t="s">
        <v>2340</v>
      </c>
      <c r="F356" s="7"/>
      <c r="G356" s="22"/>
    </row>
    <row r="357" spans="1:7" ht="20.25" hidden="1" customHeight="1">
      <c r="A357" s="102">
        <v>10315</v>
      </c>
      <c r="B357" s="102">
        <v>14315</v>
      </c>
      <c r="C357" s="102">
        <f t="shared" si="5"/>
        <v>20315</v>
      </c>
      <c r="D357" s="102" t="s">
        <v>498</v>
      </c>
      <c r="E357" s="26" t="s">
        <v>2341</v>
      </c>
      <c r="F357" s="10"/>
      <c r="G357" s="22" t="s">
        <v>182</v>
      </c>
    </row>
    <row r="358" spans="1:7" ht="20.25" hidden="1" customHeight="1">
      <c r="A358" s="102">
        <v>10316</v>
      </c>
      <c r="B358" s="102">
        <v>14316</v>
      </c>
      <c r="C358" s="102">
        <f t="shared" si="5"/>
        <v>10316</v>
      </c>
      <c r="D358" s="102" t="s">
        <v>498</v>
      </c>
      <c r="E358" s="26" t="s">
        <v>2342</v>
      </c>
      <c r="F358" s="7"/>
      <c r="G358" s="22"/>
    </row>
    <row r="359" spans="1:7" ht="20.25" hidden="1" customHeight="1">
      <c r="A359" s="102">
        <v>10317</v>
      </c>
      <c r="B359" s="102">
        <v>14317</v>
      </c>
      <c r="C359" s="102">
        <f t="shared" si="5"/>
        <v>10317</v>
      </c>
      <c r="D359" s="102" t="s">
        <v>498</v>
      </c>
      <c r="E359" s="26" t="s">
        <v>2343</v>
      </c>
      <c r="F359" s="7"/>
      <c r="G359" s="22" t="s">
        <v>2344</v>
      </c>
    </row>
    <row r="360" spans="1:7" ht="20.25" hidden="1" customHeight="1">
      <c r="A360" s="102">
        <v>10318</v>
      </c>
      <c r="B360" s="102">
        <v>14318</v>
      </c>
      <c r="C360" s="102">
        <f t="shared" si="5"/>
        <v>10318</v>
      </c>
      <c r="D360" s="102" t="s">
        <v>498</v>
      </c>
      <c r="E360" s="26" t="s">
        <v>2345</v>
      </c>
      <c r="F360" s="7"/>
      <c r="G360" s="22"/>
    </row>
    <row r="361" spans="1:7" ht="20.25" hidden="1" customHeight="1">
      <c r="A361" s="102">
        <v>10319</v>
      </c>
      <c r="B361" s="102">
        <v>14319</v>
      </c>
      <c r="C361" s="102">
        <f t="shared" si="5"/>
        <v>20319</v>
      </c>
      <c r="D361" s="102" t="s">
        <v>498</v>
      </c>
      <c r="E361" s="26" t="s">
        <v>2346</v>
      </c>
      <c r="F361" s="7"/>
      <c r="G361" s="22"/>
    </row>
    <row r="362" spans="1:7" ht="20.25" hidden="1" customHeight="1">
      <c r="A362" s="102">
        <v>10320</v>
      </c>
      <c r="B362" s="102">
        <v>14320</v>
      </c>
      <c r="C362" s="102">
        <f t="shared" si="5"/>
        <v>10320</v>
      </c>
      <c r="D362" s="102" t="s">
        <v>498</v>
      </c>
      <c r="E362" s="26" t="s">
        <v>2347</v>
      </c>
      <c r="F362" s="7" t="s">
        <v>2348</v>
      </c>
      <c r="G362" s="22"/>
    </row>
    <row r="363" spans="1:7" ht="20.25" hidden="1" customHeight="1">
      <c r="A363" s="102">
        <v>10321</v>
      </c>
      <c r="B363" s="102">
        <v>14321</v>
      </c>
      <c r="C363" s="102">
        <f t="shared" si="5"/>
        <v>10321</v>
      </c>
      <c r="D363" s="102" t="s">
        <v>498</v>
      </c>
      <c r="E363" s="26" t="s">
        <v>2349</v>
      </c>
      <c r="F363" s="7"/>
      <c r="G363" s="22" t="s">
        <v>2344</v>
      </c>
    </row>
    <row r="364" spans="1:7" ht="20.25" hidden="1" customHeight="1">
      <c r="A364" s="102">
        <v>10322</v>
      </c>
      <c r="B364" s="102">
        <v>14322</v>
      </c>
      <c r="C364" s="102">
        <f t="shared" si="5"/>
        <v>10322</v>
      </c>
      <c r="D364" s="102" t="s">
        <v>498</v>
      </c>
      <c r="E364" s="115" t="s">
        <v>2350</v>
      </c>
      <c r="F364" s="7"/>
      <c r="G364" s="22"/>
    </row>
    <row r="365" spans="1:7" ht="20.25" hidden="1" customHeight="1">
      <c r="A365" s="102">
        <v>10323</v>
      </c>
      <c r="B365" s="102">
        <v>14323</v>
      </c>
      <c r="C365" s="102">
        <f t="shared" si="5"/>
        <v>10323</v>
      </c>
      <c r="D365" s="102" t="s">
        <v>498</v>
      </c>
      <c r="E365" s="190" t="s">
        <v>2351</v>
      </c>
      <c r="F365" s="7"/>
      <c r="G365" s="22"/>
    </row>
    <row r="366" spans="1:7" ht="20.25" hidden="1" customHeight="1">
      <c r="A366" s="102">
        <v>10324</v>
      </c>
      <c r="B366" s="102">
        <v>14324</v>
      </c>
      <c r="C366" s="102">
        <f t="shared" si="5"/>
        <v>10324</v>
      </c>
      <c r="D366" s="102" t="s">
        <v>498</v>
      </c>
      <c r="E366" s="190" t="s">
        <v>2352</v>
      </c>
      <c r="F366" s="7"/>
      <c r="G366" s="22"/>
    </row>
    <row r="367" spans="1:7" ht="20.25" hidden="1" customHeight="1">
      <c r="A367" s="102">
        <v>10325</v>
      </c>
      <c r="B367" s="102">
        <v>14325</v>
      </c>
      <c r="C367" s="102">
        <f t="shared" si="5"/>
        <v>10325</v>
      </c>
      <c r="D367" s="102" t="s">
        <v>498</v>
      </c>
      <c r="E367" s="26" t="s">
        <v>2353</v>
      </c>
      <c r="F367" s="10"/>
      <c r="G367" s="22"/>
    </row>
    <row r="368" spans="1:7" ht="20.25" hidden="1" customHeight="1">
      <c r="A368" s="102">
        <v>8460</v>
      </c>
      <c r="B368" s="102">
        <v>14326</v>
      </c>
      <c r="C368" s="102">
        <f t="shared" si="5"/>
        <v>8460</v>
      </c>
      <c r="D368" s="102" t="s">
        <v>498</v>
      </c>
      <c r="E368" s="26" t="s">
        <v>2354</v>
      </c>
      <c r="F368" s="7"/>
      <c r="G368" s="22"/>
    </row>
    <row r="369" spans="1:7" ht="20.25" hidden="1" customHeight="1">
      <c r="A369" s="102">
        <v>10327</v>
      </c>
      <c r="B369" s="102">
        <v>14327</v>
      </c>
      <c r="C369" s="102">
        <f t="shared" si="5"/>
        <v>10327</v>
      </c>
      <c r="D369" s="102" t="s">
        <v>498</v>
      </c>
      <c r="E369" s="26" t="s">
        <v>2355</v>
      </c>
      <c r="F369" s="10"/>
      <c r="G369" s="22"/>
    </row>
    <row r="370" spans="1:7" ht="20.25" hidden="1" customHeight="1">
      <c r="A370" s="102">
        <v>10328</v>
      </c>
      <c r="B370" s="102">
        <v>14328</v>
      </c>
      <c r="C370" s="102">
        <f t="shared" si="5"/>
        <v>20328</v>
      </c>
      <c r="D370" s="102" t="s">
        <v>498</v>
      </c>
      <c r="E370" s="26" t="s">
        <v>2356</v>
      </c>
      <c r="F370" s="10"/>
      <c r="G370" s="129" t="s">
        <v>2115</v>
      </c>
    </row>
    <row r="371" spans="1:7" ht="20.25" hidden="1" customHeight="1">
      <c r="A371" s="102">
        <v>10329</v>
      </c>
      <c r="B371" s="102">
        <v>14329</v>
      </c>
      <c r="C371" s="102">
        <f t="shared" si="5"/>
        <v>20329</v>
      </c>
      <c r="D371" s="102" t="s">
        <v>67</v>
      </c>
      <c r="E371" s="26" t="s">
        <v>2357</v>
      </c>
      <c r="F371" s="10"/>
      <c r="G371" s="22"/>
    </row>
    <row r="372" spans="1:7" ht="20.25" hidden="1" customHeight="1">
      <c r="A372" s="102">
        <v>10330</v>
      </c>
      <c r="B372" s="102">
        <v>14330</v>
      </c>
      <c r="C372" s="102">
        <f t="shared" si="5"/>
        <v>20330</v>
      </c>
      <c r="D372" s="102" t="s">
        <v>498</v>
      </c>
      <c r="E372" s="26" t="s">
        <v>2358</v>
      </c>
      <c r="F372" s="10"/>
      <c r="G372" s="22"/>
    </row>
    <row r="373" spans="1:7" ht="20.25" hidden="1" customHeight="1">
      <c r="A373" s="102">
        <v>10331</v>
      </c>
      <c r="B373" s="102">
        <v>14331</v>
      </c>
      <c r="C373" s="102">
        <f t="shared" si="5"/>
        <v>10331</v>
      </c>
      <c r="D373" s="102" t="s">
        <v>498</v>
      </c>
      <c r="E373" s="26" t="s">
        <v>2359</v>
      </c>
      <c r="F373" s="10"/>
      <c r="G373" s="22"/>
    </row>
    <row r="374" spans="1:7" ht="20.25" hidden="1" customHeight="1">
      <c r="A374" s="102">
        <v>10331</v>
      </c>
      <c r="B374" s="102">
        <v>14331</v>
      </c>
      <c r="C374" s="102">
        <f t="shared" si="5"/>
        <v>10331</v>
      </c>
      <c r="D374" s="102" t="s">
        <v>67</v>
      </c>
      <c r="E374" s="26" t="s">
        <v>2360</v>
      </c>
      <c r="F374" s="10"/>
      <c r="G374" s="22"/>
    </row>
    <row r="375" spans="1:7" ht="20.25" hidden="1" customHeight="1">
      <c r="A375" s="102">
        <v>10332</v>
      </c>
      <c r="B375" s="102">
        <v>14332</v>
      </c>
      <c r="C375" s="102">
        <f t="shared" si="5"/>
        <v>10332</v>
      </c>
      <c r="D375" s="102" t="s">
        <v>67</v>
      </c>
      <c r="E375" s="26" t="s">
        <v>2361</v>
      </c>
      <c r="F375" s="10"/>
      <c r="G375" s="22"/>
    </row>
    <row r="376" spans="1:7" ht="20.25" hidden="1" customHeight="1">
      <c r="A376" s="102">
        <v>10332</v>
      </c>
      <c r="B376" s="102">
        <v>14332</v>
      </c>
      <c r="C376" s="102">
        <f t="shared" si="5"/>
        <v>10332</v>
      </c>
      <c r="D376" s="102" t="s">
        <v>498</v>
      </c>
      <c r="E376" s="26" t="s">
        <v>2362</v>
      </c>
      <c r="F376" s="10"/>
      <c r="G376" s="22"/>
    </row>
    <row r="377" spans="1:7" ht="20.25" hidden="1" customHeight="1">
      <c r="A377" s="102">
        <v>10333</v>
      </c>
      <c r="B377" s="102">
        <v>14333</v>
      </c>
      <c r="C377" s="102">
        <f t="shared" si="5"/>
        <v>10333</v>
      </c>
      <c r="D377" s="102" t="s">
        <v>498</v>
      </c>
      <c r="E377" s="26" t="s">
        <v>2363</v>
      </c>
      <c r="F377" s="10"/>
      <c r="G377" s="22"/>
    </row>
    <row r="378" spans="1:7" ht="20.25" hidden="1" customHeight="1">
      <c r="A378" s="102">
        <v>10334</v>
      </c>
      <c r="B378" s="102">
        <v>14334</v>
      </c>
      <c r="C378" s="102">
        <f t="shared" si="5"/>
        <v>10334</v>
      </c>
      <c r="D378" s="102" t="s">
        <v>498</v>
      </c>
      <c r="E378" s="26" t="s">
        <v>2364</v>
      </c>
      <c r="F378" s="10"/>
      <c r="G378" s="22" t="s">
        <v>2344</v>
      </c>
    </row>
    <row r="379" spans="1:7" ht="20.25" hidden="1" customHeight="1">
      <c r="A379" s="102">
        <v>10335</v>
      </c>
      <c r="B379" s="102">
        <v>14335</v>
      </c>
      <c r="C379" s="102">
        <f t="shared" si="5"/>
        <v>20335</v>
      </c>
      <c r="D379" s="102" t="s">
        <v>498</v>
      </c>
      <c r="E379" s="188" t="s">
        <v>2365</v>
      </c>
      <c r="F379" s="10"/>
      <c r="G379" s="22"/>
    </row>
    <row r="380" spans="1:7" ht="20.25" hidden="1" customHeight="1">
      <c r="A380" s="102">
        <v>10336</v>
      </c>
      <c r="B380" s="102">
        <v>14336</v>
      </c>
      <c r="C380" s="102">
        <f t="shared" si="5"/>
        <v>10336</v>
      </c>
      <c r="D380" s="102" t="s">
        <v>498</v>
      </c>
      <c r="E380" s="26" t="s">
        <v>2347</v>
      </c>
      <c r="F380" s="7" t="s">
        <v>2366</v>
      </c>
      <c r="G380" s="22"/>
    </row>
    <row r="381" spans="1:7" ht="20.25" hidden="1" customHeight="1">
      <c r="A381" s="102">
        <v>10337</v>
      </c>
      <c r="B381" s="102">
        <v>14337</v>
      </c>
      <c r="C381" s="102">
        <f t="shared" si="5"/>
        <v>10337</v>
      </c>
      <c r="D381" s="102" t="s">
        <v>498</v>
      </c>
      <c r="E381" s="26"/>
      <c r="F381" s="7"/>
      <c r="G381" s="22" t="s">
        <v>2367</v>
      </c>
    </row>
    <row r="382" spans="1:7" ht="20.25" hidden="1" customHeight="1">
      <c r="A382" s="102">
        <v>10338</v>
      </c>
      <c r="B382" s="102">
        <v>14338</v>
      </c>
      <c r="C382" s="102">
        <f t="shared" si="5"/>
        <v>20338</v>
      </c>
      <c r="D382" s="102" t="s">
        <v>498</v>
      </c>
      <c r="E382" s="26" t="s">
        <v>2368</v>
      </c>
      <c r="F382" s="7" t="s">
        <v>2369</v>
      </c>
      <c r="G382" s="22" t="s">
        <v>2367</v>
      </c>
    </row>
    <row r="383" spans="1:7" ht="20.25" hidden="1" customHeight="1">
      <c r="A383" s="102">
        <v>10339</v>
      </c>
      <c r="B383" s="102">
        <v>14339</v>
      </c>
      <c r="C383" s="102">
        <f t="shared" si="5"/>
        <v>10339</v>
      </c>
      <c r="D383" s="102" t="s">
        <v>498</v>
      </c>
      <c r="E383" s="26"/>
      <c r="F383" s="7"/>
      <c r="G383" s="22" t="s">
        <v>2367</v>
      </c>
    </row>
    <row r="384" spans="1:7" ht="20.25" hidden="1" customHeight="1">
      <c r="A384" s="102">
        <v>10340</v>
      </c>
      <c r="B384" s="102">
        <v>14340</v>
      </c>
      <c r="C384" s="102">
        <f t="shared" si="5"/>
        <v>20340</v>
      </c>
      <c r="D384" s="102" t="s">
        <v>498</v>
      </c>
      <c r="E384" s="26" t="s">
        <v>2370</v>
      </c>
      <c r="F384" s="7" t="s">
        <v>2369</v>
      </c>
      <c r="G384" s="22" t="s">
        <v>2367</v>
      </c>
    </row>
    <row r="385" spans="1:7" ht="20.25" hidden="1" customHeight="1">
      <c r="A385" s="102">
        <v>10341</v>
      </c>
      <c r="B385" s="102">
        <v>14341</v>
      </c>
      <c r="C385" s="102">
        <f t="shared" si="5"/>
        <v>20341</v>
      </c>
      <c r="D385" s="102" t="s">
        <v>498</v>
      </c>
      <c r="E385" s="187" t="s">
        <v>2371</v>
      </c>
      <c r="F385" s="7" t="s">
        <v>2369</v>
      </c>
      <c r="G385" s="22" t="s">
        <v>2367</v>
      </c>
    </row>
    <row r="386" spans="1:7" ht="20.25" hidden="1" customHeight="1">
      <c r="A386" s="102">
        <v>10342</v>
      </c>
      <c r="B386" s="102">
        <v>14342</v>
      </c>
      <c r="C386" s="102">
        <f t="shared" si="5"/>
        <v>10342</v>
      </c>
      <c r="D386" s="102" t="s">
        <v>498</v>
      </c>
      <c r="E386" s="26"/>
      <c r="F386" s="7"/>
      <c r="G386" s="22" t="s">
        <v>2367</v>
      </c>
    </row>
    <row r="387" spans="1:7" ht="20.25" hidden="1" customHeight="1">
      <c r="A387" s="102">
        <v>10343</v>
      </c>
      <c r="B387" s="102">
        <v>14343</v>
      </c>
      <c r="C387" s="102">
        <f t="shared" si="5"/>
        <v>10343</v>
      </c>
      <c r="D387" s="102" t="s">
        <v>498</v>
      </c>
      <c r="E387" s="26" t="s">
        <v>2372</v>
      </c>
      <c r="F387" s="7"/>
      <c r="G387" s="22" t="s">
        <v>2344</v>
      </c>
    </row>
    <row r="388" spans="1:7" ht="20.25" hidden="1" customHeight="1">
      <c r="A388" s="102">
        <v>10344</v>
      </c>
      <c r="B388" s="102">
        <v>14344</v>
      </c>
      <c r="C388" s="102">
        <f t="shared" ref="C388:C451" si="6">IF(ISERROR(FIND("B_Epic",E388)),A388,A388+10000)</f>
        <v>10344</v>
      </c>
      <c r="D388" s="102" t="s">
        <v>498</v>
      </c>
      <c r="E388" s="26"/>
      <c r="F388" s="7" t="s">
        <v>643</v>
      </c>
      <c r="G388" s="22"/>
    </row>
    <row r="389" spans="1:7" ht="20.25" hidden="1" customHeight="1">
      <c r="A389" s="102">
        <v>10345</v>
      </c>
      <c r="B389" s="102">
        <v>14345</v>
      </c>
      <c r="C389" s="102">
        <f t="shared" si="6"/>
        <v>10345</v>
      </c>
      <c r="D389" s="102" t="s">
        <v>498</v>
      </c>
      <c r="E389" s="26" t="s">
        <v>2373</v>
      </c>
      <c r="F389" s="7"/>
      <c r="G389" s="22" t="s">
        <v>2374</v>
      </c>
    </row>
    <row r="390" spans="1:7" ht="20.25" hidden="1" customHeight="1" thickBot="1">
      <c r="A390" s="102">
        <v>10346</v>
      </c>
      <c r="B390" s="102">
        <v>14346</v>
      </c>
      <c r="C390" s="102">
        <f t="shared" si="6"/>
        <v>10346</v>
      </c>
      <c r="D390" s="102" t="s">
        <v>498</v>
      </c>
      <c r="E390" s="127" t="s">
        <v>2375</v>
      </c>
      <c r="F390" s="7"/>
      <c r="G390" s="22" t="s">
        <v>2374</v>
      </c>
    </row>
    <row r="391" spans="1:7" ht="20.25" hidden="1" customHeight="1" thickBot="1">
      <c r="A391" s="102">
        <v>10347</v>
      </c>
      <c r="B391" s="102">
        <v>14347</v>
      </c>
      <c r="C391" s="102">
        <f t="shared" si="6"/>
        <v>10347</v>
      </c>
      <c r="D391" s="102" t="s">
        <v>498</v>
      </c>
      <c r="E391" s="127" t="s">
        <v>2376</v>
      </c>
      <c r="F391" s="7"/>
      <c r="G391" s="22" t="s">
        <v>2374</v>
      </c>
    </row>
    <row r="392" spans="1:7" ht="20.25" hidden="1" customHeight="1" thickBot="1">
      <c r="A392" s="102">
        <v>10348</v>
      </c>
      <c r="B392" s="102">
        <v>14348</v>
      </c>
      <c r="C392" s="102">
        <f t="shared" si="6"/>
        <v>10348</v>
      </c>
      <c r="D392" s="102" t="s">
        <v>498</v>
      </c>
      <c r="E392" s="223" t="s">
        <v>2377</v>
      </c>
      <c r="F392" s="7"/>
      <c r="G392" s="22"/>
    </row>
    <row r="393" spans="1:7" ht="20.25" hidden="1" customHeight="1">
      <c r="A393" s="102">
        <v>10349</v>
      </c>
      <c r="B393" s="102">
        <v>14349</v>
      </c>
      <c r="C393" s="102">
        <f t="shared" si="6"/>
        <v>10349</v>
      </c>
      <c r="D393" s="102" t="s">
        <v>498</v>
      </c>
      <c r="E393" s="26" t="s">
        <v>2378</v>
      </c>
      <c r="F393" s="7"/>
      <c r="G393" s="22"/>
    </row>
    <row r="394" spans="1:7" ht="20.25" hidden="1" customHeight="1">
      <c r="A394" s="102">
        <v>10350</v>
      </c>
      <c r="B394" s="102">
        <v>14350</v>
      </c>
      <c r="C394" s="102">
        <f t="shared" si="6"/>
        <v>10350</v>
      </c>
      <c r="D394" s="102" t="s">
        <v>498</v>
      </c>
      <c r="E394" s="187" t="s">
        <v>2379</v>
      </c>
      <c r="F394" s="10"/>
      <c r="G394" s="22"/>
    </row>
    <row r="395" spans="1:7" ht="20.25" hidden="1" customHeight="1">
      <c r="A395" s="102">
        <v>10351</v>
      </c>
      <c r="B395" s="102">
        <v>14351</v>
      </c>
      <c r="C395" s="102">
        <f t="shared" si="6"/>
        <v>10351</v>
      </c>
      <c r="D395" s="102" t="s">
        <v>498</v>
      </c>
      <c r="E395" s="187" t="s">
        <v>2380</v>
      </c>
      <c r="F395" s="7"/>
      <c r="G395" s="22"/>
    </row>
    <row r="396" spans="1:7" ht="20.25" hidden="1" customHeight="1">
      <c r="A396" s="102">
        <v>10352</v>
      </c>
      <c r="B396" s="102">
        <v>14352</v>
      </c>
      <c r="C396" s="102">
        <f t="shared" si="6"/>
        <v>20352</v>
      </c>
      <c r="D396" s="102" t="s">
        <v>498</v>
      </c>
      <c r="E396" s="115" t="s">
        <v>2381</v>
      </c>
      <c r="F396" s="10"/>
      <c r="G396" s="163">
        <v>98484203</v>
      </c>
    </row>
    <row r="397" spans="1:7" ht="20.25" hidden="1" customHeight="1">
      <c r="A397" s="102">
        <v>10353</v>
      </c>
      <c r="B397" s="102">
        <v>14353</v>
      </c>
      <c r="C397" s="102">
        <f t="shared" si="6"/>
        <v>20353</v>
      </c>
      <c r="D397" s="102" t="s">
        <v>498</v>
      </c>
      <c r="E397" s="115" t="s">
        <v>2382</v>
      </c>
      <c r="F397" s="7"/>
      <c r="G397" s="163">
        <v>98484203</v>
      </c>
    </row>
    <row r="398" spans="1:7" ht="20.25" hidden="1" customHeight="1">
      <c r="A398" s="102">
        <v>10354</v>
      </c>
      <c r="B398" s="102">
        <v>14354</v>
      </c>
      <c r="C398" s="102">
        <f t="shared" si="6"/>
        <v>10354</v>
      </c>
      <c r="D398" s="102" t="s">
        <v>498</v>
      </c>
      <c r="E398" s="26"/>
      <c r="F398" s="7" t="s">
        <v>643</v>
      </c>
      <c r="G398" s="22"/>
    </row>
    <row r="399" spans="1:7" ht="20.25" hidden="1" customHeight="1">
      <c r="A399" s="102">
        <v>10355</v>
      </c>
      <c r="B399" s="102">
        <v>14355</v>
      </c>
      <c r="C399" s="102">
        <f t="shared" si="6"/>
        <v>10355</v>
      </c>
      <c r="D399" s="102" t="s">
        <v>498</v>
      </c>
      <c r="E399" s="26"/>
      <c r="F399" s="7" t="s">
        <v>643</v>
      </c>
      <c r="G399" s="22"/>
    </row>
    <row r="400" spans="1:7" ht="20.25" hidden="1" customHeight="1">
      <c r="A400" s="102">
        <v>10356</v>
      </c>
      <c r="B400" s="102">
        <v>14356</v>
      </c>
      <c r="C400" s="102">
        <f t="shared" si="6"/>
        <v>10356</v>
      </c>
      <c r="D400" s="102" t="s">
        <v>498</v>
      </c>
      <c r="E400" s="26" t="s">
        <v>2383</v>
      </c>
      <c r="F400" s="10"/>
      <c r="G400" s="22" t="s">
        <v>2344</v>
      </c>
    </row>
    <row r="401" spans="1:7" ht="20.25" hidden="1" customHeight="1">
      <c r="A401" s="102">
        <v>10358</v>
      </c>
      <c r="B401" s="102">
        <v>14358</v>
      </c>
      <c r="C401" s="102">
        <f t="shared" si="6"/>
        <v>20358</v>
      </c>
      <c r="D401" s="102" t="s">
        <v>498</v>
      </c>
      <c r="E401" s="26" t="s">
        <v>2384</v>
      </c>
      <c r="F401" s="125"/>
      <c r="G401" s="22"/>
    </row>
    <row r="402" spans="1:7" ht="20.25" hidden="1" customHeight="1">
      <c r="A402" s="102">
        <v>10359</v>
      </c>
      <c r="B402" s="102">
        <v>14359</v>
      </c>
      <c r="C402" s="102">
        <f t="shared" si="6"/>
        <v>10359</v>
      </c>
      <c r="D402" s="102" t="s">
        <v>498</v>
      </c>
      <c r="E402" s="26" t="s">
        <v>2385</v>
      </c>
      <c r="F402" s="7"/>
      <c r="G402" s="22"/>
    </row>
    <row r="403" spans="1:7" ht="20.25" hidden="1" customHeight="1">
      <c r="A403" s="102">
        <v>10360</v>
      </c>
      <c r="B403" s="102">
        <v>14360</v>
      </c>
      <c r="C403" s="102">
        <f t="shared" si="6"/>
        <v>10360</v>
      </c>
      <c r="D403" s="102" t="s">
        <v>498</v>
      </c>
      <c r="E403" s="26" t="s">
        <v>2386</v>
      </c>
      <c r="F403" s="7"/>
      <c r="G403" s="22" t="s">
        <v>1627</v>
      </c>
    </row>
    <row r="404" spans="1:7" ht="20.25" hidden="1" customHeight="1">
      <c r="A404" s="102">
        <v>10361</v>
      </c>
      <c r="B404" s="102">
        <v>14361</v>
      </c>
      <c r="C404" s="102">
        <f t="shared" si="6"/>
        <v>20361</v>
      </c>
      <c r="D404" s="102" t="s">
        <v>498</v>
      </c>
      <c r="E404" s="26" t="s">
        <v>2387</v>
      </c>
      <c r="F404" s="7"/>
      <c r="G404" s="22"/>
    </row>
    <row r="405" spans="1:7" ht="20.25" hidden="1" customHeight="1">
      <c r="A405" s="102">
        <v>10362</v>
      </c>
      <c r="B405" s="102">
        <v>14362</v>
      </c>
      <c r="C405" s="102">
        <f t="shared" si="6"/>
        <v>20362</v>
      </c>
      <c r="D405" s="102" t="s">
        <v>498</v>
      </c>
      <c r="E405" s="26" t="s">
        <v>2388</v>
      </c>
      <c r="F405" s="7"/>
      <c r="G405" s="22" t="s">
        <v>2344</v>
      </c>
    </row>
    <row r="406" spans="1:7" ht="20.25" hidden="1" customHeight="1">
      <c r="A406" s="102">
        <v>10363</v>
      </c>
      <c r="B406" s="102">
        <v>14363</v>
      </c>
      <c r="C406" s="102">
        <f t="shared" si="6"/>
        <v>10363</v>
      </c>
      <c r="D406" s="102" t="s">
        <v>498</v>
      </c>
      <c r="E406" s="236" t="s">
        <v>2389</v>
      </c>
      <c r="F406" s="7"/>
      <c r="G406" s="22" t="s">
        <v>2344</v>
      </c>
    </row>
    <row r="407" spans="1:7" ht="20.25" hidden="1" customHeight="1">
      <c r="A407" s="102">
        <v>10364</v>
      </c>
      <c r="B407" s="102">
        <v>14364</v>
      </c>
      <c r="C407" s="102">
        <f t="shared" si="6"/>
        <v>10364</v>
      </c>
      <c r="D407" s="102" t="s">
        <v>498</v>
      </c>
      <c r="E407" s="236" t="s">
        <v>2390</v>
      </c>
      <c r="F407" s="7"/>
      <c r="G407" s="22" t="s">
        <v>2344</v>
      </c>
    </row>
    <row r="408" spans="1:7" ht="20.25" hidden="1" customHeight="1">
      <c r="A408" s="102">
        <v>10365</v>
      </c>
      <c r="B408" s="102">
        <v>14365</v>
      </c>
      <c r="C408" s="102">
        <f t="shared" si="6"/>
        <v>10365</v>
      </c>
      <c r="D408" s="102" t="s">
        <v>498</v>
      </c>
      <c r="E408" s="26" t="s">
        <v>2391</v>
      </c>
      <c r="F408" s="7"/>
      <c r="G408" s="22" t="s">
        <v>2392</v>
      </c>
    </row>
    <row r="409" spans="1:7" ht="20.25" hidden="1" customHeight="1">
      <c r="A409" s="102">
        <v>10366</v>
      </c>
      <c r="B409" s="102">
        <v>14366</v>
      </c>
      <c r="C409" s="102">
        <f t="shared" si="6"/>
        <v>10366</v>
      </c>
      <c r="D409" s="102" t="s">
        <v>498</v>
      </c>
      <c r="E409" s="26" t="s">
        <v>2393</v>
      </c>
      <c r="F409" s="7"/>
      <c r="G409" s="22" t="s">
        <v>2392</v>
      </c>
    </row>
    <row r="410" spans="1:7" ht="20.25" hidden="1" customHeight="1">
      <c r="A410" s="102">
        <v>10367</v>
      </c>
      <c r="B410" s="102">
        <v>14367</v>
      </c>
      <c r="C410" s="102">
        <f t="shared" si="6"/>
        <v>10367</v>
      </c>
      <c r="D410" s="102" t="s">
        <v>498</v>
      </c>
      <c r="E410" s="26" t="s">
        <v>2394</v>
      </c>
      <c r="F410" s="7"/>
      <c r="G410" s="22"/>
    </row>
    <row r="411" spans="1:7" ht="20.25" hidden="1" customHeight="1">
      <c r="A411" s="102">
        <v>10368</v>
      </c>
      <c r="B411" s="102">
        <v>14368</v>
      </c>
      <c r="C411" s="102">
        <f t="shared" si="6"/>
        <v>10368</v>
      </c>
      <c r="D411" s="102" t="s">
        <v>498</v>
      </c>
      <c r="E411" s="26" t="s">
        <v>2395</v>
      </c>
      <c r="F411" s="7"/>
      <c r="G411" s="22"/>
    </row>
    <row r="412" spans="1:7" ht="20.25" hidden="1" customHeight="1">
      <c r="A412" s="102">
        <v>10369</v>
      </c>
      <c r="B412" s="102">
        <v>14369</v>
      </c>
      <c r="C412" s="102">
        <f t="shared" si="6"/>
        <v>10369</v>
      </c>
      <c r="D412" s="102" t="s">
        <v>498</v>
      </c>
      <c r="E412" s="26" t="s">
        <v>2396</v>
      </c>
      <c r="F412" s="7"/>
      <c r="G412" s="22"/>
    </row>
    <row r="413" spans="1:7" ht="20.25" hidden="1" customHeight="1">
      <c r="A413" s="102">
        <v>10370</v>
      </c>
      <c r="B413" s="102">
        <v>14370</v>
      </c>
      <c r="C413" s="102">
        <f t="shared" si="6"/>
        <v>20370</v>
      </c>
      <c r="D413" s="102" t="s">
        <v>498</v>
      </c>
      <c r="E413" s="191" t="s">
        <v>2397</v>
      </c>
      <c r="F413" s="7"/>
      <c r="G413" s="22"/>
    </row>
    <row r="414" spans="1:7" ht="20.25" hidden="1" customHeight="1">
      <c r="A414" s="102">
        <v>10371</v>
      </c>
      <c r="B414" s="102">
        <v>14371</v>
      </c>
      <c r="C414" s="102">
        <f t="shared" si="6"/>
        <v>20371</v>
      </c>
      <c r="D414" s="102" t="s">
        <v>498</v>
      </c>
      <c r="E414" s="191" t="s">
        <v>2398</v>
      </c>
      <c r="F414" s="7"/>
      <c r="G414" s="22"/>
    </row>
    <row r="415" spans="1:7" ht="20.25" hidden="1" customHeight="1">
      <c r="A415" s="102">
        <v>10372</v>
      </c>
      <c r="B415" s="102">
        <v>14372</v>
      </c>
      <c r="C415" s="102">
        <f t="shared" si="6"/>
        <v>10372</v>
      </c>
      <c r="D415" s="102" t="s">
        <v>498</v>
      </c>
      <c r="E415" s="26" t="s">
        <v>2399</v>
      </c>
      <c r="F415" s="7"/>
      <c r="G415" s="22" t="s">
        <v>1627</v>
      </c>
    </row>
    <row r="416" spans="1:7" ht="20.25" hidden="1" customHeight="1">
      <c r="A416" s="102">
        <v>10373</v>
      </c>
      <c r="B416" s="102">
        <v>14373</v>
      </c>
      <c r="C416" s="102">
        <f t="shared" si="6"/>
        <v>10373</v>
      </c>
      <c r="D416" s="102" t="s">
        <v>498</v>
      </c>
      <c r="E416" s="26" t="s">
        <v>2400</v>
      </c>
      <c r="F416" s="7"/>
      <c r="G416" s="22" t="s">
        <v>1627</v>
      </c>
    </row>
    <row r="417" spans="1:7" ht="20.25" hidden="1" customHeight="1">
      <c r="A417" s="102">
        <v>10374</v>
      </c>
      <c r="B417" s="102">
        <v>14374</v>
      </c>
      <c r="C417" s="102">
        <f t="shared" si="6"/>
        <v>20374</v>
      </c>
      <c r="D417" s="102" t="s">
        <v>67</v>
      </c>
      <c r="E417" s="26" t="s">
        <v>2401</v>
      </c>
      <c r="F417" s="7"/>
      <c r="G417" s="22"/>
    </row>
    <row r="418" spans="1:7" ht="20.25" hidden="1" customHeight="1">
      <c r="A418" s="102">
        <v>10375</v>
      </c>
      <c r="B418" s="102">
        <v>14375</v>
      </c>
      <c r="C418" s="102">
        <f t="shared" si="6"/>
        <v>20375</v>
      </c>
      <c r="D418" s="102" t="s">
        <v>67</v>
      </c>
      <c r="E418" s="26" t="s">
        <v>2402</v>
      </c>
      <c r="F418" s="7"/>
    </row>
    <row r="419" spans="1:7" ht="20.25" hidden="1" customHeight="1">
      <c r="A419" s="102">
        <v>10376</v>
      </c>
      <c r="B419" s="102">
        <v>14376</v>
      </c>
      <c r="C419" s="102">
        <f t="shared" si="6"/>
        <v>10376</v>
      </c>
      <c r="D419" s="102" t="s">
        <v>498</v>
      </c>
      <c r="E419" s="26" t="s">
        <v>2403</v>
      </c>
      <c r="F419" s="7"/>
      <c r="G419" s="22" t="s">
        <v>2018</v>
      </c>
    </row>
    <row r="420" spans="1:7" ht="20.25" hidden="1" customHeight="1">
      <c r="A420" s="102">
        <v>10377</v>
      </c>
      <c r="B420" s="102">
        <v>14377</v>
      </c>
      <c r="C420" s="102">
        <f t="shared" si="6"/>
        <v>10377</v>
      </c>
      <c r="D420" s="102" t="s">
        <v>498</v>
      </c>
      <c r="E420" s="1" t="s">
        <v>2404</v>
      </c>
      <c r="F420" s="7"/>
      <c r="G420" s="22" t="s">
        <v>2018</v>
      </c>
    </row>
    <row r="421" spans="1:7" ht="20.25" hidden="1" customHeight="1">
      <c r="A421" s="102">
        <v>10378</v>
      </c>
      <c r="B421" s="102">
        <v>14378</v>
      </c>
      <c r="C421" s="102">
        <f t="shared" si="6"/>
        <v>20378</v>
      </c>
      <c r="D421" s="102" t="s">
        <v>498</v>
      </c>
      <c r="E421" s="26" t="s">
        <v>2405</v>
      </c>
      <c r="F421" s="7"/>
      <c r="G421" s="22" t="s">
        <v>2089</v>
      </c>
    </row>
    <row r="422" spans="1:7" ht="20.25" hidden="1" customHeight="1">
      <c r="A422" s="102">
        <v>10379</v>
      </c>
      <c r="B422" s="102">
        <v>14379</v>
      </c>
      <c r="C422" s="102">
        <f t="shared" si="6"/>
        <v>10379</v>
      </c>
      <c r="D422" s="102" t="s">
        <v>498</v>
      </c>
      <c r="E422" s="26" t="s">
        <v>2406</v>
      </c>
      <c r="F422" s="7"/>
      <c r="G422" s="22" t="s">
        <v>2089</v>
      </c>
    </row>
    <row r="423" spans="1:7" ht="20.25" hidden="1" customHeight="1">
      <c r="A423" s="102">
        <v>10380</v>
      </c>
      <c r="B423" s="102">
        <v>14380</v>
      </c>
      <c r="C423" s="102">
        <f t="shared" si="6"/>
        <v>10380</v>
      </c>
      <c r="D423" s="102" t="s">
        <v>498</v>
      </c>
      <c r="E423" s="26" t="s">
        <v>2407</v>
      </c>
      <c r="F423" s="7"/>
      <c r="G423" s="22"/>
    </row>
    <row r="424" spans="1:7" ht="20.25" hidden="1" customHeight="1">
      <c r="A424" s="102">
        <v>10381</v>
      </c>
      <c r="B424" s="102">
        <v>14381</v>
      </c>
      <c r="C424" s="102">
        <f t="shared" si="6"/>
        <v>10381</v>
      </c>
      <c r="D424" s="102" t="s">
        <v>498</v>
      </c>
      <c r="E424" s="26" t="s">
        <v>2408</v>
      </c>
      <c r="F424" s="7"/>
    </row>
    <row r="425" spans="1:7" ht="20.25" hidden="1" customHeight="1">
      <c r="A425" s="102">
        <v>10382</v>
      </c>
      <c r="B425" s="102">
        <v>14382</v>
      </c>
      <c r="C425" s="102">
        <f t="shared" si="6"/>
        <v>10382</v>
      </c>
      <c r="D425" s="102" t="s">
        <v>498</v>
      </c>
      <c r="E425" s="26" t="s">
        <v>2409</v>
      </c>
      <c r="F425" s="7"/>
      <c r="G425" s="18" t="s">
        <v>2089</v>
      </c>
    </row>
    <row r="426" spans="1:7" ht="20.25" hidden="1" customHeight="1">
      <c r="A426" s="102">
        <v>10383</v>
      </c>
      <c r="B426" s="102">
        <v>14383</v>
      </c>
      <c r="C426" s="102">
        <f t="shared" si="6"/>
        <v>20383</v>
      </c>
      <c r="D426" s="102" t="s">
        <v>498</v>
      </c>
      <c r="E426" s="26" t="s">
        <v>2410</v>
      </c>
      <c r="F426" s="7"/>
      <c r="G426" s="22" t="s">
        <v>2089</v>
      </c>
    </row>
    <row r="427" spans="1:7" ht="20.25" hidden="1" customHeight="1">
      <c r="A427" s="102">
        <v>10384</v>
      </c>
      <c r="B427" s="102">
        <v>14384</v>
      </c>
      <c r="C427" s="102">
        <f t="shared" si="6"/>
        <v>10384</v>
      </c>
      <c r="D427" s="102" t="s">
        <v>498</v>
      </c>
      <c r="E427" s="26" t="s">
        <v>2411</v>
      </c>
      <c r="F427" s="7" t="s">
        <v>2412</v>
      </c>
      <c r="G427" s="22" t="s">
        <v>2413</v>
      </c>
    </row>
    <row r="428" spans="1:7" ht="20.25" hidden="1" customHeight="1">
      <c r="A428" s="102">
        <v>10385</v>
      </c>
      <c r="B428" s="102">
        <v>14385</v>
      </c>
      <c r="C428" s="102">
        <f t="shared" si="6"/>
        <v>10385</v>
      </c>
      <c r="D428" s="102" t="s">
        <v>498</v>
      </c>
      <c r="E428" s="26" t="s">
        <v>2414</v>
      </c>
      <c r="F428" s="7"/>
      <c r="G428" s="22" t="s">
        <v>2415</v>
      </c>
    </row>
    <row r="429" spans="1:7" ht="20.25" hidden="1" customHeight="1">
      <c r="A429" s="102">
        <v>10386</v>
      </c>
      <c r="B429" s="102">
        <v>14386</v>
      </c>
      <c r="C429" s="102">
        <f t="shared" si="6"/>
        <v>10386</v>
      </c>
      <c r="D429" s="102" t="s">
        <v>498</v>
      </c>
      <c r="E429" s="26" t="s">
        <v>2416</v>
      </c>
      <c r="F429" s="7"/>
      <c r="G429" s="22" t="s">
        <v>2415</v>
      </c>
    </row>
    <row r="430" spans="1:7" ht="20.25" hidden="1" customHeight="1">
      <c r="A430" s="102">
        <v>10387</v>
      </c>
      <c r="B430" s="102">
        <v>14387</v>
      </c>
      <c r="C430" s="102">
        <f t="shared" si="6"/>
        <v>10387</v>
      </c>
      <c r="D430" s="102" t="s">
        <v>498</v>
      </c>
      <c r="E430" s="26" t="s">
        <v>2417</v>
      </c>
      <c r="F430" s="7"/>
      <c r="G430" s="22"/>
    </row>
    <row r="431" spans="1:7" ht="20.25" hidden="1" customHeight="1">
      <c r="A431" s="102">
        <v>10388</v>
      </c>
      <c r="B431" s="102">
        <v>14388</v>
      </c>
      <c r="C431" s="102">
        <f t="shared" si="6"/>
        <v>10388</v>
      </c>
      <c r="D431" s="102" t="s">
        <v>498</v>
      </c>
      <c r="E431" s="26" t="s">
        <v>2418</v>
      </c>
      <c r="F431" s="7" t="s">
        <v>2419</v>
      </c>
      <c r="G431" s="22"/>
    </row>
    <row r="432" spans="1:7" ht="20.25" hidden="1" customHeight="1">
      <c r="A432" s="102">
        <v>10389</v>
      </c>
      <c r="B432" s="102">
        <v>14389</v>
      </c>
      <c r="C432" s="102">
        <f t="shared" si="6"/>
        <v>10389</v>
      </c>
      <c r="D432" s="102" t="s">
        <v>498</v>
      </c>
      <c r="E432" s="26" t="s">
        <v>2420</v>
      </c>
      <c r="F432" s="7"/>
      <c r="G432" s="22"/>
    </row>
    <row r="433" spans="1:7" ht="20.25" hidden="1" customHeight="1">
      <c r="A433" s="102">
        <v>10390</v>
      </c>
      <c r="B433" s="102">
        <v>14390</v>
      </c>
      <c r="C433" s="102">
        <f t="shared" si="6"/>
        <v>10390</v>
      </c>
      <c r="D433" s="102" t="s">
        <v>498</v>
      </c>
      <c r="E433" s="26" t="s">
        <v>2421</v>
      </c>
      <c r="F433" s="7"/>
      <c r="G433" s="172" t="s">
        <v>136</v>
      </c>
    </row>
    <row r="434" spans="1:7" ht="20.25" hidden="1" customHeight="1">
      <c r="A434" s="102">
        <v>10391</v>
      </c>
      <c r="B434" s="102">
        <v>14391</v>
      </c>
      <c r="C434" s="102">
        <f t="shared" si="6"/>
        <v>20391</v>
      </c>
      <c r="D434" s="102" t="s">
        <v>498</v>
      </c>
      <c r="E434" s="26" t="s">
        <v>2422</v>
      </c>
      <c r="F434" s="7"/>
      <c r="G434" s="22" t="s">
        <v>2423</v>
      </c>
    </row>
    <row r="435" spans="1:7" ht="20.25" hidden="1" customHeight="1">
      <c r="A435" s="102">
        <v>10392</v>
      </c>
      <c r="B435" s="102">
        <v>14392</v>
      </c>
      <c r="C435" s="102">
        <f t="shared" si="6"/>
        <v>20392</v>
      </c>
      <c r="D435" s="102" t="s">
        <v>498</v>
      </c>
      <c r="E435" s="26" t="s">
        <v>2424</v>
      </c>
      <c r="F435" s="10" t="s">
        <v>2425</v>
      </c>
      <c r="G435" s="22" t="s">
        <v>2089</v>
      </c>
    </row>
    <row r="436" spans="1:7" ht="20.25" hidden="1" customHeight="1">
      <c r="A436" s="102">
        <v>10393</v>
      </c>
      <c r="B436" s="102">
        <v>14393</v>
      </c>
      <c r="C436" s="102">
        <f t="shared" si="6"/>
        <v>10393</v>
      </c>
      <c r="D436" s="102" t="s">
        <v>498</v>
      </c>
      <c r="E436" s="26" t="s">
        <v>2426</v>
      </c>
      <c r="F436" s="7"/>
      <c r="G436" s="22"/>
    </row>
    <row r="437" spans="1:7" ht="20.25" hidden="1" customHeight="1">
      <c r="A437" s="102">
        <v>10394</v>
      </c>
      <c r="B437" s="102">
        <v>14394</v>
      </c>
      <c r="C437" s="102">
        <f t="shared" si="6"/>
        <v>10394</v>
      </c>
      <c r="D437" s="102" t="s">
        <v>498</v>
      </c>
      <c r="E437" s="26" t="s">
        <v>2427</v>
      </c>
      <c r="F437" s="7" t="s">
        <v>2428</v>
      </c>
      <c r="G437" s="22"/>
    </row>
    <row r="438" spans="1:7" ht="20.25" hidden="1" customHeight="1">
      <c r="A438" s="102">
        <v>10395</v>
      </c>
      <c r="B438" s="102">
        <v>14395</v>
      </c>
      <c r="C438" s="102">
        <f t="shared" si="6"/>
        <v>10395</v>
      </c>
      <c r="D438" s="102" t="s">
        <v>498</v>
      </c>
      <c r="E438" s="26" t="s">
        <v>2429</v>
      </c>
      <c r="F438" s="7" t="s">
        <v>1113</v>
      </c>
      <c r="G438" s="22"/>
    </row>
    <row r="439" spans="1:7" ht="20.25" hidden="1" customHeight="1">
      <c r="A439" s="102">
        <v>10396</v>
      </c>
      <c r="B439" s="102">
        <v>14396</v>
      </c>
      <c r="C439" s="102">
        <f t="shared" si="6"/>
        <v>10396</v>
      </c>
      <c r="D439" s="102" t="s">
        <v>498</v>
      </c>
      <c r="E439" s="26" t="s">
        <v>2430</v>
      </c>
      <c r="F439" s="7"/>
      <c r="G439" s="12" t="s">
        <v>697</v>
      </c>
    </row>
    <row r="440" spans="1:7" ht="20.25" hidden="1" customHeight="1">
      <c r="A440" s="102">
        <v>10397</v>
      </c>
      <c r="B440" s="102">
        <v>14397</v>
      </c>
      <c r="C440" s="102">
        <f t="shared" si="6"/>
        <v>10397</v>
      </c>
      <c r="D440" s="102" t="s">
        <v>498</v>
      </c>
      <c r="E440" s="26" t="s">
        <v>2431</v>
      </c>
      <c r="F440" s="7"/>
      <c r="G440" s="12" t="s">
        <v>697</v>
      </c>
    </row>
    <row r="441" spans="1:7" ht="20.25" hidden="1" customHeight="1">
      <c r="A441" s="102">
        <v>10398</v>
      </c>
      <c r="B441" s="102">
        <v>14398</v>
      </c>
      <c r="C441" s="102">
        <f t="shared" si="6"/>
        <v>10398</v>
      </c>
      <c r="D441" s="102" t="s">
        <v>498</v>
      </c>
      <c r="E441" s="26" t="s">
        <v>2432</v>
      </c>
      <c r="F441" s="7"/>
      <c r="G441" s="22"/>
    </row>
    <row r="442" spans="1:7" ht="20.25" hidden="1" customHeight="1">
      <c r="A442" s="102">
        <v>10399</v>
      </c>
      <c r="B442" s="102">
        <v>14399</v>
      </c>
      <c r="C442" s="102">
        <f t="shared" si="6"/>
        <v>10399</v>
      </c>
      <c r="D442" s="102" t="s">
        <v>498</v>
      </c>
      <c r="E442" s="26" t="s">
        <v>2433</v>
      </c>
      <c r="F442" s="7"/>
      <c r="G442" s="22"/>
    </row>
    <row r="443" spans="1:7" ht="20.25" hidden="1" customHeight="1">
      <c r="A443" s="102">
        <v>10400</v>
      </c>
      <c r="B443" s="102">
        <v>14400</v>
      </c>
      <c r="C443" s="102">
        <f t="shared" si="6"/>
        <v>20400</v>
      </c>
      <c r="D443" s="102" t="s">
        <v>498</v>
      </c>
      <c r="E443" s="26" t="s">
        <v>2434</v>
      </c>
      <c r="F443" s="7"/>
      <c r="G443" s="22"/>
    </row>
    <row r="444" spans="1:7" ht="20.25" hidden="1" customHeight="1">
      <c r="A444" s="102">
        <v>10401</v>
      </c>
      <c r="B444" s="102">
        <v>14401</v>
      </c>
      <c r="C444" s="102">
        <f t="shared" si="6"/>
        <v>10401</v>
      </c>
      <c r="D444" s="102" t="s">
        <v>498</v>
      </c>
      <c r="E444" s="26"/>
      <c r="F444" s="7"/>
      <c r="G444" s="22"/>
    </row>
    <row r="445" spans="1:7" ht="20.25" hidden="1" customHeight="1">
      <c r="A445" s="102">
        <v>10402</v>
      </c>
      <c r="B445" s="102">
        <v>14402</v>
      </c>
      <c r="C445" s="102">
        <f t="shared" si="6"/>
        <v>10402</v>
      </c>
      <c r="D445" s="102" t="s">
        <v>498</v>
      </c>
      <c r="E445" s="26" t="s">
        <v>2435</v>
      </c>
      <c r="F445" s="7"/>
      <c r="G445" s="22"/>
    </row>
    <row r="446" spans="1:7" ht="20.25" hidden="1" customHeight="1">
      <c r="A446" s="102">
        <v>10403</v>
      </c>
      <c r="B446" s="102">
        <v>14403</v>
      </c>
      <c r="C446" s="102">
        <f t="shared" si="6"/>
        <v>10403</v>
      </c>
      <c r="D446" s="102" t="s">
        <v>498</v>
      </c>
      <c r="E446" s="26" t="s">
        <v>2436</v>
      </c>
      <c r="F446" s="7"/>
      <c r="G446" s="22"/>
    </row>
    <row r="447" spans="1:7" ht="20.25" hidden="1" customHeight="1">
      <c r="A447" s="102">
        <v>10404</v>
      </c>
      <c r="B447" s="102">
        <v>14404</v>
      </c>
      <c r="C447" s="102">
        <f t="shared" si="6"/>
        <v>10404</v>
      </c>
      <c r="D447" s="102" t="s">
        <v>498</v>
      </c>
      <c r="E447" s="26"/>
      <c r="F447" s="7" t="s">
        <v>643</v>
      </c>
      <c r="G447" s="22"/>
    </row>
    <row r="448" spans="1:7" ht="20.25" hidden="1" customHeight="1">
      <c r="A448" s="102">
        <v>10405</v>
      </c>
      <c r="B448" s="102">
        <v>14405</v>
      </c>
      <c r="C448" s="102">
        <f t="shared" si="6"/>
        <v>10405</v>
      </c>
      <c r="D448" s="102" t="s">
        <v>498</v>
      </c>
      <c r="E448" s="190"/>
      <c r="F448" s="7" t="s">
        <v>643</v>
      </c>
      <c r="G448" s="22"/>
    </row>
    <row r="449" spans="1:7" ht="20.25" hidden="1" customHeight="1">
      <c r="A449" s="102">
        <v>10406</v>
      </c>
      <c r="B449" s="102">
        <v>14406</v>
      </c>
      <c r="C449" s="102">
        <f t="shared" si="6"/>
        <v>10406</v>
      </c>
      <c r="D449" s="102" t="s">
        <v>498</v>
      </c>
      <c r="E449" s="190"/>
      <c r="F449" s="7" t="s">
        <v>643</v>
      </c>
      <c r="G449" s="22"/>
    </row>
    <row r="450" spans="1:7" ht="20.25" hidden="1" customHeight="1">
      <c r="A450" s="102">
        <v>10407</v>
      </c>
      <c r="B450" s="102">
        <v>14407</v>
      </c>
      <c r="C450" s="102">
        <f t="shared" si="6"/>
        <v>10407</v>
      </c>
      <c r="D450" s="102" t="s">
        <v>498</v>
      </c>
      <c r="E450" s="26" t="s">
        <v>2437</v>
      </c>
      <c r="F450" s="7"/>
      <c r="G450" s="22"/>
    </row>
    <row r="451" spans="1:7" ht="20.25" hidden="1" customHeight="1">
      <c r="A451" s="192">
        <v>10408</v>
      </c>
      <c r="B451" s="192">
        <v>14408</v>
      </c>
      <c r="C451" s="102">
        <f t="shared" si="6"/>
        <v>10408</v>
      </c>
      <c r="D451" s="102" t="s">
        <v>498</v>
      </c>
      <c r="E451" s="26" t="s">
        <v>2438</v>
      </c>
      <c r="F451" s="7"/>
      <c r="G451" s="22"/>
    </row>
    <row r="452" spans="1:7" ht="20.25" hidden="1" customHeight="1">
      <c r="A452" s="192">
        <v>10408</v>
      </c>
      <c r="B452" s="192">
        <v>14408</v>
      </c>
      <c r="C452" s="102">
        <f t="shared" ref="C452:C515" si="7">IF(ISERROR(FIND("B_Epic",E452)),A452,A452+10000)</f>
        <v>10408</v>
      </c>
      <c r="D452" s="102" t="s">
        <v>498</v>
      </c>
      <c r="E452" s="26" t="s">
        <v>2439</v>
      </c>
      <c r="F452" s="10"/>
      <c r="G452" s="22"/>
    </row>
    <row r="453" spans="1:7" ht="20.25" hidden="1" customHeight="1">
      <c r="A453" s="102">
        <v>10409</v>
      </c>
      <c r="B453" s="102">
        <v>14409</v>
      </c>
      <c r="C453" s="102">
        <f t="shared" si="7"/>
        <v>10409</v>
      </c>
      <c r="D453" s="102" t="s">
        <v>498</v>
      </c>
      <c r="E453" s="26" t="s">
        <v>2440</v>
      </c>
      <c r="F453" s="10"/>
      <c r="G453" s="22"/>
    </row>
    <row r="454" spans="1:7" ht="20.25" hidden="1" customHeight="1">
      <c r="A454" s="102">
        <v>10410</v>
      </c>
      <c r="B454" s="102">
        <v>14410</v>
      </c>
      <c r="C454" s="102">
        <f t="shared" si="7"/>
        <v>20410</v>
      </c>
      <c r="D454" s="102" t="s">
        <v>498</v>
      </c>
      <c r="E454" s="26" t="s">
        <v>2441</v>
      </c>
      <c r="F454" s="7"/>
      <c r="G454" s="22"/>
    </row>
    <row r="455" spans="1:7" ht="20.25" hidden="1" customHeight="1">
      <c r="A455" s="102">
        <v>10411</v>
      </c>
      <c r="B455" s="102">
        <v>14411</v>
      </c>
      <c r="C455" s="102">
        <f t="shared" si="7"/>
        <v>10411</v>
      </c>
      <c r="D455" s="102" t="s">
        <v>498</v>
      </c>
      <c r="E455" s="26" t="s">
        <v>2442</v>
      </c>
      <c r="F455" s="7"/>
      <c r="G455" s="22"/>
    </row>
    <row r="456" spans="1:7" ht="20.25" hidden="1" customHeight="1">
      <c r="A456" s="102">
        <v>10412</v>
      </c>
      <c r="B456" s="102">
        <v>14412</v>
      </c>
      <c r="C456" s="102">
        <f t="shared" si="7"/>
        <v>10412</v>
      </c>
      <c r="D456" s="102" t="s">
        <v>498</v>
      </c>
      <c r="E456" s="26" t="s">
        <v>2443</v>
      </c>
      <c r="F456" s="7"/>
      <c r="G456" s="22"/>
    </row>
    <row r="457" spans="1:7" ht="20.25" hidden="1" customHeight="1">
      <c r="A457" s="102">
        <v>10413</v>
      </c>
      <c r="B457" s="102">
        <v>14413</v>
      </c>
      <c r="C457" s="102">
        <f t="shared" si="7"/>
        <v>10413</v>
      </c>
      <c r="D457" s="102" t="s">
        <v>498</v>
      </c>
      <c r="E457" s="26" t="s">
        <v>2444</v>
      </c>
      <c r="F457" s="7"/>
      <c r="G457" s="22"/>
    </row>
    <row r="458" spans="1:7" ht="20.25" hidden="1" customHeight="1">
      <c r="A458" s="102">
        <v>10414</v>
      </c>
      <c r="B458" s="102">
        <v>14414</v>
      </c>
      <c r="C458" s="102">
        <f t="shared" si="7"/>
        <v>10414</v>
      </c>
      <c r="D458" s="102" t="s">
        <v>498</v>
      </c>
      <c r="E458" s="26"/>
      <c r="F458" s="7" t="s">
        <v>643</v>
      </c>
      <c r="G458" s="22"/>
    </row>
    <row r="459" spans="1:7" ht="20.25" hidden="1" customHeight="1">
      <c r="A459" s="102">
        <v>10415</v>
      </c>
      <c r="B459" s="102">
        <v>14415</v>
      </c>
      <c r="C459" s="102">
        <f t="shared" si="7"/>
        <v>20415</v>
      </c>
      <c r="D459" s="102" t="s">
        <v>498</v>
      </c>
      <c r="E459" s="26" t="s">
        <v>2445</v>
      </c>
      <c r="F459" s="7"/>
      <c r="G459" s="22"/>
    </row>
    <row r="460" spans="1:7" ht="20.25" hidden="1" customHeight="1">
      <c r="A460" s="102">
        <v>10416</v>
      </c>
      <c r="B460" s="102">
        <v>14416</v>
      </c>
      <c r="C460" s="102">
        <f t="shared" si="7"/>
        <v>10416</v>
      </c>
      <c r="D460" s="102" t="s">
        <v>498</v>
      </c>
      <c r="E460" s="26" t="s">
        <v>2446</v>
      </c>
      <c r="F460" s="7"/>
      <c r="G460" s="22" t="s">
        <v>697</v>
      </c>
    </row>
    <row r="461" spans="1:7" ht="20.25" hidden="1" customHeight="1">
      <c r="A461" s="102">
        <v>10417</v>
      </c>
      <c r="B461" s="102">
        <v>14417</v>
      </c>
      <c r="C461" s="102">
        <f t="shared" si="7"/>
        <v>10417</v>
      </c>
      <c r="D461" s="102" t="s">
        <v>498</v>
      </c>
      <c r="E461" s="26"/>
      <c r="F461" s="7"/>
      <c r="G461" s="22" t="s">
        <v>2447</v>
      </c>
    </row>
    <row r="462" spans="1:7" ht="20.25" hidden="1" customHeight="1">
      <c r="A462" s="192">
        <v>10418</v>
      </c>
      <c r="B462" s="192">
        <v>14418</v>
      </c>
      <c r="C462" s="102">
        <f t="shared" si="7"/>
        <v>10418</v>
      </c>
      <c r="D462" s="102" t="s">
        <v>498</v>
      </c>
      <c r="E462" s="26" t="s">
        <v>2448</v>
      </c>
      <c r="F462" s="7"/>
      <c r="G462" s="22"/>
    </row>
    <row r="463" spans="1:7" ht="20.25" hidden="1" customHeight="1">
      <c r="A463" s="192">
        <v>10418</v>
      </c>
      <c r="B463" s="192">
        <v>14418</v>
      </c>
      <c r="C463" s="102">
        <f t="shared" si="7"/>
        <v>10418</v>
      </c>
      <c r="D463" s="102" t="s">
        <v>498</v>
      </c>
      <c r="E463" s="26" t="s">
        <v>2449</v>
      </c>
      <c r="F463" s="7"/>
      <c r="G463" s="22"/>
    </row>
    <row r="464" spans="1:7" ht="20.25" hidden="1" customHeight="1">
      <c r="A464" s="102">
        <v>10419</v>
      </c>
      <c r="B464" s="102">
        <v>14419</v>
      </c>
      <c r="C464" s="102">
        <f t="shared" si="7"/>
        <v>10419</v>
      </c>
      <c r="D464" s="102" t="s">
        <v>498</v>
      </c>
      <c r="E464" s="26" t="s">
        <v>2450</v>
      </c>
      <c r="F464" s="7"/>
      <c r="G464" s="22"/>
    </row>
    <row r="465" spans="1:7" ht="20.25" hidden="1" customHeight="1">
      <c r="A465" s="102">
        <v>10420</v>
      </c>
      <c r="B465" s="102">
        <v>14420</v>
      </c>
      <c r="C465" s="102">
        <f t="shared" si="7"/>
        <v>10420</v>
      </c>
      <c r="D465" s="102" t="s">
        <v>498</v>
      </c>
      <c r="E465" s="26" t="s">
        <v>2451</v>
      </c>
      <c r="F465" s="7"/>
      <c r="G465" s="22"/>
    </row>
    <row r="466" spans="1:7" ht="20.25" hidden="1" customHeight="1">
      <c r="A466" s="102">
        <v>10421</v>
      </c>
      <c r="B466" s="102">
        <v>14421</v>
      </c>
      <c r="C466" s="102">
        <f t="shared" si="7"/>
        <v>10421</v>
      </c>
      <c r="D466" s="102" t="s">
        <v>498</v>
      </c>
      <c r="E466" s="26" t="s">
        <v>2452</v>
      </c>
      <c r="F466" s="7"/>
      <c r="G466" s="22"/>
    </row>
    <row r="467" spans="1:7" ht="20.25" hidden="1" customHeight="1">
      <c r="A467" s="102">
        <v>10422</v>
      </c>
      <c r="B467" s="102">
        <v>14422</v>
      </c>
      <c r="C467" s="102">
        <f t="shared" si="7"/>
        <v>10422</v>
      </c>
      <c r="D467" s="102" t="s">
        <v>498</v>
      </c>
      <c r="E467" s="26" t="s">
        <v>2453</v>
      </c>
      <c r="F467" s="7"/>
      <c r="G467" s="22"/>
    </row>
    <row r="468" spans="1:7" ht="20.25" hidden="1" customHeight="1">
      <c r="A468" s="102">
        <v>10423</v>
      </c>
      <c r="B468" s="102">
        <v>14423</v>
      </c>
      <c r="C468" s="102">
        <f t="shared" si="7"/>
        <v>10423</v>
      </c>
      <c r="D468" s="102" t="s">
        <v>498</v>
      </c>
      <c r="E468" s="1" t="s">
        <v>2454</v>
      </c>
      <c r="F468" s="7"/>
      <c r="G468" s="22"/>
    </row>
    <row r="469" spans="1:7" ht="20.25" hidden="1" customHeight="1">
      <c r="A469" s="102">
        <v>10424</v>
      </c>
      <c r="B469" s="102">
        <v>14424</v>
      </c>
      <c r="C469" s="102">
        <f t="shared" si="7"/>
        <v>10424</v>
      </c>
      <c r="D469" s="102" t="s">
        <v>498</v>
      </c>
      <c r="E469" s="26" t="s">
        <v>2455</v>
      </c>
      <c r="F469" s="7" t="s">
        <v>948</v>
      </c>
      <c r="G469" s="17"/>
    </row>
    <row r="470" spans="1:7" ht="20.25" hidden="1" customHeight="1">
      <c r="A470" s="102">
        <v>10425</v>
      </c>
      <c r="B470" s="102">
        <v>14425</v>
      </c>
      <c r="C470" s="102">
        <f t="shared" si="7"/>
        <v>10425</v>
      </c>
      <c r="D470" s="102" t="s">
        <v>498</v>
      </c>
      <c r="E470" s="26" t="s">
        <v>2456</v>
      </c>
      <c r="F470" s="7" t="s">
        <v>948</v>
      </c>
      <c r="G470" s="17"/>
    </row>
    <row r="471" spans="1:7" ht="20.25" hidden="1" customHeight="1">
      <c r="A471" s="102">
        <v>10426</v>
      </c>
      <c r="B471" s="102">
        <v>14426</v>
      </c>
      <c r="C471" s="102">
        <f t="shared" si="7"/>
        <v>10426</v>
      </c>
      <c r="D471" s="102" t="s">
        <v>498</v>
      </c>
      <c r="E471" s="26" t="s">
        <v>2457</v>
      </c>
      <c r="F471" s="7"/>
      <c r="G471" s="22" t="s">
        <v>2458</v>
      </c>
    </row>
    <row r="472" spans="1:7" ht="20.25" hidden="1" customHeight="1">
      <c r="A472" s="102">
        <v>10427</v>
      </c>
      <c r="B472" s="102">
        <v>14427</v>
      </c>
      <c r="C472" s="102">
        <f t="shared" si="7"/>
        <v>10427</v>
      </c>
      <c r="D472" s="102" t="s">
        <v>67</v>
      </c>
      <c r="E472" s="26" t="s">
        <v>2459</v>
      </c>
      <c r="F472" s="7"/>
      <c r="G472" s="22"/>
    </row>
    <row r="473" spans="1:7" ht="20.25" hidden="1" customHeight="1">
      <c r="A473" s="102">
        <v>10428</v>
      </c>
      <c r="B473" s="102">
        <v>14428</v>
      </c>
      <c r="C473" s="102">
        <f t="shared" si="7"/>
        <v>10428</v>
      </c>
      <c r="D473" s="102" t="s">
        <v>67</v>
      </c>
      <c r="E473" s="26" t="s">
        <v>2460</v>
      </c>
      <c r="F473" s="7"/>
      <c r="G473" s="22"/>
    </row>
    <row r="474" spans="1:7" ht="20.25" hidden="1" customHeight="1">
      <c r="A474" s="102">
        <v>10429</v>
      </c>
      <c r="B474" s="102">
        <v>14429</v>
      </c>
      <c r="C474" s="102">
        <f t="shared" si="7"/>
        <v>20429</v>
      </c>
      <c r="D474" s="102" t="s">
        <v>498</v>
      </c>
      <c r="E474" s="26" t="s">
        <v>2461</v>
      </c>
      <c r="F474" s="7"/>
      <c r="G474" s="22"/>
    </row>
    <row r="475" spans="1:7" ht="20.25" hidden="1" customHeight="1">
      <c r="A475" s="102">
        <v>10430</v>
      </c>
      <c r="B475" s="102">
        <v>14430</v>
      </c>
      <c r="C475" s="102">
        <f t="shared" si="7"/>
        <v>20430</v>
      </c>
      <c r="D475" s="102" t="s">
        <v>498</v>
      </c>
      <c r="E475" s="26" t="s">
        <v>2462</v>
      </c>
      <c r="F475" s="7"/>
      <c r="G475" s="22"/>
    </row>
    <row r="476" spans="1:7" ht="20.25" hidden="1" customHeight="1">
      <c r="A476" s="102">
        <v>10431</v>
      </c>
      <c r="B476" s="102">
        <v>14431</v>
      </c>
      <c r="C476" s="102">
        <f t="shared" si="7"/>
        <v>10431</v>
      </c>
      <c r="D476" s="102" t="s">
        <v>498</v>
      </c>
      <c r="E476" s="26" t="s">
        <v>2463</v>
      </c>
      <c r="F476" s="7" t="s">
        <v>2464</v>
      </c>
      <c r="G476" s="22"/>
    </row>
    <row r="477" spans="1:7" ht="20.25" hidden="1" customHeight="1">
      <c r="A477" s="192">
        <v>10432</v>
      </c>
      <c r="B477" s="192">
        <v>14432</v>
      </c>
      <c r="C477" s="102">
        <f t="shared" si="7"/>
        <v>10432</v>
      </c>
      <c r="D477" s="102" t="s">
        <v>67</v>
      </c>
      <c r="E477" s="26" t="s">
        <v>2465</v>
      </c>
      <c r="F477" s="7"/>
      <c r="G477" s="22"/>
    </row>
    <row r="478" spans="1:7" ht="20.25" hidden="1" customHeight="1">
      <c r="A478" s="192">
        <v>10432</v>
      </c>
      <c r="B478" s="192">
        <v>14432</v>
      </c>
      <c r="C478" s="102">
        <f t="shared" si="7"/>
        <v>10432</v>
      </c>
      <c r="D478" s="102" t="s">
        <v>498</v>
      </c>
      <c r="E478" s="1" t="s">
        <v>2466</v>
      </c>
      <c r="F478" s="7"/>
      <c r="G478" s="22"/>
    </row>
    <row r="479" spans="1:7" ht="20.25" hidden="1" customHeight="1">
      <c r="A479" s="192">
        <v>10433</v>
      </c>
      <c r="B479" s="192">
        <v>14433</v>
      </c>
      <c r="C479" s="102">
        <f t="shared" si="7"/>
        <v>10433</v>
      </c>
      <c r="D479" s="102" t="s">
        <v>67</v>
      </c>
      <c r="E479" s="26" t="s">
        <v>2467</v>
      </c>
      <c r="F479" s="7"/>
      <c r="G479" s="22"/>
    </row>
    <row r="480" spans="1:7" ht="20.25" hidden="1" customHeight="1">
      <c r="A480" s="192">
        <v>10433</v>
      </c>
      <c r="B480" s="192">
        <v>14433</v>
      </c>
      <c r="C480" s="102">
        <f t="shared" si="7"/>
        <v>10433</v>
      </c>
      <c r="D480" s="102" t="s">
        <v>498</v>
      </c>
      <c r="E480" s="1" t="s">
        <v>2468</v>
      </c>
      <c r="F480" s="7"/>
      <c r="G480" s="22"/>
    </row>
    <row r="481" spans="1:7" ht="20.25" hidden="1" customHeight="1">
      <c r="A481" s="192">
        <v>10434</v>
      </c>
      <c r="B481" s="192">
        <v>14434</v>
      </c>
      <c r="C481" s="102">
        <f t="shared" si="7"/>
        <v>10434</v>
      </c>
      <c r="D481" s="102" t="s">
        <v>67</v>
      </c>
      <c r="E481" s="26" t="s">
        <v>503</v>
      </c>
      <c r="F481" s="7"/>
      <c r="G481" s="22"/>
    </row>
    <row r="482" spans="1:7" ht="20.25" hidden="1" customHeight="1">
      <c r="A482" s="192">
        <v>10434</v>
      </c>
      <c r="B482" s="192">
        <v>14434</v>
      </c>
      <c r="C482" s="102">
        <f t="shared" si="7"/>
        <v>10434</v>
      </c>
      <c r="D482" s="102" t="s">
        <v>498</v>
      </c>
      <c r="E482" s="26" t="s">
        <v>2469</v>
      </c>
      <c r="F482" s="7"/>
      <c r="G482" s="22"/>
    </row>
    <row r="483" spans="1:7" ht="20.25" hidden="1" customHeight="1">
      <c r="A483" s="102">
        <v>10435</v>
      </c>
      <c r="B483" s="102">
        <v>14435</v>
      </c>
      <c r="C483" s="102">
        <f t="shared" si="7"/>
        <v>10435</v>
      </c>
      <c r="D483" s="102" t="s">
        <v>498</v>
      </c>
      <c r="E483" s="162" t="s">
        <v>2470</v>
      </c>
      <c r="F483" s="7"/>
      <c r="G483" s="22" t="s">
        <v>2447</v>
      </c>
    </row>
    <row r="484" spans="1:7" ht="20.25" hidden="1" customHeight="1">
      <c r="A484" s="102">
        <v>10436</v>
      </c>
      <c r="B484" s="102">
        <v>14436</v>
      </c>
      <c r="C484" s="102">
        <f t="shared" si="7"/>
        <v>10436</v>
      </c>
      <c r="D484" s="102" t="s">
        <v>67</v>
      </c>
      <c r="E484" s="26"/>
      <c r="F484" s="7"/>
      <c r="G484" s="22"/>
    </row>
    <row r="485" spans="1:7" ht="20.25" hidden="1" customHeight="1">
      <c r="A485" s="102">
        <v>10437</v>
      </c>
      <c r="B485" s="102">
        <v>14437</v>
      </c>
      <c r="C485" s="102">
        <f t="shared" si="7"/>
        <v>20437</v>
      </c>
      <c r="D485" s="102" t="s">
        <v>498</v>
      </c>
      <c r="E485" s="26" t="s">
        <v>2471</v>
      </c>
      <c r="F485" s="7"/>
      <c r="G485" s="22"/>
    </row>
    <row r="486" spans="1:7" ht="20.25" hidden="1" customHeight="1">
      <c r="A486" s="102">
        <v>10438</v>
      </c>
      <c r="B486" s="102">
        <v>14438</v>
      </c>
      <c r="C486" s="102">
        <f t="shared" si="7"/>
        <v>10438</v>
      </c>
      <c r="D486" s="102" t="s">
        <v>498</v>
      </c>
      <c r="E486" s="26"/>
      <c r="F486" s="7" t="s">
        <v>643</v>
      </c>
      <c r="G486" s="22"/>
    </row>
    <row r="487" spans="1:7" ht="20.25" hidden="1" customHeight="1">
      <c r="A487" s="102">
        <v>10439</v>
      </c>
      <c r="B487" s="102">
        <v>14439</v>
      </c>
      <c r="C487" s="102">
        <f t="shared" si="7"/>
        <v>10439</v>
      </c>
      <c r="D487" s="102" t="s">
        <v>498</v>
      </c>
      <c r="E487" s="26" t="s">
        <v>2472</v>
      </c>
      <c r="F487" s="7"/>
      <c r="G487" s="22" t="s">
        <v>2089</v>
      </c>
    </row>
    <row r="488" spans="1:7" ht="20.25" hidden="1" customHeight="1">
      <c r="A488" s="102">
        <v>10440</v>
      </c>
      <c r="B488" s="102">
        <v>14440</v>
      </c>
      <c r="C488" s="102">
        <f t="shared" si="7"/>
        <v>10440</v>
      </c>
      <c r="D488" s="102" t="s">
        <v>498</v>
      </c>
      <c r="E488" s="26" t="s">
        <v>2473</v>
      </c>
      <c r="F488" s="7"/>
      <c r="G488" s="22" t="s">
        <v>2089</v>
      </c>
    </row>
    <row r="489" spans="1:7" ht="20.25" hidden="1" customHeight="1">
      <c r="A489" s="102">
        <v>10441</v>
      </c>
      <c r="B489" s="102">
        <v>14441</v>
      </c>
      <c r="C489" s="102">
        <f t="shared" si="7"/>
        <v>10441</v>
      </c>
      <c r="D489" s="102" t="s">
        <v>498</v>
      </c>
      <c r="E489" s="26" t="s">
        <v>2474</v>
      </c>
      <c r="F489" s="7"/>
    </row>
    <row r="490" spans="1:7" ht="20.25" hidden="1" customHeight="1">
      <c r="A490" s="102">
        <v>10442</v>
      </c>
      <c r="B490" s="102">
        <v>14442</v>
      </c>
      <c r="C490" s="102">
        <f t="shared" si="7"/>
        <v>10442</v>
      </c>
      <c r="D490" s="102" t="s">
        <v>498</v>
      </c>
      <c r="E490" s="26"/>
      <c r="F490" s="7" t="s">
        <v>643</v>
      </c>
    </row>
    <row r="491" spans="1:7" ht="20.25" hidden="1" customHeight="1">
      <c r="A491" s="192">
        <v>10443</v>
      </c>
      <c r="B491" s="192">
        <v>14443</v>
      </c>
      <c r="C491" s="102">
        <f t="shared" si="7"/>
        <v>10443</v>
      </c>
      <c r="D491" s="102" t="s">
        <v>67</v>
      </c>
      <c r="E491" s="26" t="s">
        <v>2475</v>
      </c>
      <c r="F491" s="7"/>
      <c r="G491" s="22"/>
    </row>
    <row r="492" spans="1:7" ht="20.25" hidden="1" customHeight="1">
      <c r="A492" s="192">
        <v>10443</v>
      </c>
      <c r="B492" s="192">
        <v>14443</v>
      </c>
      <c r="C492" s="102">
        <f t="shared" si="7"/>
        <v>10443</v>
      </c>
      <c r="D492" s="102" t="s">
        <v>498</v>
      </c>
      <c r="E492" s="26" t="s">
        <v>2476</v>
      </c>
      <c r="F492" s="7"/>
      <c r="G492" s="22"/>
    </row>
    <row r="493" spans="1:7" ht="20.25" hidden="1" customHeight="1">
      <c r="A493" s="102">
        <v>10444</v>
      </c>
      <c r="B493" s="102">
        <v>14444</v>
      </c>
      <c r="C493" s="102">
        <f t="shared" si="7"/>
        <v>10444</v>
      </c>
      <c r="D493" s="102" t="s">
        <v>498</v>
      </c>
      <c r="E493" s="162" t="s">
        <v>2477</v>
      </c>
      <c r="F493" s="7"/>
      <c r="G493" s="22" t="s">
        <v>2478</v>
      </c>
    </row>
    <row r="494" spans="1:7" ht="20.25" hidden="1" customHeight="1">
      <c r="A494" s="102">
        <v>10445</v>
      </c>
      <c r="B494" s="102">
        <v>14445</v>
      </c>
      <c r="C494" s="102">
        <f t="shared" si="7"/>
        <v>10445</v>
      </c>
      <c r="D494" s="102" t="s">
        <v>498</v>
      </c>
      <c r="E494" s="26" t="s">
        <v>2479</v>
      </c>
      <c r="F494" s="7"/>
      <c r="G494" s="22"/>
    </row>
    <row r="495" spans="1:7" ht="20.25" hidden="1" customHeight="1">
      <c r="A495" s="102">
        <v>10446</v>
      </c>
      <c r="B495" s="102">
        <v>14446</v>
      </c>
      <c r="C495" s="102">
        <f t="shared" si="7"/>
        <v>10446</v>
      </c>
      <c r="D495" s="102" t="s">
        <v>498</v>
      </c>
      <c r="E495" s="162" t="s">
        <v>2480</v>
      </c>
      <c r="F495" s="105"/>
      <c r="G495" s="22" t="s">
        <v>2478</v>
      </c>
    </row>
    <row r="496" spans="1:7" ht="20.25" hidden="1" customHeight="1">
      <c r="A496" s="102">
        <v>10447</v>
      </c>
      <c r="B496" s="102">
        <v>14447</v>
      </c>
      <c r="C496" s="102">
        <f t="shared" si="7"/>
        <v>10447</v>
      </c>
      <c r="D496" s="102" t="s">
        <v>498</v>
      </c>
      <c r="E496" s="26"/>
      <c r="F496" s="105"/>
      <c r="G496" s="22"/>
    </row>
    <row r="497" spans="1:7" ht="20.25" hidden="1" customHeight="1">
      <c r="A497" s="102">
        <v>10448</v>
      </c>
      <c r="B497" s="102">
        <v>14448</v>
      </c>
      <c r="C497" s="102">
        <f t="shared" si="7"/>
        <v>10448</v>
      </c>
      <c r="D497" s="102" t="s">
        <v>498</v>
      </c>
      <c r="E497" s="26"/>
      <c r="F497" s="105"/>
      <c r="G497" s="22"/>
    </row>
    <row r="498" spans="1:7" ht="20.25" hidden="1" customHeight="1">
      <c r="A498" s="102">
        <v>10449</v>
      </c>
      <c r="B498" s="102">
        <v>14449</v>
      </c>
      <c r="C498" s="102">
        <f t="shared" si="7"/>
        <v>10449</v>
      </c>
      <c r="D498" s="102" t="s">
        <v>498</v>
      </c>
      <c r="E498" s="26" t="s">
        <v>2481</v>
      </c>
      <c r="F498" s="105"/>
      <c r="G498" s="22"/>
    </row>
    <row r="499" spans="1:7" ht="20.25" hidden="1" customHeight="1">
      <c r="A499" s="102">
        <v>10010</v>
      </c>
      <c r="B499" s="102">
        <v>14450</v>
      </c>
      <c r="C499" s="102">
        <f t="shared" si="7"/>
        <v>10010</v>
      </c>
      <c r="D499" s="102" t="s">
        <v>498</v>
      </c>
      <c r="E499" s="26" t="s">
        <v>2482</v>
      </c>
      <c r="F499" s="105"/>
      <c r="G499" s="22"/>
    </row>
    <row r="500" spans="1:7" ht="20.25" hidden="1" customHeight="1">
      <c r="A500" s="102">
        <v>10450</v>
      </c>
      <c r="B500" s="102">
        <v>14450</v>
      </c>
      <c r="C500" s="102">
        <f t="shared" si="7"/>
        <v>10450</v>
      </c>
      <c r="D500" s="102" t="s">
        <v>498</v>
      </c>
      <c r="E500" s="26" t="s">
        <v>2483</v>
      </c>
      <c r="F500" s="105" t="s">
        <v>2484</v>
      </c>
      <c r="G500" s="22"/>
    </row>
    <row r="501" spans="1:7" ht="20.25" hidden="1" customHeight="1">
      <c r="A501" s="102">
        <v>10451</v>
      </c>
      <c r="B501" s="102">
        <v>14451</v>
      </c>
      <c r="C501" s="102">
        <f t="shared" si="7"/>
        <v>10451</v>
      </c>
      <c r="D501" s="102" t="s">
        <v>498</v>
      </c>
      <c r="E501" s="26" t="s">
        <v>2485</v>
      </c>
      <c r="F501" s="105"/>
      <c r="G501" s="22"/>
    </row>
    <row r="502" spans="1:7" ht="20.25" hidden="1" customHeight="1">
      <c r="A502" s="102">
        <v>10452</v>
      </c>
      <c r="B502" s="102">
        <v>14452</v>
      </c>
      <c r="C502" s="102">
        <f t="shared" si="7"/>
        <v>10452</v>
      </c>
      <c r="D502" s="102" t="s">
        <v>498</v>
      </c>
      <c r="E502" s="26" t="s">
        <v>2486</v>
      </c>
      <c r="F502" s="7"/>
      <c r="G502" s="22"/>
    </row>
    <row r="503" spans="1:7" ht="20.25" hidden="1" customHeight="1">
      <c r="A503" s="102">
        <v>10453</v>
      </c>
      <c r="B503" s="102">
        <v>14453</v>
      </c>
      <c r="C503" s="102">
        <f t="shared" si="7"/>
        <v>10453</v>
      </c>
      <c r="D503" s="102" t="s">
        <v>498</v>
      </c>
      <c r="E503" s="193" t="s">
        <v>2487</v>
      </c>
      <c r="F503" s="7" t="s">
        <v>2488</v>
      </c>
      <c r="G503" s="22" t="s">
        <v>2489</v>
      </c>
    </row>
    <row r="504" spans="1:7" ht="20.25" hidden="1" customHeight="1">
      <c r="A504" s="102">
        <v>10454</v>
      </c>
      <c r="B504" s="102">
        <v>14454</v>
      </c>
      <c r="C504" s="102">
        <f t="shared" si="7"/>
        <v>10454</v>
      </c>
      <c r="D504" s="102" t="s">
        <v>498</v>
      </c>
      <c r="E504" s="193" t="s">
        <v>2490</v>
      </c>
      <c r="F504" s="7" t="s">
        <v>2488</v>
      </c>
      <c r="G504" s="22" t="s">
        <v>2489</v>
      </c>
    </row>
    <row r="505" spans="1:7" ht="20.25" hidden="1" customHeight="1">
      <c r="A505" s="102">
        <v>10455</v>
      </c>
      <c r="B505" s="102">
        <v>14455</v>
      </c>
      <c r="C505" s="102">
        <f t="shared" si="7"/>
        <v>10455</v>
      </c>
      <c r="D505" s="102" t="s">
        <v>498</v>
      </c>
      <c r="E505" s="26" t="s">
        <v>2491</v>
      </c>
      <c r="F505" s="7"/>
      <c r="G505" s="11">
        <v>55495163012</v>
      </c>
    </row>
    <row r="506" spans="1:7" ht="20.25" hidden="1" customHeight="1">
      <c r="A506" s="102">
        <v>10456</v>
      </c>
      <c r="B506" s="102">
        <v>14456</v>
      </c>
      <c r="C506" s="102">
        <f t="shared" si="7"/>
        <v>10456</v>
      </c>
      <c r="D506" s="102" t="s">
        <v>498</v>
      </c>
      <c r="E506" s="26" t="s">
        <v>2492</v>
      </c>
      <c r="F506" s="7"/>
      <c r="G506" s="11">
        <v>55495163012</v>
      </c>
    </row>
    <row r="507" spans="1:7" ht="20.25" hidden="1" customHeight="1">
      <c r="A507" s="102">
        <v>10457</v>
      </c>
      <c r="B507" s="102">
        <v>14457</v>
      </c>
      <c r="C507" s="102">
        <f t="shared" si="7"/>
        <v>10457</v>
      </c>
      <c r="D507" s="102" t="s">
        <v>498</v>
      </c>
      <c r="E507" s="26" t="s">
        <v>2493</v>
      </c>
      <c r="F507" s="7"/>
      <c r="G507" s="22"/>
    </row>
    <row r="508" spans="1:7" ht="20.25" hidden="1" customHeight="1">
      <c r="A508" s="102">
        <v>10458</v>
      </c>
      <c r="B508" s="102">
        <v>14458</v>
      </c>
      <c r="C508" s="102">
        <f t="shared" si="7"/>
        <v>10458</v>
      </c>
      <c r="D508" s="102" t="s">
        <v>67</v>
      </c>
      <c r="E508" s="26" t="s">
        <v>2494</v>
      </c>
      <c r="F508" s="7"/>
      <c r="G508" s="22" t="s">
        <v>2077</v>
      </c>
    </row>
    <row r="509" spans="1:7" ht="20.25" hidden="1" customHeight="1">
      <c r="A509" s="102">
        <v>10459</v>
      </c>
      <c r="B509" s="102">
        <v>14459</v>
      </c>
      <c r="C509" s="102">
        <f t="shared" si="7"/>
        <v>10459</v>
      </c>
      <c r="D509" s="102" t="s">
        <v>498</v>
      </c>
      <c r="E509" s="26"/>
      <c r="F509" s="7"/>
      <c r="G509" s="22"/>
    </row>
    <row r="510" spans="1:7" ht="20.25" hidden="1" customHeight="1">
      <c r="A510" s="102">
        <v>10460</v>
      </c>
      <c r="B510" s="102">
        <v>14460</v>
      </c>
      <c r="C510" s="102">
        <f t="shared" si="7"/>
        <v>10460</v>
      </c>
      <c r="D510" s="102" t="s">
        <v>498</v>
      </c>
      <c r="E510" s="26" t="s">
        <v>2495</v>
      </c>
      <c r="F510" s="7"/>
      <c r="G510" s="124"/>
    </row>
    <row r="511" spans="1:7" ht="20.25" hidden="1" customHeight="1">
      <c r="A511" s="102">
        <v>10461</v>
      </c>
      <c r="B511" s="102">
        <v>14461</v>
      </c>
      <c r="C511" s="102">
        <f t="shared" si="7"/>
        <v>10461</v>
      </c>
      <c r="D511" s="194" t="s">
        <v>498</v>
      </c>
      <c r="E511" s="185" t="s">
        <v>2496</v>
      </c>
      <c r="F511" s="7"/>
      <c r="G511" s="22" t="s">
        <v>2497</v>
      </c>
    </row>
    <row r="512" spans="1:7" ht="20.25" hidden="1" customHeight="1">
      <c r="A512" s="102">
        <v>10462</v>
      </c>
      <c r="B512" s="102">
        <v>14462</v>
      </c>
      <c r="C512" s="102">
        <f t="shared" si="7"/>
        <v>10462</v>
      </c>
      <c r="D512" s="194" t="s">
        <v>498</v>
      </c>
      <c r="E512" s="185" t="s">
        <v>2498</v>
      </c>
      <c r="F512" s="7"/>
      <c r="G512" s="22" t="s">
        <v>2497</v>
      </c>
    </row>
    <row r="513" spans="1:7" ht="20.25" hidden="1" customHeight="1">
      <c r="A513" s="102">
        <v>10463</v>
      </c>
      <c r="B513" s="102">
        <v>14463</v>
      </c>
      <c r="C513" s="102">
        <f t="shared" si="7"/>
        <v>10463</v>
      </c>
      <c r="D513" s="194" t="s">
        <v>498</v>
      </c>
      <c r="E513" s="185" t="s">
        <v>2499</v>
      </c>
      <c r="F513" s="7"/>
      <c r="G513" s="22" t="s">
        <v>2497</v>
      </c>
    </row>
    <row r="514" spans="1:7" ht="20.25" hidden="1" customHeight="1">
      <c r="A514" s="102">
        <v>10464</v>
      </c>
      <c r="B514" s="102">
        <v>14464</v>
      </c>
      <c r="C514" s="102">
        <f t="shared" si="7"/>
        <v>10464</v>
      </c>
      <c r="D514" s="194" t="s">
        <v>498</v>
      </c>
      <c r="E514" s="185" t="s">
        <v>2500</v>
      </c>
      <c r="F514" s="7"/>
      <c r="G514" s="22" t="s">
        <v>2497</v>
      </c>
    </row>
    <row r="515" spans="1:7" ht="20.25" hidden="1" customHeight="1">
      <c r="A515" s="102">
        <v>10465</v>
      </c>
      <c r="B515" s="102">
        <v>14465</v>
      </c>
      <c r="C515" s="102">
        <f t="shared" si="7"/>
        <v>10465</v>
      </c>
      <c r="D515" s="194" t="s">
        <v>498</v>
      </c>
      <c r="E515" s="185" t="s">
        <v>2501</v>
      </c>
      <c r="F515" s="7"/>
      <c r="G515" s="22" t="s">
        <v>2497</v>
      </c>
    </row>
    <row r="516" spans="1:7" ht="20.25" hidden="1" customHeight="1">
      <c r="A516" s="102">
        <v>10466</v>
      </c>
      <c r="B516" s="102">
        <v>14466</v>
      </c>
      <c r="C516" s="102">
        <f t="shared" ref="C516:C579" si="8">IF(ISERROR(FIND("B_Epic",E516)),A516,A516+10000)</f>
        <v>10466</v>
      </c>
      <c r="D516" s="194" t="s">
        <v>498</v>
      </c>
      <c r="E516" s="185" t="s">
        <v>2502</v>
      </c>
      <c r="F516" s="7"/>
      <c r="G516" s="22" t="s">
        <v>2497</v>
      </c>
    </row>
    <row r="517" spans="1:7" ht="20.25" hidden="1" customHeight="1">
      <c r="A517" s="102">
        <v>10467</v>
      </c>
      <c r="B517" s="102">
        <v>14467</v>
      </c>
      <c r="C517" s="102">
        <f t="shared" si="8"/>
        <v>10467</v>
      </c>
      <c r="D517" s="102" t="s">
        <v>498</v>
      </c>
      <c r="E517" s="26" t="s">
        <v>2503</v>
      </c>
      <c r="F517" s="7"/>
      <c r="G517" s="22"/>
    </row>
    <row r="518" spans="1:7" ht="20.25" hidden="1" customHeight="1">
      <c r="A518" s="102">
        <v>10468</v>
      </c>
      <c r="B518" s="102">
        <v>14468</v>
      </c>
      <c r="C518" s="102">
        <f t="shared" si="8"/>
        <v>10468</v>
      </c>
      <c r="D518" s="102" t="s">
        <v>498</v>
      </c>
      <c r="E518" s="26" t="s">
        <v>2504</v>
      </c>
      <c r="F518" s="7"/>
      <c r="G518" s="22" t="s">
        <v>663</v>
      </c>
    </row>
    <row r="519" spans="1:7" ht="20.25" hidden="1" customHeight="1">
      <c r="A519" s="102">
        <v>10469</v>
      </c>
      <c r="B519" s="102">
        <v>14469</v>
      </c>
      <c r="C519" s="102">
        <f t="shared" si="8"/>
        <v>10469</v>
      </c>
      <c r="D519" s="102" t="s">
        <v>498</v>
      </c>
      <c r="E519" s="26" t="s">
        <v>2505</v>
      </c>
      <c r="F519" s="7"/>
      <c r="G519" s="22" t="s">
        <v>663</v>
      </c>
    </row>
    <row r="520" spans="1:7" ht="20.25" hidden="1" customHeight="1">
      <c r="A520" s="102">
        <v>10470</v>
      </c>
      <c r="B520" s="102">
        <v>14470</v>
      </c>
      <c r="C520" s="102">
        <f t="shared" si="8"/>
        <v>10470</v>
      </c>
      <c r="D520" s="102" t="s">
        <v>498</v>
      </c>
      <c r="E520" s="26" t="s">
        <v>2506</v>
      </c>
      <c r="F520" s="7"/>
      <c r="G520" s="22" t="s">
        <v>663</v>
      </c>
    </row>
    <row r="521" spans="1:7" ht="20.25" hidden="1" customHeight="1">
      <c r="A521" s="102">
        <v>10471</v>
      </c>
      <c r="B521" s="102">
        <v>14471</v>
      </c>
      <c r="C521" s="102">
        <f t="shared" si="8"/>
        <v>10471</v>
      </c>
      <c r="D521" s="102" t="s">
        <v>498</v>
      </c>
      <c r="E521" s="26" t="s">
        <v>2507</v>
      </c>
      <c r="F521" s="7"/>
      <c r="G521" s="22" t="s">
        <v>663</v>
      </c>
    </row>
    <row r="522" spans="1:7" ht="20.25" hidden="1" customHeight="1">
      <c r="A522" s="102">
        <v>10472</v>
      </c>
      <c r="B522" s="102">
        <v>14472</v>
      </c>
      <c r="C522" s="102">
        <f t="shared" si="8"/>
        <v>10472</v>
      </c>
      <c r="D522" s="102" t="s">
        <v>498</v>
      </c>
      <c r="E522" s="26" t="s">
        <v>2508</v>
      </c>
      <c r="F522" s="7"/>
      <c r="G522" s="22" t="s">
        <v>663</v>
      </c>
    </row>
    <row r="523" spans="1:7" ht="20.25" hidden="1" customHeight="1">
      <c r="A523" s="102">
        <v>10473</v>
      </c>
      <c r="B523" s="102">
        <v>14473</v>
      </c>
      <c r="C523" s="102">
        <f t="shared" si="8"/>
        <v>10473</v>
      </c>
      <c r="D523" s="102" t="s">
        <v>498</v>
      </c>
      <c r="E523" s="26" t="s">
        <v>2509</v>
      </c>
      <c r="F523" s="7"/>
      <c r="G523" s="22" t="s">
        <v>663</v>
      </c>
    </row>
    <row r="524" spans="1:7" ht="20.25" hidden="1" customHeight="1">
      <c r="A524" s="102">
        <v>10474</v>
      </c>
      <c r="B524" s="102">
        <v>14474</v>
      </c>
      <c r="C524" s="102">
        <f t="shared" si="8"/>
        <v>10474</v>
      </c>
      <c r="D524" s="102" t="s">
        <v>498</v>
      </c>
      <c r="E524" s="26" t="s">
        <v>2510</v>
      </c>
      <c r="F524" s="7"/>
      <c r="G524" s="22" t="s">
        <v>663</v>
      </c>
    </row>
    <row r="525" spans="1:7" ht="20.25" hidden="1" customHeight="1">
      <c r="A525" s="102">
        <v>10475</v>
      </c>
      <c r="B525" s="102">
        <v>14475</v>
      </c>
      <c r="C525" s="102">
        <f t="shared" si="8"/>
        <v>10475</v>
      </c>
      <c r="D525" s="102" t="s">
        <v>498</v>
      </c>
      <c r="E525" s="26" t="s">
        <v>2511</v>
      </c>
      <c r="F525" s="7"/>
      <c r="G525" s="22" t="s">
        <v>663</v>
      </c>
    </row>
    <row r="526" spans="1:7" ht="20.25" hidden="1" customHeight="1">
      <c r="A526" s="102">
        <v>10476</v>
      </c>
      <c r="B526" s="102">
        <v>14476</v>
      </c>
      <c r="C526" s="102">
        <f t="shared" si="8"/>
        <v>10476</v>
      </c>
      <c r="D526" s="102" t="s">
        <v>498</v>
      </c>
      <c r="E526" s="26" t="s">
        <v>2512</v>
      </c>
      <c r="F526" s="7"/>
      <c r="G526" s="22" t="s">
        <v>663</v>
      </c>
    </row>
    <row r="527" spans="1:7" ht="20.25" hidden="1" customHeight="1">
      <c r="A527" s="102">
        <v>10477</v>
      </c>
      <c r="B527" s="102">
        <v>14477</v>
      </c>
      <c r="C527" s="102">
        <f t="shared" si="8"/>
        <v>10477</v>
      </c>
      <c r="D527" s="102" t="s">
        <v>498</v>
      </c>
      <c r="E527" s="26" t="s">
        <v>2513</v>
      </c>
      <c r="F527" s="7"/>
      <c r="G527" s="22" t="s">
        <v>663</v>
      </c>
    </row>
    <row r="528" spans="1:7" ht="20.25" hidden="1" customHeight="1">
      <c r="A528" s="102">
        <v>10478</v>
      </c>
      <c r="B528" s="102">
        <v>14478</v>
      </c>
      <c r="C528" s="102">
        <f t="shared" si="8"/>
        <v>10478</v>
      </c>
      <c r="D528" s="102" t="s">
        <v>498</v>
      </c>
      <c r="E528" s="26" t="s">
        <v>2514</v>
      </c>
      <c r="F528" s="7"/>
      <c r="G528" s="22" t="s">
        <v>663</v>
      </c>
    </row>
    <row r="529" spans="1:7" ht="20.25" hidden="1" customHeight="1">
      <c r="A529" s="102">
        <v>10479</v>
      </c>
      <c r="B529" s="102">
        <v>14479</v>
      </c>
      <c r="C529" s="102">
        <f t="shared" si="8"/>
        <v>10479</v>
      </c>
      <c r="D529" s="102" t="s">
        <v>498</v>
      </c>
      <c r="E529" s="26" t="s">
        <v>2515</v>
      </c>
      <c r="F529" s="7"/>
      <c r="G529" s="22" t="s">
        <v>663</v>
      </c>
    </row>
    <row r="530" spans="1:7" ht="20.25" hidden="1" customHeight="1">
      <c r="A530" s="102">
        <v>10480</v>
      </c>
      <c r="B530" s="102">
        <v>14480</v>
      </c>
      <c r="C530" s="102">
        <f t="shared" si="8"/>
        <v>10480</v>
      </c>
      <c r="D530" s="102" t="s">
        <v>498</v>
      </c>
      <c r="E530" s="26" t="s">
        <v>2516</v>
      </c>
      <c r="F530" s="7"/>
      <c r="G530" s="22" t="s">
        <v>663</v>
      </c>
    </row>
    <row r="531" spans="1:7" ht="20.25" hidden="1" customHeight="1">
      <c r="A531" s="102">
        <v>10481</v>
      </c>
      <c r="B531" s="102">
        <v>14481</v>
      </c>
      <c r="C531" s="102">
        <f t="shared" si="8"/>
        <v>10481</v>
      </c>
      <c r="D531" s="102" t="s">
        <v>498</v>
      </c>
      <c r="E531" s="26" t="s">
        <v>2517</v>
      </c>
      <c r="F531" s="7"/>
      <c r="G531" s="22" t="s">
        <v>663</v>
      </c>
    </row>
    <row r="532" spans="1:7" ht="20.25" hidden="1" customHeight="1">
      <c r="A532" s="102">
        <v>10482</v>
      </c>
      <c r="B532" s="102">
        <v>14482</v>
      </c>
      <c r="C532" s="102">
        <f t="shared" si="8"/>
        <v>10482</v>
      </c>
      <c r="D532" s="102" t="s">
        <v>498</v>
      </c>
      <c r="E532" s="26" t="s">
        <v>2518</v>
      </c>
      <c r="F532" s="7"/>
      <c r="G532" s="9" t="s">
        <v>697</v>
      </c>
    </row>
    <row r="533" spans="1:7" ht="20.25" hidden="1" customHeight="1">
      <c r="A533" s="102">
        <v>10483</v>
      </c>
      <c r="B533" s="102">
        <v>14483</v>
      </c>
      <c r="C533" s="102">
        <f t="shared" si="8"/>
        <v>10483</v>
      </c>
      <c r="D533" s="102" t="s">
        <v>498</v>
      </c>
      <c r="E533" s="26" t="s">
        <v>2519</v>
      </c>
      <c r="F533" s="7"/>
      <c r="G533" s="9" t="s">
        <v>697</v>
      </c>
    </row>
    <row r="534" spans="1:7" ht="20.25" hidden="1" customHeight="1">
      <c r="A534" s="102">
        <v>10484</v>
      </c>
      <c r="B534" s="102">
        <v>14484</v>
      </c>
      <c r="C534" s="102">
        <f t="shared" si="8"/>
        <v>10484</v>
      </c>
      <c r="D534" s="102" t="s">
        <v>498</v>
      </c>
      <c r="E534" s="26" t="s">
        <v>2520</v>
      </c>
      <c r="F534" s="7"/>
      <c r="G534" s="22" t="s">
        <v>2521</v>
      </c>
    </row>
    <row r="535" spans="1:7" ht="20.25" hidden="1" customHeight="1">
      <c r="A535" s="102">
        <v>10485</v>
      </c>
      <c r="B535" s="102">
        <v>14485</v>
      </c>
      <c r="C535" s="102">
        <f t="shared" si="8"/>
        <v>10485</v>
      </c>
      <c r="D535" s="102" t="s">
        <v>498</v>
      </c>
      <c r="E535" s="26" t="s">
        <v>2522</v>
      </c>
      <c r="F535" s="7"/>
      <c r="G535" s="22" t="s">
        <v>2521</v>
      </c>
    </row>
    <row r="536" spans="1:7" ht="20.25" hidden="1" customHeight="1">
      <c r="A536" s="102">
        <v>10486</v>
      </c>
      <c r="B536" s="102">
        <v>14486</v>
      </c>
      <c r="C536" s="102">
        <f t="shared" si="8"/>
        <v>10486</v>
      </c>
      <c r="D536" s="102" t="s">
        <v>498</v>
      </c>
      <c r="E536" s="26" t="s">
        <v>2523</v>
      </c>
      <c r="F536" s="7"/>
      <c r="G536" s="22" t="s">
        <v>2521</v>
      </c>
    </row>
    <row r="537" spans="1:7" ht="20.25" hidden="1" customHeight="1">
      <c r="A537" s="102">
        <v>10487</v>
      </c>
      <c r="B537" s="102">
        <v>14487</v>
      </c>
      <c r="C537" s="102">
        <f t="shared" si="8"/>
        <v>10487</v>
      </c>
      <c r="D537" s="102" t="s">
        <v>498</v>
      </c>
      <c r="E537" s="26"/>
      <c r="F537" s="7"/>
      <c r="G537" s="22" t="s">
        <v>2367</v>
      </c>
    </row>
    <row r="538" spans="1:7" ht="20.25" hidden="1" customHeight="1">
      <c r="A538" s="102">
        <v>10488</v>
      </c>
      <c r="B538" s="102">
        <v>14488</v>
      </c>
      <c r="C538" s="102">
        <f t="shared" si="8"/>
        <v>20488</v>
      </c>
      <c r="D538" s="102" t="s">
        <v>498</v>
      </c>
      <c r="E538" s="26" t="s">
        <v>2524</v>
      </c>
      <c r="F538" s="7"/>
      <c r="G538" s="22" t="s">
        <v>2367</v>
      </c>
    </row>
    <row r="539" spans="1:7" ht="20.25" hidden="1" customHeight="1">
      <c r="A539" s="102">
        <v>10489</v>
      </c>
      <c r="B539" s="102">
        <v>14489</v>
      </c>
      <c r="C539" s="102">
        <f t="shared" si="8"/>
        <v>10489</v>
      </c>
      <c r="D539" s="102" t="s">
        <v>498</v>
      </c>
      <c r="E539" s="26"/>
      <c r="F539" s="7"/>
      <c r="G539" s="22" t="s">
        <v>2367</v>
      </c>
    </row>
    <row r="540" spans="1:7" ht="20.25" hidden="1" customHeight="1">
      <c r="A540" s="102">
        <v>10490</v>
      </c>
      <c r="B540" s="102">
        <v>14490</v>
      </c>
      <c r="C540" s="102">
        <f t="shared" si="8"/>
        <v>20490</v>
      </c>
      <c r="D540" s="102" t="s">
        <v>498</v>
      </c>
      <c r="E540" s="26" t="s">
        <v>2525</v>
      </c>
      <c r="F540" s="7" t="s">
        <v>2526</v>
      </c>
      <c r="G540" s="22" t="s">
        <v>2367</v>
      </c>
    </row>
    <row r="541" spans="1:7" ht="20.25" hidden="1" customHeight="1">
      <c r="A541" s="102">
        <v>10491</v>
      </c>
      <c r="B541" s="102">
        <v>14491</v>
      </c>
      <c r="C541" s="102">
        <f t="shared" si="8"/>
        <v>10491</v>
      </c>
      <c r="D541" s="102" t="s">
        <v>498</v>
      </c>
      <c r="E541" s="26"/>
      <c r="F541" s="7"/>
      <c r="G541" s="22" t="s">
        <v>2367</v>
      </c>
    </row>
    <row r="542" spans="1:7" ht="20.25" hidden="1" customHeight="1">
      <c r="A542" s="102">
        <v>10492</v>
      </c>
      <c r="B542" s="102">
        <v>14492</v>
      </c>
      <c r="C542" s="102">
        <f t="shared" si="8"/>
        <v>20492</v>
      </c>
      <c r="D542" s="102" t="s">
        <v>498</v>
      </c>
      <c r="E542" s="26" t="s">
        <v>2527</v>
      </c>
      <c r="F542" s="7"/>
      <c r="G542" s="22" t="s">
        <v>2367</v>
      </c>
    </row>
    <row r="543" spans="1:7" ht="20.25" hidden="1" customHeight="1">
      <c r="A543" s="102">
        <v>10493</v>
      </c>
      <c r="B543" s="102">
        <v>14493</v>
      </c>
      <c r="C543" s="102">
        <f t="shared" si="8"/>
        <v>10493</v>
      </c>
      <c r="D543" s="102" t="s">
        <v>498</v>
      </c>
      <c r="E543" s="26"/>
      <c r="F543" s="7"/>
      <c r="G543" s="22" t="s">
        <v>2367</v>
      </c>
    </row>
    <row r="544" spans="1:7" ht="20.25" hidden="1" customHeight="1">
      <c r="A544" s="102">
        <v>10494</v>
      </c>
      <c r="B544" s="102">
        <v>14494</v>
      </c>
      <c r="C544" s="102">
        <f t="shared" si="8"/>
        <v>20494</v>
      </c>
      <c r="D544" s="102" t="s">
        <v>498</v>
      </c>
      <c r="E544" s="26" t="s">
        <v>2528</v>
      </c>
      <c r="F544" s="7" t="s">
        <v>2526</v>
      </c>
      <c r="G544" s="22" t="s">
        <v>2367</v>
      </c>
    </row>
    <row r="545" spans="1:7" ht="20.25" hidden="1" customHeight="1">
      <c r="A545" s="102">
        <v>10495</v>
      </c>
      <c r="B545" s="102">
        <v>14495</v>
      </c>
      <c r="C545" s="102">
        <f t="shared" si="8"/>
        <v>20495</v>
      </c>
      <c r="D545" s="102" t="s">
        <v>498</v>
      </c>
      <c r="E545" s="26" t="s">
        <v>2529</v>
      </c>
      <c r="F545" s="7"/>
      <c r="G545" s="22" t="s">
        <v>2367</v>
      </c>
    </row>
    <row r="546" spans="1:7" ht="20.25" hidden="1" customHeight="1">
      <c r="A546" s="102">
        <v>10496</v>
      </c>
      <c r="B546" s="102">
        <v>14496</v>
      </c>
      <c r="C546" s="102">
        <f t="shared" si="8"/>
        <v>10496</v>
      </c>
      <c r="D546" s="102" t="s">
        <v>498</v>
      </c>
      <c r="E546" s="26"/>
      <c r="F546" s="7"/>
      <c r="G546" s="22" t="s">
        <v>2367</v>
      </c>
    </row>
    <row r="547" spans="1:7" ht="20.25" hidden="1" customHeight="1">
      <c r="A547" s="102">
        <v>10497</v>
      </c>
      <c r="B547" s="102">
        <v>14497</v>
      </c>
      <c r="C547" s="102">
        <f t="shared" si="8"/>
        <v>20497</v>
      </c>
      <c r="D547" s="102" t="s">
        <v>498</v>
      </c>
      <c r="E547" s="26" t="s">
        <v>2530</v>
      </c>
      <c r="F547" s="7" t="s">
        <v>2526</v>
      </c>
      <c r="G547" s="22" t="s">
        <v>2367</v>
      </c>
    </row>
    <row r="548" spans="1:7" ht="20.25" hidden="1" customHeight="1">
      <c r="A548" s="102">
        <v>10498</v>
      </c>
      <c r="B548" s="102">
        <v>14498</v>
      </c>
      <c r="C548" s="102">
        <f t="shared" si="8"/>
        <v>10498</v>
      </c>
      <c r="D548" s="102" t="s">
        <v>498</v>
      </c>
      <c r="E548" s="26"/>
      <c r="F548" s="7"/>
      <c r="G548" s="22" t="s">
        <v>2367</v>
      </c>
    </row>
    <row r="549" spans="1:7" ht="20.25" hidden="1" customHeight="1">
      <c r="A549" s="102">
        <v>10499</v>
      </c>
      <c r="B549" s="102">
        <v>14499</v>
      </c>
      <c r="C549" s="102">
        <f t="shared" si="8"/>
        <v>10499</v>
      </c>
      <c r="D549" s="102" t="s">
        <v>498</v>
      </c>
      <c r="E549" s="26" t="s">
        <v>2531</v>
      </c>
      <c r="F549" s="7" t="s">
        <v>948</v>
      </c>
      <c r="G549" s="22"/>
    </row>
    <row r="550" spans="1:7" ht="20.25" hidden="1" customHeight="1">
      <c r="A550" s="102">
        <v>10500</v>
      </c>
      <c r="B550" s="102">
        <v>14500</v>
      </c>
      <c r="C550" s="102">
        <f t="shared" si="8"/>
        <v>10500</v>
      </c>
      <c r="D550" s="102" t="s">
        <v>498</v>
      </c>
      <c r="E550" s="26"/>
      <c r="F550" s="7" t="s">
        <v>643</v>
      </c>
      <c r="G550" s="22"/>
    </row>
    <row r="551" spans="1:7" ht="20.25" hidden="1" customHeight="1">
      <c r="A551" s="102">
        <v>10501</v>
      </c>
      <c r="B551" s="102">
        <v>14501</v>
      </c>
      <c r="C551" s="102">
        <f t="shared" si="8"/>
        <v>10501</v>
      </c>
      <c r="D551" s="102" t="s">
        <v>498</v>
      </c>
      <c r="E551" s="26"/>
      <c r="F551" s="7" t="s">
        <v>643</v>
      </c>
      <c r="G551" s="22"/>
    </row>
    <row r="552" spans="1:7" ht="20.25" hidden="1" customHeight="1">
      <c r="A552" s="102">
        <v>10502</v>
      </c>
      <c r="B552" s="102">
        <v>14502</v>
      </c>
      <c r="C552" s="102">
        <f t="shared" si="8"/>
        <v>10502</v>
      </c>
      <c r="D552" s="102" t="s">
        <v>498</v>
      </c>
      <c r="E552" s="26"/>
      <c r="F552" s="7" t="s">
        <v>643</v>
      </c>
      <c r="G552" s="22"/>
    </row>
    <row r="553" spans="1:7" ht="20.25" hidden="1" customHeight="1">
      <c r="A553" s="102">
        <v>10503</v>
      </c>
      <c r="B553" s="102">
        <v>14503</v>
      </c>
      <c r="C553" s="102">
        <f t="shared" si="8"/>
        <v>10503</v>
      </c>
      <c r="D553" s="102" t="s">
        <v>498</v>
      </c>
      <c r="E553" s="26"/>
      <c r="F553" s="7" t="s">
        <v>643</v>
      </c>
      <c r="G553" s="22"/>
    </row>
    <row r="554" spans="1:7" ht="20.25" hidden="1" customHeight="1">
      <c r="A554" s="102">
        <v>10504</v>
      </c>
      <c r="B554" s="102">
        <v>14504</v>
      </c>
      <c r="C554" s="102">
        <f t="shared" si="8"/>
        <v>10504</v>
      </c>
      <c r="D554" s="102" t="s">
        <v>498</v>
      </c>
      <c r="E554" s="26"/>
      <c r="F554" s="7" t="s">
        <v>643</v>
      </c>
      <c r="G554" s="22"/>
    </row>
    <row r="555" spans="1:7" ht="20.25" hidden="1" customHeight="1">
      <c r="A555" s="102">
        <v>10505</v>
      </c>
      <c r="B555" s="102">
        <v>14505</v>
      </c>
      <c r="C555" s="102">
        <f t="shared" si="8"/>
        <v>10505</v>
      </c>
      <c r="D555" s="102" t="s">
        <v>498</v>
      </c>
      <c r="E555" s="26"/>
      <c r="F555" s="7" t="s">
        <v>643</v>
      </c>
      <c r="G555" s="22"/>
    </row>
    <row r="556" spans="1:7" ht="20.25" hidden="1" customHeight="1">
      <c r="A556" s="102">
        <v>10506</v>
      </c>
      <c r="B556" s="102">
        <v>14506</v>
      </c>
      <c r="C556" s="102">
        <f t="shared" si="8"/>
        <v>10506</v>
      </c>
      <c r="D556" s="102" t="s">
        <v>498</v>
      </c>
      <c r="E556" s="26"/>
      <c r="F556" s="7" t="s">
        <v>643</v>
      </c>
      <c r="G556" s="22"/>
    </row>
    <row r="557" spans="1:7" ht="20.25" hidden="1" customHeight="1">
      <c r="A557" s="102">
        <v>10507</v>
      </c>
      <c r="B557" s="102">
        <v>14507</v>
      </c>
      <c r="C557" s="102">
        <f t="shared" si="8"/>
        <v>10507</v>
      </c>
      <c r="D557" s="102" t="s">
        <v>498</v>
      </c>
      <c r="E557" s="26"/>
      <c r="F557" s="7" t="s">
        <v>643</v>
      </c>
      <c r="G557" s="22"/>
    </row>
    <row r="558" spans="1:7" ht="20.25" hidden="1" customHeight="1">
      <c r="A558" s="102">
        <v>10508</v>
      </c>
      <c r="B558" s="102">
        <v>14508</v>
      </c>
      <c r="C558" s="102">
        <f t="shared" si="8"/>
        <v>10508</v>
      </c>
      <c r="D558" s="102" t="s">
        <v>498</v>
      </c>
      <c r="E558" s="26"/>
      <c r="F558" s="7" t="s">
        <v>643</v>
      </c>
      <c r="G558" s="22"/>
    </row>
    <row r="559" spans="1:7" ht="20.25" hidden="1" customHeight="1">
      <c r="A559" s="102">
        <v>10509</v>
      </c>
      <c r="B559" s="102">
        <v>14509</v>
      </c>
      <c r="C559" s="102">
        <f t="shared" si="8"/>
        <v>10509</v>
      </c>
      <c r="D559" s="102" t="s">
        <v>498</v>
      </c>
      <c r="E559" s="26"/>
      <c r="F559" s="7" t="s">
        <v>643</v>
      </c>
      <c r="G559" s="22"/>
    </row>
    <row r="560" spans="1:7" ht="20.25" hidden="1" customHeight="1">
      <c r="A560" s="102">
        <v>10510</v>
      </c>
      <c r="B560" s="102">
        <v>14510</v>
      </c>
      <c r="C560" s="102">
        <f t="shared" si="8"/>
        <v>10510</v>
      </c>
      <c r="D560" s="102" t="s">
        <v>498</v>
      </c>
      <c r="E560" s="26"/>
      <c r="F560" s="7" t="s">
        <v>643</v>
      </c>
      <c r="G560" s="22"/>
    </row>
    <row r="561" spans="1:7" ht="20.25" hidden="1" customHeight="1">
      <c r="A561" s="102">
        <v>10511</v>
      </c>
      <c r="B561" s="102">
        <v>14511</v>
      </c>
      <c r="C561" s="102">
        <f t="shared" si="8"/>
        <v>10511</v>
      </c>
      <c r="D561" s="102" t="s">
        <v>498</v>
      </c>
      <c r="E561" s="26"/>
      <c r="F561" s="7" t="s">
        <v>643</v>
      </c>
      <c r="G561" s="22"/>
    </row>
    <row r="562" spans="1:7" ht="20.25" hidden="1" customHeight="1">
      <c r="A562" s="102">
        <v>10512</v>
      </c>
      <c r="B562" s="102">
        <v>14512</v>
      </c>
      <c r="C562" s="102">
        <f t="shared" si="8"/>
        <v>10512</v>
      </c>
      <c r="D562" s="102" t="s">
        <v>498</v>
      </c>
      <c r="E562" s="26"/>
      <c r="F562" s="7" t="s">
        <v>643</v>
      </c>
      <c r="G562" s="22"/>
    </row>
    <row r="563" spans="1:7" ht="20.25" hidden="1" customHeight="1">
      <c r="A563" s="102">
        <v>10513</v>
      </c>
      <c r="B563" s="102">
        <v>14513</v>
      </c>
      <c r="C563" s="102">
        <f t="shared" si="8"/>
        <v>10513</v>
      </c>
      <c r="D563" s="102" t="s">
        <v>498</v>
      </c>
      <c r="E563" s="26"/>
      <c r="F563" s="7" t="s">
        <v>643</v>
      </c>
      <c r="G563" s="22"/>
    </row>
    <row r="564" spans="1:7" ht="20.25" hidden="1" customHeight="1">
      <c r="A564" s="102">
        <v>10514</v>
      </c>
      <c r="B564" s="102">
        <v>14514</v>
      </c>
      <c r="C564" s="102">
        <f t="shared" si="8"/>
        <v>10514</v>
      </c>
      <c r="D564" s="102" t="s">
        <v>498</v>
      </c>
      <c r="E564" s="26"/>
      <c r="F564" s="7" t="s">
        <v>643</v>
      </c>
      <c r="G564" s="22"/>
    </row>
    <row r="565" spans="1:7" ht="20.25" hidden="1" customHeight="1">
      <c r="A565" s="102">
        <v>10515</v>
      </c>
      <c r="B565" s="102">
        <v>14515</v>
      </c>
      <c r="C565" s="102">
        <f t="shared" si="8"/>
        <v>10515</v>
      </c>
      <c r="D565" s="102" t="s">
        <v>498</v>
      </c>
      <c r="E565" s="26"/>
      <c r="F565" s="7" t="s">
        <v>643</v>
      </c>
      <c r="G565" s="22"/>
    </row>
    <row r="566" spans="1:7" ht="20.25" hidden="1" customHeight="1">
      <c r="A566" s="102">
        <v>10516</v>
      </c>
      <c r="B566" s="102">
        <v>14516</v>
      </c>
      <c r="C566" s="102">
        <f t="shared" si="8"/>
        <v>10516</v>
      </c>
      <c r="D566" s="102" t="s">
        <v>498</v>
      </c>
      <c r="E566" s="26"/>
      <c r="F566" s="7" t="s">
        <v>643</v>
      </c>
      <c r="G566" s="22"/>
    </row>
    <row r="567" spans="1:7" ht="20.25" hidden="1" customHeight="1">
      <c r="A567" s="102">
        <v>10517</v>
      </c>
      <c r="B567" s="102">
        <v>14517</v>
      </c>
      <c r="C567" s="102">
        <f t="shared" si="8"/>
        <v>10517</v>
      </c>
      <c r="D567" s="102" t="s">
        <v>498</v>
      </c>
      <c r="E567" s="26"/>
      <c r="F567" s="7" t="s">
        <v>643</v>
      </c>
      <c r="G567" s="22"/>
    </row>
    <row r="568" spans="1:7" ht="20.25" hidden="1" customHeight="1">
      <c r="A568" s="102">
        <v>10518</v>
      </c>
      <c r="B568" s="102">
        <v>14518</v>
      </c>
      <c r="C568" s="102">
        <f t="shared" si="8"/>
        <v>10518</v>
      </c>
      <c r="D568" s="102" t="s">
        <v>498</v>
      </c>
      <c r="E568" s="26"/>
      <c r="F568" s="7" t="s">
        <v>643</v>
      </c>
      <c r="G568" s="22"/>
    </row>
    <row r="569" spans="1:7" ht="20.25" hidden="1" customHeight="1">
      <c r="A569" s="102">
        <v>10519</v>
      </c>
      <c r="B569" s="102">
        <v>14519</v>
      </c>
      <c r="C569" s="102">
        <f t="shared" si="8"/>
        <v>10519</v>
      </c>
      <c r="D569" s="102" t="s">
        <v>498</v>
      </c>
      <c r="E569" s="26"/>
      <c r="F569" s="7" t="s">
        <v>643</v>
      </c>
      <c r="G569" s="22"/>
    </row>
    <row r="570" spans="1:7" ht="20.25" hidden="1" customHeight="1">
      <c r="A570" s="102">
        <v>10520</v>
      </c>
      <c r="B570" s="102">
        <v>14520</v>
      </c>
      <c r="C570" s="102">
        <f t="shared" si="8"/>
        <v>10520</v>
      </c>
      <c r="D570" s="102" t="s">
        <v>498</v>
      </c>
      <c r="E570" s="26"/>
      <c r="F570" s="7" t="s">
        <v>643</v>
      </c>
      <c r="G570" s="22"/>
    </row>
    <row r="571" spans="1:7" ht="20.25" hidden="1" customHeight="1">
      <c r="A571" s="102">
        <v>10521</v>
      </c>
      <c r="B571" s="102">
        <v>14521</v>
      </c>
      <c r="C571" s="102">
        <f t="shared" si="8"/>
        <v>10521</v>
      </c>
      <c r="D571" s="102" t="s">
        <v>498</v>
      </c>
      <c r="E571" s="26"/>
      <c r="F571" s="7" t="s">
        <v>643</v>
      </c>
      <c r="G571" s="22"/>
    </row>
    <row r="572" spans="1:7" ht="20.25" hidden="1" customHeight="1">
      <c r="A572" s="102">
        <v>10522</v>
      </c>
      <c r="B572" s="102">
        <v>14522</v>
      </c>
      <c r="C572" s="102">
        <f t="shared" si="8"/>
        <v>10522</v>
      </c>
      <c r="D572" s="102" t="s">
        <v>498</v>
      </c>
      <c r="E572" s="26"/>
      <c r="F572" s="7" t="s">
        <v>643</v>
      </c>
      <c r="G572" s="22"/>
    </row>
    <row r="573" spans="1:7" ht="20.25" hidden="1" customHeight="1">
      <c r="A573" s="102">
        <v>10523</v>
      </c>
      <c r="B573" s="102">
        <v>14523</v>
      </c>
      <c r="C573" s="102">
        <f t="shared" si="8"/>
        <v>10523</v>
      </c>
      <c r="D573" s="102" t="s">
        <v>498</v>
      </c>
      <c r="E573" s="26"/>
      <c r="F573" s="7" t="s">
        <v>643</v>
      </c>
      <c r="G573" s="22"/>
    </row>
    <row r="574" spans="1:7" ht="20.25" hidden="1" customHeight="1">
      <c r="A574" s="102">
        <v>10524</v>
      </c>
      <c r="B574" s="102">
        <v>14524</v>
      </c>
      <c r="C574" s="102">
        <f t="shared" si="8"/>
        <v>10524</v>
      </c>
      <c r="D574" s="102" t="s">
        <v>498</v>
      </c>
      <c r="E574" s="26"/>
      <c r="F574" s="7" t="s">
        <v>643</v>
      </c>
      <c r="G574" s="22"/>
    </row>
    <row r="575" spans="1:7" ht="20.25" hidden="1" customHeight="1">
      <c r="A575" s="102">
        <v>10525</v>
      </c>
      <c r="B575" s="102">
        <v>14525</v>
      </c>
      <c r="C575" s="102">
        <f t="shared" si="8"/>
        <v>10525</v>
      </c>
      <c r="D575" s="102" t="s">
        <v>498</v>
      </c>
      <c r="E575" s="26"/>
      <c r="F575" s="7" t="s">
        <v>643</v>
      </c>
      <c r="G575" s="22"/>
    </row>
    <row r="576" spans="1:7" ht="20.25" hidden="1" customHeight="1">
      <c r="A576" s="102">
        <v>10526</v>
      </c>
      <c r="B576" s="102">
        <v>14526</v>
      </c>
      <c r="C576" s="102">
        <f t="shared" si="8"/>
        <v>10526</v>
      </c>
      <c r="D576" s="102" t="s">
        <v>498</v>
      </c>
      <c r="E576" s="26"/>
      <c r="F576" s="7" t="s">
        <v>643</v>
      </c>
      <c r="G576" s="22"/>
    </row>
    <row r="577" spans="1:7" ht="20.25" hidden="1" customHeight="1">
      <c r="A577" s="102">
        <v>10527</v>
      </c>
      <c r="B577" s="102">
        <v>14527</v>
      </c>
      <c r="C577" s="102">
        <f t="shared" si="8"/>
        <v>10527</v>
      </c>
      <c r="D577" s="102" t="s">
        <v>498</v>
      </c>
      <c r="E577" s="26"/>
      <c r="F577" s="7" t="s">
        <v>643</v>
      </c>
      <c r="G577" s="22"/>
    </row>
    <row r="578" spans="1:7" ht="20.25" hidden="1" customHeight="1">
      <c r="A578" s="102">
        <v>10528</v>
      </c>
      <c r="B578" s="102">
        <v>14528</v>
      </c>
      <c r="C578" s="102">
        <f t="shared" si="8"/>
        <v>10528</v>
      </c>
      <c r="D578" s="102" t="s">
        <v>498</v>
      </c>
      <c r="E578" s="26"/>
      <c r="F578" s="7" t="s">
        <v>643</v>
      </c>
      <c r="G578" s="22"/>
    </row>
    <row r="579" spans="1:7" ht="20.25" hidden="1" customHeight="1">
      <c r="A579" s="102">
        <v>10529</v>
      </c>
      <c r="B579" s="102">
        <v>14529</v>
      </c>
      <c r="C579" s="102">
        <f t="shared" si="8"/>
        <v>10529</v>
      </c>
      <c r="D579" s="102" t="s">
        <v>498</v>
      </c>
      <c r="E579" s="26"/>
      <c r="F579" s="7" t="s">
        <v>643</v>
      </c>
      <c r="G579" s="22"/>
    </row>
    <row r="580" spans="1:7" ht="20.25" hidden="1" customHeight="1">
      <c r="A580" s="102">
        <v>10530</v>
      </c>
      <c r="B580" s="102">
        <v>14530</v>
      </c>
      <c r="C580" s="102">
        <f t="shared" ref="C580:C643" si="9">IF(ISERROR(FIND("B_Epic",E580)),A580,A580+10000)</f>
        <v>10530</v>
      </c>
      <c r="D580" s="102" t="s">
        <v>498</v>
      </c>
      <c r="E580" s="26"/>
      <c r="F580" s="7" t="s">
        <v>643</v>
      </c>
      <c r="G580" s="22"/>
    </row>
    <row r="581" spans="1:7" ht="20.25" hidden="1" customHeight="1">
      <c r="A581" s="102">
        <v>10531</v>
      </c>
      <c r="B581" s="102">
        <v>14531</v>
      </c>
      <c r="C581" s="102">
        <f t="shared" si="9"/>
        <v>10531</v>
      </c>
      <c r="D581" s="102" t="s">
        <v>498</v>
      </c>
      <c r="E581" s="26"/>
      <c r="F581" s="7" t="s">
        <v>643</v>
      </c>
      <c r="G581" s="22"/>
    </row>
    <row r="582" spans="1:7" ht="20.25" hidden="1" customHeight="1">
      <c r="A582" s="102">
        <v>10532</v>
      </c>
      <c r="B582" s="102">
        <v>14532</v>
      </c>
      <c r="C582" s="102">
        <f t="shared" si="9"/>
        <v>10532</v>
      </c>
      <c r="D582" s="102" t="s">
        <v>498</v>
      </c>
      <c r="E582" s="26"/>
      <c r="F582" s="7" t="s">
        <v>643</v>
      </c>
      <c r="G582" s="22"/>
    </row>
    <row r="583" spans="1:7" ht="20.25" hidden="1" customHeight="1">
      <c r="A583" s="102">
        <v>10533</v>
      </c>
      <c r="B583" s="102">
        <v>14533</v>
      </c>
      <c r="C583" s="102">
        <f t="shared" si="9"/>
        <v>10533</v>
      </c>
      <c r="D583" s="102" t="s">
        <v>498</v>
      </c>
      <c r="E583" s="26"/>
      <c r="F583" s="7" t="s">
        <v>643</v>
      </c>
      <c r="G583" s="22"/>
    </row>
    <row r="584" spans="1:7" ht="20.25" hidden="1" customHeight="1">
      <c r="A584" s="102">
        <v>10534</v>
      </c>
      <c r="B584" s="102">
        <v>14534</v>
      </c>
      <c r="C584" s="102">
        <f t="shared" si="9"/>
        <v>10534</v>
      </c>
      <c r="D584" s="102" t="s">
        <v>498</v>
      </c>
      <c r="E584" s="26"/>
      <c r="F584" s="7" t="s">
        <v>643</v>
      </c>
      <c r="G584" s="22"/>
    </row>
    <row r="585" spans="1:7" ht="20.25" hidden="1" customHeight="1">
      <c r="A585" s="102">
        <v>10535</v>
      </c>
      <c r="B585" s="102">
        <v>14535</v>
      </c>
      <c r="C585" s="102">
        <f t="shared" si="9"/>
        <v>10535</v>
      </c>
      <c r="D585" s="102" t="s">
        <v>498</v>
      </c>
      <c r="E585" s="26"/>
      <c r="F585" s="7" t="s">
        <v>643</v>
      </c>
      <c r="G585" s="22"/>
    </row>
    <row r="586" spans="1:7" ht="20.25" hidden="1" customHeight="1">
      <c r="A586" s="102">
        <v>10536</v>
      </c>
      <c r="B586" s="102">
        <v>14536</v>
      </c>
      <c r="C586" s="102">
        <f t="shared" si="9"/>
        <v>10536</v>
      </c>
      <c r="D586" s="102" t="s">
        <v>498</v>
      </c>
      <c r="E586" s="26"/>
      <c r="F586" s="7" t="s">
        <v>643</v>
      </c>
      <c r="G586" s="22"/>
    </row>
    <row r="587" spans="1:7" ht="20.25" hidden="1" customHeight="1">
      <c r="A587" s="102">
        <v>10537</v>
      </c>
      <c r="B587" s="102">
        <v>14537</v>
      </c>
      <c r="C587" s="102">
        <f t="shared" si="9"/>
        <v>10537</v>
      </c>
      <c r="D587" s="102" t="s">
        <v>498</v>
      </c>
      <c r="E587" s="26"/>
      <c r="F587" s="7" t="s">
        <v>643</v>
      </c>
      <c r="G587" s="22"/>
    </row>
    <row r="588" spans="1:7" ht="20.25" hidden="1" customHeight="1">
      <c r="A588" s="102">
        <v>10538</v>
      </c>
      <c r="B588" s="102">
        <v>14538</v>
      </c>
      <c r="C588" s="102">
        <f t="shared" si="9"/>
        <v>10538</v>
      </c>
      <c r="D588" s="102" t="s">
        <v>498</v>
      </c>
      <c r="E588" s="26"/>
      <c r="F588" s="7" t="s">
        <v>643</v>
      </c>
      <c r="G588" s="22"/>
    </row>
    <row r="589" spans="1:7" ht="20.25" hidden="1" customHeight="1">
      <c r="A589" s="102">
        <v>10539</v>
      </c>
      <c r="B589" s="102">
        <v>14539</v>
      </c>
      <c r="C589" s="102">
        <f t="shared" si="9"/>
        <v>10539</v>
      </c>
      <c r="D589" s="102" t="s">
        <v>498</v>
      </c>
      <c r="E589" s="26"/>
      <c r="F589" s="7" t="s">
        <v>643</v>
      </c>
      <c r="G589" s="22"/>
    </row>
    <row r="590" spans="1:7" ht="20.25" hidden="1" customHeight="1">
      <c r="A590" s="102">
        <v>10540</v>
      </c>
      <c r="B590" s="102">
        <v>14540</v>
      </c>
      <c r="C590" s="102">
        <f t="shared" si="9"/>
        <v>10540</v>
      </c>
      <c r="D590" s="102" t="s">
        <v>498</v>
      </c>
      <c r="E590" s="26"/>
      <c r="F590" s="7" t="s">
        <v>643</v>
      </c>
      <c r="G590" s="22"/>
    </row>
    <row r="591" spans="1:7" ht="20.25" hidden="1" customHeight="1">
      <c r="A591" s="102">
        <v>10541</v>
      </c>
      <c r="B591" s="102">
        <v>14541</v>
      </c>
      <c r="C591" s="102">
        <f t="shared" si="9"/>
        <v>10541</v>
      </c>
      <c r="D591" s="102" t="s">
        <v>498</v>
      </c>
      <c r="E591" s="26"/>
      <c r="F591" s="7" t="s">
        <v>643</v>
      </c>
      <c r="G591" s="22"/>
    </row>
    <row r="592" spans="1:7" ht="20.25" hidden="1" customHeight="1">
      <c r="A592" s="102">
        <v>10542</v>
      </c>
      <c r="B592" s="102">
        <v>14542</v>
      </c>
      <c r="C592" s="102">
        <f t="shared" si="9"/>
        <v>10542</v>
      </c>
      <c r="D592" s="102" t="s">
        <v>498</v>
      </c>
      <c r="E592" s="26"/>
      <c r="F592" s="7" t="s">
        <v>643</v>
      </c>
      <c r="G592" s="22"/>
    </row>
    <row r="593" spans="1:7" ht="20.25" hidden="1" customHeight="1">
      <c r="A593" s="102">
        <v>10543</v>
      </c>
      <c r="B593" s="102">
        <v>14543</v>
      </c>
      <c r="C593" s="102">
        <f t="shared" si="9"/>
        <v>10543</v>
      </c>
      <c r="D593" s="102" t="s">
        <v>498</v>
      </c>
      <c r="E593" s="26"/>
      <c r="F593" s="7" t="s">
        <v>643</v>
      </c>
      <c r="G593" s="22"/>
    </row>
    <row r="594" spans="1:7" ht="20.25" hidden="1" customHeight="1">
      <c r="A594" s="102">
        <v>10544</v>
      </c>
      <c r="B594" s="102">
        <v>14544</v>
      </c>
      <c r="C594" s="102">
        <f t="shared" si="9"/>
        <v>10544</v>
      </c>
      <c r="D594" s="102" t="s">
        <v>498</v>
      </c>
      <c r="E594" s="26"/>
      <c r="F594" s="7" t="s">
        <v>643</v>
      </c>
      <c r="G594" s="22"/>
    </row>
    <row r="595" spans="1:7" ht="20.25" hidden="1" customHeight="1">
      <c r="A595" s="102">
        <v>10545</v>
      </c>
      <c r="B595" s="102">
        <v>14545</v>
      </c>
      <c r="C595" s="102">
        <f t="shared" si="9"/>
        <v>10545</v>
      </c>
      <c r="D595" s="102" t="s">
        <v>498</v>
      </c>
      <c r="E595" s="26"/>
      <c r="F595" s="7" t="s">
        <v>643</v>
      </c>
      <c r="G595" s="22"/>
    </row>
    <row r="596" spans="1:7" ht="20.25" hidden="1" customHeight="1">
      <c r="A596" s="102">
        <v>10546</v>
      </c>
      <c r="B596" s="102">
        <v>14546</v>
      </c>
      <c r="C596" s="102">
        <f t="shared" si="9"/>
        <v>10546</v>
      </c>
      <c r="D596" s="102" t="s">
        <v>498</v>
      </c>
      <c r="E596" s="26"/>
      <c r="F596" s="7" t="s">
        <v>643</v>
      </c>
      <c r="G596" s="22"/>
    </row>
    <row r="597" spans="1:7" ht="20.25" hidden="1" customHeight="1">
      <c r="A597" s="102">
        <v>10547</v>
      </c>
      <c r="B597" s="102">
        <v>14547</v>
      </c>
      <c r="C597" s="102">
        <f t="shared" si="9"/>
        <v>10547</v>
      </c>
      <c r="D597" s="102" t="s">
        <v>498</v>
      </c>
      <c r="E597" s="26"/>
      <c r="F597" s="7" t="s">
        <v>643</v>
      </c>
      <c r="G597" s="22"/>
    </row>
    <row r="598" spans="1:7" ht="20.25" hidden="1" customHeight="1">
      <c r="A598" s="102">
        <v>10548</v>
      </c>
      <c r="B598" s="102">
        <v>14548</v>
      </c>
      <c r="C598" s="102">
        <f t="shared" si="9"/>
        <v>10548</v>
      </c>
      <c r="D598" s="102" t="s">
        <v>498</v>
      </c>
      <c r="E598" s="26"/>
      <c r="F598" s="7" t="s">
        <v>643</v>
      </c>
      <c r="G598" s="22"/>
    </row>
    <row r="599" spans="1:7" ht="20.25" hidden="1" customHeight="1">
      <c r="A599" s="102">
        <v>10549</v>
      </c>
      <c r="B599" s="102">
        <v>14549</v>
      </c>
      <c r="C599" s="102">
        <f t="shared" si="9"/>
        <v>10549</v>
      </c>
      <c r="D599" s="102" t="s">
        <v>498</v>
      </c>
      <c r="E599" s="26"/>
      <c r="F599" s="7" t="s">
        <v>643</v>
      </c>
      <c r="G599" s="22"/>
    </row>
    <row r="600" spans="1:7" ht="20.25" hidden="1" customHeight="1">
      <c r="A600" s="102">
        <v>10550</v>
      </c>
      <c r="B600" s="102">
        <v>14550</v>
      </c>
      <c r="C600" s="102">
        <f t="shared" si="9"/>
        <v>10550</v>
      </c>
      <c r="D600" s="102" t="s">
        <v>498</v>
      </c>
      <c r="E600" s="26"/>
      <c r="F600" s="7" t="s">
        <v>643</v>
      </c>
      <c r="G600" s="22"/>
    </row>
    <row r="601" spans="1:7" ht="20.25" hidden="1" customHeight="1">
      <c r="A601" s="102">
        <v>10551</v>
      </c>
      <c r="B601" s="102">
        <v>14551</v>
      </c>
      <c r="C601" s="102">
        <f t="shared" si="9"/>
        <v>20551</v>
      </c>
      <c r="D601" s="102" t="s">
        <v>498</v>
      </c>
      <c r="E601" s="26" t="s">
        <v>2532</v>
      </c>
      <c r="F601" s="7"/>
      <c r="G601" s="22"/>
    </row>
    <row r="602" spans="1:7" ht="20.25" hidden="1" customHeight="1">
      <c r="A602" s="102">
        <v>10552</v>
      </c>
      <c r="B602" s="102">
        <v>14552</v>
      </c>
      <c r="C602" s="102">
        <f t="shared" si="9"/>
        <v>10552</v>
      </c>
      <c r="D602" s="102" t="s">
        <v>498</v>
      </c>
      <c r="E602" s="195" t="s">
        <v>2533</v>
      </c>
      <c r="F602" s="7"/>
      <c r="G602" s="22"/>
    </row>
    <row r="603" spans="1:7" ht="20.25" hidden="1" customHeight="1">
      <c r="A603" s="102">
        <v>10553</v>
      </c>
      <c r="B603" s="102">
        <v>14553</v>
      </c>
      <c r="C603" s="102">
        <f t="shared" si="9"/>
        <v>10553</v>
      </c>
      <c r="D603" s="102" t="s">
        <v>498</v>
      </c>
      <c r="E603" s="26" t="s">
        <v>2534</v>
      </c>
      <c r="F603" s="7"/>
      <c r="G603" s="22"/>
    </row>
    <row r="604" spans="1:7" ht="20.25" hidden="1" customHeight="1">
      <c r="A604" s="102">
        <v>10554</v>
      </c>
      <c r="B604" s="102">
        <v>14554</v>
      </c>
      <c r="C604" s="102">
        <f t="shared" si="9"/>
        <v>10554</v>
      </c>
      <c r="D604" s="102" t="s">
        <v>498</v>
      </c>
      <c r="E604" s="26" t="s">
        <v>2535</v>
      </c>
      <c r="F604" s="7"/>
      <c r="G604" s="22"/>
    </row>
    <row r="605" spans="1:7" ht="20.25" hidden="1" customHeight="1">
      <c r="A605" s="102">
        <v>10555</v>
      </c>
      <c r="B605" s="102">
        <v>14555</v>
      </c>
      <c r="C605" s="102">
        <f t="shared" si="9"/>
        <v>10555</v>
      </c>
      <c r="D605" s="102" t="s">
        <v>498</v>
      </c>
      <c r="E605" s="26" t="s">
        <v>2536</v>
      </c>
      <c r="F605" s="7"/>
      <c r="G605" s="22"/>
    </row>
    <row r="606" spans="1:7" ht="20.25" hidden="1" customHeight="1">
      <c r="A606" s="102">
        <v>10556</v>
      </c>
      <c r="B606" s="102">
        <v>14556</v>
      </c>
      <c r="C606" s="102">
        <f t="shared" si="9"/>
        <v>20556</v>
      </c>
      <c r="D606" s="102" t="s">
        <v>498</v>
      </c>
      <c r="E606" s="187" t="s">
        <v>2537</v>
      </c>
      <c r="F606" s="7"/>
      <c r="G606" s="22"/>
    </row>
    <row r="607" spans="1:7" ht="20.25" hidden="1" customHeight="1">
      <c r="A607" s="102">
        <v>10557</v>
      </c>
      <c r="B607" s="102">
        <v>14557</v>
      </c>
      <c r="C607" s="102">
        <f t="shared" si="9"/>
        <v>10557</v>
      </c>
      <c r="D607" s="102" t="s">
        <v>67</v>
      </c>
      <c r="E607" s="26" t="s">
        <v>2538</v>
      </c>
      <c r="F607" s="7"/>
      <c r="G607" s="22"/>
    </row>
    <row r="608" spans="1:7" ht="20.25" hidden="1" customHeight="1">
      <c r="A608" s="102">
        <v>10558</v>
      </c>
      <c r="B608" s="102">
        <v>14558</v>
      </c>
      <c r="C608" s="102">
        <f t="shared" si="9"/>
        <v>10558</v>
      </c>
      <c r="D608" s="102" t="s">
        <v>498</v>
      </c>
      <c r="E608" s="26" t="s">
        <v>2539</v>
      </c>
      <c r="F608" s="7"/>
      <c r="G608" s="22"/>
    </row>
    <row r="609" spans="1:7" ht="20.25" hidden="1" customHeight="1">
      <c r="A609" s="102">
        <v>10559</v>
      </c>
      <c r="B609" s="102">
        <v>14559</v>
      </c>
      <c r="C609" s="102">
        <f t="shared" si="9"/>
        <v>10559</v>
      </c>
      <c r="D609" s="102" t="s">
        <v>498</v>
      </c>
      <c r="E609" s="187"/>
      <c r="F609" s="7" t="s">
        <v>643</v>
      </c>
      <c r="G609" s="22"/>
    </row>
    <row r="610" spans="1:7" ht="20.25" hidden="1" customHeight="1">
      <c r="A610" s="102">
        <v>10560</v>
      </c>
      <c r="B610" s="102">
        <v>14560</v>
      </c>
      <c r="C610" s="102">
        <f t="shared" si="9"/>
        <v>10560</v>
      </c>
      <c r="D610" s="102" t="s">
        <v>498</v>
      </c>
      <c r="E610" s="26"/>
      <c r="F610" s="7" t="s">
        <v>643</v>
      </c>
      <c r="G610" s="22"/>
    </row>
    <row r="611" spans="1:7" ht="20.25" hidden="1" customHeight="1">
      <c r="A611" s="102">
        <v>10561</v>
      </c>
      <c r="B611" s="102">
        <v>14561</v>
      </c>
      <c r="C611" s="102">
        <f t="shared" si="9"/>
        <v>10561</v>
      </c>
      <c r="D611" s="102"/>
      <c r="E611" s="26"/>
      <c r="F611" s="7"/>
      <c r="G611" s="22"/>
    </row>
    <row r="612" spans="1:7" ht="20.25" hidden="1" customHeight="1">
      <c r="A612" s="102">
        <v>10562</v>
      </c>
      <c r="B612" s="102">
        <v>14562</v>
      </c>
      <c r="C612" s="102">
        <f t="shared" si="9"/>
        <v>10562</v>
      </c>
      <c r="D612" s="102"/>
      <c r="E612" s="26"/>
      <c r="F612" s="7"/>
      <c r="G612" s="22"/>
    </row>
    <row r="613" spans="1:7" ht="20.25" hidden="1" customHeight="1">
      <c r="A613" s="102">
        <v>10563</v>
      </c>
      <c r="B613" s="102">
        <v>14563</v>
      </c>
      <c r="C613" s="102">
        <f t="shared" si="9"/>
        <v>10563</v>
      </c>
      <c r="D613" s="102" t="s">
        <v>498</v>
      </c>
      <c r="E613" s="26"/>
      <c r="F613" s="7" t="s">
        <v>643</v>
      </c>
      <c r="G613" s="22"/>
    </row>
    <row r="614" spans="1:7" ht="20.25" hidden="1" customHeight="1">
      <c r="A614" s="102">
        <v>10564</v>
      </c>
      <c r="B614" s="102">
        <v>14564</v>
      </c>
      <c r="C614" s="102">
        <f t="shared" si="9"/>
        <v>10564</v>
      </c>
      <c r="D614" s="102" t="s">
        <v>498</v>
      </c>
      <c r="E614" s="26" t="s">
        <v>2540</v>
      </c>
      <c r="F614" s="7"/>
      <c r="G614" s="22" t="s">
        <v>2447</v>
      </c>
    </row>
    <row r="615" spans="1:7" ht="20.25" hidden="1" customHeight="1">
      <c r="A615" s="102">
        <v>10565</v>
      </c>
      <c r="B615" s="102">
        <v>14565</v>
      </c>
      <c r="C615" s="102">
        <f t="shared" si="9"/>
        <v>10565</v>
      </c>
      <c r="D615" s="102" t="s">
        <v>498</v>
      </c>
      <c r="E615" s="26"/>
      <c r="F615" s="7" t="s">
        <v>643</v>
      </c>
      <c r="G615" s="22"/>
    </row>
    <row r="616" spans="1:7" ht="20.25" hidden="1" customHeight="1">
      <c r="A616" s="102">
        <v>10566</v>
      </c>
      <c r="B616" s="102">
        <v>14566</v>
      </c>
      <c r="C616" s="102">
        <f t="shared" si="9"/>
        <v>10566</v>
      </c>
      <c r="D616" s="102" t="s">
        <v>498</v>
      </c>
      <c r="E616" s="26"/>
      <c r="F616" s="7" t="s">
        <v>643</v>
      </c>
      <c r="G616" s="22"/>
    </row>
    <row r="617" spans="1:7" ht="20.25" hidden="1" customHeight="1">
      <c r="A617" s="102">
        <v>10567</v>
      </c>
      <c r="B617" s="102">
        <v>14567</v>
      </c>
      <c r="C617" s="102">
        <f t="shared" si="9"/>
        <v>10567</v>
      </c>
      <c r="D617" s="102" t="s">
        <v>498</v>
      </c>
      <c r="E617" s="26"/>
      <c r="F617" s="7" t="s">
        <v>643</v>
      </c>
      <c r="G617" s="22"/>
    </row>
    <row r="618" spans="1:7" ht="20.25" hidden="1" customHeight="1">
      <c r="A618" s="102">
        <v>10568</v>
      </c>
      <c r="B618" s="102">
        <v>14568</v>
      </c>
      <c r="C618" s="102">
        <f t="shared" si="9"/>
        <v>10568</v>
      </c>
      <c r="D618" s="102" t="s">
        <v>498</v>
      </c>
      <c r="E618" s="26" t="s">
        <v>2541</v>
      </c>
      <c r="F618" s="7"/>
      <c r="G618" s="22"/>
    </row>
    <row r="619" spans="1:7" ht="20.25" hidden="1" customHeight="1">
      <c r="A619" s="102">
        <v>10569</v>
      </c>
      <c r="B619" s="102">
        <v>14569</v>
      </c>
      <c r="C619" s="102">
        <f t="shared" si="9"/>
        <v>10569</v>
      </c>
      <c r="D619" s="102" t="s">
        <v>498</v>
      </c>
      <c r="E619" s="26" t="s">
        <v>2542</v>
      </c>
      <c r="F619" s="7"/>
      <c r="G619" s="22"/>
    </row>
    <row r="620" spans="1:7" ht="20.25" hidden="1" customHeight="1">
      <c r="A620" s="102">
        <v>10570</v>
      </c>
      <c r="B620" s="102">
        <v>14570</v>
      </c>
      <c r="C620" s="102">
        <f t="shared" si="9"/>
        <v>10570</v>
      </c>
      <c r="D620" s="102" t="s">
        <v>498</v>
      </c>
      <c r="E620" s="26"/>
      <c r="F620" s="7" t="s">
        <v>643</v>
      </c>
      <c r="G620" s="22"/>
    </row>
    <row r="621" spans="1:7" ht="20.25" hidden="1" customHeight="1">
      <c r="A621" s="102">
        <v>10571</v>
      </c>
      <c r="B621" s="102">
        <v>14571</v>
      </c>
      <c r="C621" s="102">
        <f t="shared" si="9"/>
        <v>10571</v>
      </c>
      <c r="D621" s="102" t="s">
        <v>498</v>
      </c>
      <c r="E621" s="26" t="s">
        <v>2543</v>
      </c>
      <c r="F621" s="7" t="s">
        <v>2544</v>
      </c>
      <c r="G621" s="22"/>
    </row>
    <row r="622" spans="1:7" ht="20.25" hidden="1" customHeight="1">
      <c r="A622" s="102">
        <v>10572</v>
      </c>
      <c r="B622" s="102">
        <v>14572</v>
      </c>
      <c r="C622" s="102">
        <f t="shared" si="9"/>
        <v>20572</v>
      </c>
      <c r="D622" s="102" t="s">
        <v>498</v>
      </c>
      <c r="E622" s="26" t="s">
        <v>2545</v>
      </c>
      <c r="F622" s="7"/>
      <c r="G622" s="22"/>
    </row>
    <row r="623" spans="1:7" ht="20.25" hidden="1" customHeight="1">
      <c r="A623" s="102">
        <v>10573</v>
      </c>
      <c r="B623" s="102">
        <v>14573</v>
      </c>
      <c r="C623" s="102">
        <f t="shared" si="9"/>
        <v>10573</v>
      </c>
      <c r="D623" s="102" t="s">
        <v>498</v>
      </c>
      <c r="E623" s="26" t="s">
        <v>2546</v>
      </c>
      <c r="F623" s="7"/>
      <c r="G623" s="22"/>
    </row>
    <row r="624" spans="1:7" ht="20.25" hidden="1" customHeight="1">
      <c r="A624" s="102">
        <v>10574</v>
      </c>
      <c r="B624" s="102">
        <v>14574</v>
      </c>
      <c r="C624" s="102">
        <f t="shared" si="9"/>
        <v>10574</v>
      </c>
      <c r="D624" s="102" t="s">
        <v>498</v>
      </c>
      <c r="E624" s="26" t="s">
        <v>2547</v>
      </c>
      <c r="F624" s="7"/>
      <c r="G624" s="22"/>
    </row>
    <row r="625" spans="1:7" ht="20.25" hidden="1" customHeight="1">
      <c r="A625" s="102">
        <v>10575</v>
      </c>
      <c r="B625" s="102">
        <v>14575</v>
      </c>
      <c r="C625" s="102">
        <f t="shared" si="9"/>
        <v>10575</v>
      </c>
      <c r="D625" s="102" t="s">
        <v>498</v>
      </c>
      <c r="E625" s="26" t="s">
        <v>2548</v>
      </c>
      <c r="F625" s="7"/>
      <c r="G625" s="22"/>
    </row>
    <row r="626" spans="1:7" ht="20.25" hidden="1" customHeight="1">
      <c r="A626" s="102">
        <v>10576</v>
      </c>
      <c r="B626" s="102">
        <v>14576</v>
      </c>
      <c r="C626" s="102">
        <f t="shared" si="9"/>
        <v>10576</v>
      </c>
      <c r="D626" s="102" t="s">
        <v>498</v>
      </c>
      <c r="E626" s="26" t="s">
        <v>2549</v>
      </c>
      <c r="F626" s="7"/>
      <c r="G626" s="22"/>
    </row>
    <row r="627" spans="1:7" ht="20.25" hidden="1" customHeight="1">
      <c r="A627" s="102">
        <v>10577</v>
      </c>
      <c r="B627" s="102">
        <v>14577</v>
      </c>
      <c r="C627" s="102">
        <f t="shared" si="9"/>
        <v>10577</v>
      </c>
      <c r="D627" s="102" t="s">
        <v>498</v>
      </c>
      <c r="E627" s="26" t="s">
        <v>2550</v>
      </c>
      <c r="F627" s="7"/>
      <c r="G627" s="22"/>
    </row>
    <row r="628" spans="1:7" ht="20.25" hidden="1" customHeight="1">
      <c r="A628" s="102">
        <v>10578</v>
      </c>
      <c r="B628" s="102">
        <v>14578</v>
      </c>
      <c r="C628" s="102">
        <f t="shared" si="9"/>
        <v>10578</v>
      </c>
      <c r="D628" s="102" t="s">
        <v>498</v>
      </c>
      <c r="E628" s="26" t="s">
        <v>2551</v>
      </c>
      <c r="F628" s="7"/>
      <c r="G628" s="22"/>
    </row>
    <row r="629" spans="1:7" ht="20.25" hidden="1" customHeight="1">
      <c r="A629" s="102">
        <v>10579</v>
      </c>
      <c r="B629" s="102">
        <v>14579</v>
      </c>
      <c r="C629" s="102">
        <f t="shared" si="9"/>
        <v>10579</v>
      </c>
      <c r="D629" s="102" t="s">
        <v>498</v>
      </c>
      <c r="E629" s="26" t="s">
        <v>2552</v>
      </c>
      <c r="F629" s="7"/>
      <c r="G629" s="22"/>
    </row>
    <row r="630" spans="1:7" ht="20.25" hidden="1" customHeight="1">
      <c r="A630" s="102">
        <v>10580</v>
      </c>
      <c r="B630" s="102">
        <v>14580</v>
      </c>
      <c r="C630" s="102">
        <f t="shared" si="9"/>
        <v>20580</v>
      </c>
      <c r="D630" s="102" t="s">
        <v>498</v>
      </c>
      <c r="E630" s="26" t="s">
        <v>2553</v>
      </c>
      <c r="F630" s="7"/>
      <c r="G630" s="22"/>
    </row>
    <row r="631" spans="1:7" ht="20.25" hidden="1" customHeight="1">
      <c r="A631" s="102">
        <v>10581</v>
      </c>
      <c r="B631" s="102">
        <v>14581</v>
      </c>
      <c r="C631" s="102">
        <f t="shared" si="9"/>
        <v>10581</v>
      </c>
      <c r="D631" s="102" t="s">
        <v>498</v>
      </c>
      <c r="E631" s="26" t="s">
        <v>2554</v>
      </c>
      <c r="F631" s="7"/>
      <c r="G631" s="22"/>
    </row>
    <row r="632" spans="1:7" ht="20.25" hidden="1" customHeight="1">
      <c r="A632" s="102">
        <v>10582</v>
      </c>
      <c r="B632" s="102">
        <v>14582</v>
      </c>
      <c r="C632" s="102">
        <f t="shared" si="9"/>
        <v>10582</v>
      </c>
      <c r="D632" s="102" t="s">
        <v>498</v>
      </c>
      <c r="E632" s="26" t="s">
        <v>2555</v>
      </c>
      <c r="F632" s="7"/>
      <c r="G632" s="22"/>
    </row>
    <row r="633" spans="1:7" ht="20.25" hidden="1" customHeight="1">
      <c r="A633" s="102">
        <v>10583</v>
      </c>
      <c r="B633" s="102">
        <v>14583</v>
      </c>
      <c r="C633" s="102">
        <f t="shared" si="9"/>
        <v>10583</v>
      </c>
      <c r="D633" s="102" t="s">
        <v>498</v>
      </c>
      <c r="E633" s="26" t="s">
        <v>2556</v>
      </c>
      <c r="F633" s="7"/>
      <c r="G633" s="22"/>
    </row>
    <row r="634" spans="1:7" ht="20.25" hidden="1" customHeight="1">
      <c r="A634" s="102">
        <v>10584</v>
      </c>
      <c r="B634" s="102">
        <v>14584</v>
      </c>
      <c r="C634" s="102">
        <f t="shared" si="9"/>
        <v>10584</v>
      </c>
      <c r="D634" s="102" t="s">
        <v>498</v>
      </c>
      <c r="E634" s="26" t="s">
        <v>2557</v>
      </c>
      <c r="F634" s="7"/>
      <c r="G634" s="22"/>
    </row>
    <row r="635" spans="1:7" ht="20.25" hidden="1" customHeight="1">
      <c r="A635" s="102">
        <v>10584</v>
      </c>
      <c r="B635" s="102">
        <v>14584</v>
      </c>
      <c r="C635" s="102">
        <f t="shared" si="9"/>
        <v>10584</v>
      </c>
      <c r="D635" s="102" t="s">
        <v>498</v>
      </c>
      <c r="E635" s="26" t="s">
        <v>2558</v>
      </c>
      <c r="F635" s="7"/>
      <c r="G635" s="22"/>
    </row>
    <row r="636" spans="1:7" ht="20.25" hidden="1" customHeight="1">
      <c r="A636" s="102">
        <v>10585</v>
      </c>
      <c r="B636" s="102">
        <v>14585</v>
      </c>
      <c r="C636" s="102">
        <f t="shared" si="9"/>
        <v>10585</v>
      </c>
      <c r="D636" s="102" t="s">
        <v>498</v>
      </c>
      <c r="E636" s="26" t="s">
        <v>2559</v>
      </c>
      <c r="F636" s="7"/>
      <c r="G636" s="22"/>
    </row>
    <row r="637" spans="1:7" ht="20.25" hidden="1" customHeight="1">
      <c r="A637" s="102">
        <v>10586</v>
      </c>
      <c r="B637" s="102">
        <v>14586</v>
      </c>
      <c r="C637" s="102">
        <f t="shared" si="9"/>
        <v>10586</v>
      </c>
      <c r="D637" s="102" t="s">
        <v>498</v>
      </c>
      <c r="E637" s="26" t="s">
        <v>2560</v>
      </c>
      <c r="F637" s="7"/>
      <c r="G637" s="22"/>
    </row>
    <row r="638" spans="1:7" ht="20.25" hidden="1" customHeight="1">
      <c r="A638" s="102">
        <v>10587</v>
      </c>
      <c r="B638" s="102">
        <v>14587</v>
      </c>
      <c r="C638" s="102">
        <f t="shared" si="9"/>
        <v>10587</v>
      </c>
      <c r="D638" s="102" t="s">
        <v>498</v>
      </c>
      <c r="E638" s="26" t="s">
        <v>2561</v>
      </c>
      <c r="F638" s="7"/>
      <c r="G638" s="22"/>
    </row>
    <row r="639" spans="1:7" ht="20.25" hidden="1" customHeight="1">
      <c r="A639" s="102">
        <v>10588</v>
      </c>
      <c r="B639" s="102">
        <v>14588</v>
      </c>
      <c r="C639" s="102">
        <f t="shared" si="9"/>
        <v>10588</v>
      </c>
      <c r="D639" s="102" t="s">
        <v>498</v>
      </c>
      <c r="E639" s="26"/>
      <c r="F639" s="7" t="s">
        <v>643</v>
      </c>
      <c r="G639" s="22"/>
    </row>
    <row r="640" spans="1:7" ht="20.25" hidden="1" customHeight="1">
      <c r="A640" s="102">
        <v>10589</v>
      </c>
      <c r="B640" s="102">
        <v>14589</v>
      </c>
      <c r="C640" s="102">
        <f t="shared" si="9"/>
        <v>10589</v>
      </c>
      <c r="D640" s="102" t="s">
        <v>67</v>
      </c>
      <c r="E640" s="26" t="s">
        <v>2562</v>
      </c>
      <c r="F640" s="7"/>
      <c r="G640" s="22"/>
    </row>
    <row r="641" spans="1:7" ht="20.25" hidden="1" customHeight="1">
      <c r="A641" s="102">
        <v>10590</v>
      </c>
      <c r="B641" s="102">
        <v>14590</v>
      </c>
      <c r="C641" s="102">
        <f t="shared" si="9"/>
        <v>10590</v>
      </c>
      <c r="D641" s="102" t="s">
        <v>498</v>
      </c>
      <c r="E641" s="26"/>
      <c r="F641" s="7" t="s">
        <v>643</v>
      </c>
      <c r="G641" s="22"/>
    </row>
    <row r="642" spans="1:7" ht="20.25" hidden="1" customHeight="1">
      <c r="A642" s="102">
        <v>10591</v>
      </c>
      <c r="B642" s="102">
        <v>14591</v>
      </c>
      <c r="C642" s="102">
        <f t="shared" si="9"/>
        <v>10591</v>
      </c>
      <c r="D642" s="102" t="s">
        <v>498</v>
      </c>
      <c r="E642" s="115" t="s">
        <v>2563</v>
      </c>
      <c r="F642" s="111"/>
      <c r="G642" s="22"/>
    </row>
    <row r="643" spans="1:7" ht="20.25" hidden="1" customHeight="1">
      <c r="A643" s="102">
        <v>10592</v>
      </c>
      <c r="B643" s="102">
        <v>14592</v>
      </c>
      <c r="C643" s="102">
        <f t="shared" si="9"/>
        <v>10592</v>
      </c>
      <c r="D643" s="102" t="s">
        <v>498</v>
      </c>
      <c r="E643" s="115" t="s">
        <v>2564</v>
      </c>
      <c r="F643" s="111"/>
      <c r="G643" s="111"/>
    </row>
    <row r="644" spans="1:7" ht="20.25" hidden="1" customHeight="1">
      <c r="A644" s="102">
        <v>10593</v>
      </c>
      <c r="B644" s="102">
        <v>14593</v>
      </c>
      <c r="C644" s="102">
        <f t="shared" ref="C644:C707" si="10">IF(ISERROR(FIND("B_Epic",E644)),A644,A644+10000)</f>
        <v>10593</v>
      </c>
      <c r="D644" s="102" t="s">
        <v>498</v>
      </c>
      <c r="E644" s="191" t="s">
        <v>2565</v>
      </c>
      <c r="F644" s="111"/>
      <c r="G644" s="22"/>
    </row>
    <row r="645" spans="1:7" ht="20.25" hidden="1" customHeight="1">
      <c r="A645" s="102">
        <v>10594</v>
      </c>
      <c r="B645" s="102">
        <v>14594</v>
      </c>
      <c r="C645" s="102">
        <f t="shared" si="10"/>
        <v>10594</v>
      </c>
      <c r="D645" s="102" t="s">
        <v>498</v>
      </c>
      <c r="E645" s="191" t="s">
        <v>2566</v>
      </c>
      <c r="F645" s="7"/>
      <c r="G645" s="22"/>
    </row>
    <row r="646" spans="1:7" ht="20.25" hidden="1" customHeight="1">
      <c r="A646" s="102">
        <v>10595</v>
      </c>
      <c r="B646" s="102">
        <v>14595</v>
      </c>
      <c r="C646" s="102">
        <f t="shared" si="10"/>
        <v>10595</v>
      </c>
      <c r="D646" s="102" t="s">
        <v>498</v>
      </c>
      <c r="E646" s="196" t="s">
        <v>2567</v>
      </c>
      <c r="F646" s="7"/>
      <c r="G646" s="22"/>
    </row>
    <row r="647" spans="1:7" ht="20.25" hidden="1" customHeight="1">
      <c r="A647" s="102">
        <v>10596</v>
      </c>
      <c r="B647" s="102">
        <v>14596</v>
      </c>
      <c r="C647" s="102">
        <f t="shared" si="10"/>
        <v>10596</v>
      </c>
      <c r="D647" s="102" t="s">
        <v>498</v>
      </c>
      <c r="E647" s="115" t="s">
        <v>2568</v>
      </c>
      <c r="F647" s="7"/>
      <c r="G647" s="22"/>
    </row>
    <row r="648" spans="1:7" ht="20.25" hidden="1" customHeight="1">
      <c r="A648" s="102">
        <v>10596</v>
      </c>
      <c r="B648" s="102">
        <v>14596</v>
      </c>
      <c r="C648" s="102">
        <f t="shared" si="10"/>
        <v>10596</v>
      </c>
      <c r="D648" s="102" t="s">
        <v>498</v>
      </c>
      <c r="E648" s="115" t="s">
        <v>2569</v>
      </c>
      <c r="F648" s="7"/>
      <c r="G648" s="22"/>
    </row>
    <row r="649" spans="1:7" ht="20.25" hidden="1" customHeight="1">
      <c r="A649" s="102">
        <v>10597</v>
      </c>
      <c r="B649" s="102">
        <v>14597</v>
      </c>
      <c r="C649" s="102">
        <f t="shared" si="10"/>
        <v>10597</v>
      </c>
      <c r="D649" s="102" t="s">
        <v>498</v>
      </c>
      <c r="E649" s="115" t="s">
        <v>2570</v>
      </c>
      <c r="F649" s="7"/>
      <c r="G649" s="22"/>
    </row>
    <row r="650" spans="1:7" ht="20.25" hidden="1" customHeight="1">
      <c r="A650" s="102">
        <v>10598</v>
      </c>
      <c r="B650" s="102">
        <v>14598</v>
      </c>
      <c r="C650" s="102">
        <f t="shared" si="10"/>
        <v>10598</v>
      </c>
      <c r="D650" s="102" t="s">
        <v>498</v>
      </c>
      <c r="E650" s="115" t="s">
        <v>2571</v>
      </c>
      <c r="F650" s="7"/>
      <c r="G650" s="22"/>
    </row>
    <row r="651" spans="1:7" ht="20.25" hidden="1" customHeight="1">
      <c r="A651" s="102">
        <v>10599</v>
      </c>
      <c r="B651" s="102">
        <v>14599</v>
      </c>
      <c r="C651" s="102">
        <f t="shared" si="10"/>
        <v>10599</v>
      </c>
      <c r="D651" s="102" t="s">
        <v>498</v>
      </c>
      <c r="E651" s="26"/>
      <c r="F651" s="7" t="s">
        <v>643</v>
      </c>
      <c r="G651" s="111"/>
    </row>
    <row r="652" spans="1:7" ht="20.25" hidden="1" customHeight="1">
      <c r="A652" s="102">
        <v>10600</v>
      </c>
      <c r="B652" s="102">
        <v>14600</v>
      </c>
      <c r="C652" s="102">
        <f t="shared" si="10"/>
        <v>10600</v>
      </c>
      <c r="D652" s="102" t="s">
        <v>498</v>
      </c>
      <c r="E652" s="26"/>
      <c r="F652" s="7" t="s">
        <v>643</v>
      </c>
      <c r="G652" s="22"/>
    </row>
    <row r="653" spans="1:7" ht="20.25" hidden="1" customHeight="1">
      <c r="A653" s="102">
        <v>10601</v>
      </c>
      <c r="B653" s="102">
        <v>14601</v>
      </c>
      <c r="C653" s="102">
        <f t="shared" si="10"/>
        <v>10601</v>
      </c>
      <c r="D653" s="102" t="s">
        <v>498</v>
      </c>
      <c r="E653" s="26"/>
      <c r="F653" s="7" t="s">
        <v>643</v>
      </c>
      <c r="G653" s="22"/>
    </row>
    <row r="654" spans="1:7" ht="20.25" hidden="1" customHeight="1">
      <c r="A654" s="102">
        <v>10602</v>
      </c>
      <c r="B654" s="102">
        <v>14602</v>
      </c>
      <c r="C654" s="102">
        <f t="shared" si="10"/>
        <v>10602</v>
      </c>
      <c r="D654" s="102" t="s">
        <v>498</v>
      </c>
      <c r="E654" s="26"/>
      <c r="F654" s="7" t="s">
        <v>643</v>
      </c>
      <c r="G654" s="22"/>
    </row>
    <row r="655" spans="1:7" ht="20.25" hidden="1" customHeight="1">
      <c r="A655" s="102">
        <v>10603</v>
      </c>
      <c r="B655" s="102">
        <v>14603</v>
      </c>
      <c r="C655" s="102">
        <f t="shared" si="10"/>
        <v>10603</v>
      </c>
      <c r="D655" s="102" t="s">
        <v>498</v>
      </c>
      <c r="E655" s="26"/>
      <c r="F655" s="7" t="s">
        <v>643</v>
      </c>
      <c r="G655" s="22"/>
    </row>
    <row r="656" spans="1:7" ht="20.25" hidden="1" customHeight="1">
      <c r="A656" s="102">
        <v>10604</v>
      </c>
      <c r="B656" s="102">
        <v>14604</v>
      </c>
      <c r="C656" s="102">
        <f t="shared" si="10"/>
        <v>10604</v>
      </c>
      <c r="D656" s="102" t="s">
        <v>498</v>
      </c>
      <c r="E656" s="26"/>
      <c r="F656" s="7" t="s">
        <v>643</v>
      </c>
      <c r="G656" s="22"/>
    </row>
    <row r="657" spans="1:7" ht="20.25" hidden="1" customHeight="1">
      <c r="A657" s="102">
        <v>10605</v>
      </c>
      <c r="B657" s="102">
        <v>14605</v>
      </c>
      <c r="C657" s="102">
        <f t="shared" si="10"/>
        <v>10605</v>
      </c>
      <c r="D657" s="102" t="s">
        <v>498</v>
      </c>
      <c r="E657" s="26"/>
      <c r="F657" s="7" t="s">
        <v>643</v>
      </c>
      <c r="G657" s="22"/>
    </row>
    <row r="658" spans="1:7" ht="20.25" hidden="1" customHeight="1">
      <c r="A658" s="102">
        <v>10606</v>
      </c>
      <c r="B658" s="102">
        <v>14606</v>
      </c>
      <c r="C658" s="102">
        <f t="shared" si="10"/>
        <v>10606</v>
      </c>
      <c r="D658" s="102" t="s">
        <v>498</v>
      </c>
      <c r="E658" s="26"/>
      <c r="F658" s="7" t="s">
        <v>643</v>
      </c>
      <c r="G658" s="22"/>
    </row>
    <row r="659" spans="1:7" ht="20.25" hidden="1" customHeight="1">
      <c r="A659" s="102">
        <v>10607</v>
      </c>
      <c r="B659" s="102">
        <v>14607</v>
      </c>
      <c r="C659" s="102">
        <f t="shared" si="10"/>
        <v>10607</v>
      </c>
      <c r="D659" s="102" t="s">
        <v>498</v>
      </c>
      <c r="E659" s="26"/>
      <c r="F659" s="7" t="s">
        <v>643</v>
      </c>
      <c r="G659" s="22"/>
    </row>
    <row r="660" spans="1:7" ht="20.25" hidden="1" customHeight="1">
      <c r="A660" s="102">
        <v>10608</v>
      </c>
      <c r="B660" s="102">
        <v>14608</v>
      </c>
      <c r="C660" s="102">
        <f t="shared" si="10"/>
        <v>10608</v>
      </c>
      <c r="D660" s="102" t="s">
        <v>498</v>
      </c>
      <c r="E660" s="26"/>
      <c r="F660" s="7" t="s">
        <v>643</v>
      </c>
      <c r="G660" s="22"/>
    </row>
    <row r="661" spans="1:7" ht="20.25" hidden="1" customHeight="1">
      <c r="A661" s="102">
        <v>10609</v>
      </c>
      <c r="B661" s="102">
        <v>14609</v>
      </c>
      <c r="C661" s="102">
        <f t="shared" si="10"/>
        <v>10609</v>
      </c>
      <c r="D661" s="102" t="s">
        <v>498</v>
      </c>
      <c r="E661" s="26"/>
      <c r="F661" s="7" t="s">
        <v>643</v>
      </c>
      <c r="G661" s="22"/>
    </row>
    <row r="662" spans="1:7" ht="20.25" hidden="1" customHeight="1">
      <c r="A662" s="102">
        <v>10610</v>
      </c>
      <c r="B662" s="102">
        <v>14610</v>
      </c>
      <c r="C662" s="102">
        <f t="shared" si="10"/>
        <v>10610</v>
      </c>
      <c r="D662" s="102" t="s">
        <v>498</v>
      </c>
      <c r="E662" s="26"/>
      <c r="F662" s="7" t="s">
        <v>643</v>
      </c>
      <c r="G662" s="22"/>
    </row>
    <row r="663" spans="1:7" ht="20.25" hidden="1" customHeight="1">
      <c r="A663" s="102">
        <v>10611</v>
      </c>
      <c r="B663" s="102">
        <v>14611</v>
      </c>
      <c r="C663" s="102">
        <f t="shared" si="10"/>
        <v>10611</v>
      </c>
      <c r="D663" s="102" t="s">
        <v>498</v>
      </c>
      <c r="E663" s="26"/>
      <c r="F663" s="7" t="s">
        <v>643</v>
      </c>
      <c r="G663" s="22"/>
    </row>
    <row r="664" spans="1:7" ht="20.25" hidden="1" customHeight="1">
      <c r="A664" s="102">
        <v>10612</v>
      </c>
      <c r="B664" s="102">
        <v>14612</v>
      </c>
      <c r="C664" s="102">
        <f t="shared" si="10"/>
        <v>10612</v>
      </c>
      <c r="D664" s="102" t="s">
        <v>498</v>
      </c>
      <c r="E664" s="26"/>
      <c r="F664" s="7" t="s">
        <v>643</v>
      </c>
      <c r="G664" s="22"/>
    </row>
    <row r="665" spans="1:7" ht="20.25" hidden="1" customHeight="1">
      <c r="A665" s="102">
        <v>10613</v>
      </c>
      <c r="B665" s="102">
        <v>14613</v>
      </c>
      <c r="C665" s="102">
        <f t="shared" si="10"/>
        <v>10613</v>
      </c>
      <c r="D665" s="102" t="s">
        <v>498</v>
      </c>
      <c r="E665" s="26"/>
      <c r="F665" s="7" t="s">
        <v>643</v>
      </c>
      <c r="G665" s="22"/>
    </row>
    <row r="666" spans="1:7" ht="20.25" hidden="1" customHeight="1">
      <c r="A666" s="102">
        <v>10614</v>
      </c>
      <c r="B666" s="102">
        <v>14614</v>
      </c>
      <c r="C666" s="102">
        <f t="shared" si="10"/>
        <v>10614</v>
      </c>
      <c r="D666" s="102" t="s">
        <v>498</v>
      </c>
      <c r="E666" s="26"/>
      <c r="F666" s="7" t="s">
        <v>643</v>
      </c>
      <c r="G666" s="22"/>
    </row>
    <row r="667" spans="1:7" ht="20.25" hidden="1" customHeight="1">
      <c r="A667" s="102">
        <v>10615</v>
      </c>
      <c r="B667" s="102">
        <v>14615</v>
      </c>
      <c r="C667" s="102">
        <f t="shared" si="10"/>
        <v>10615</v>
      </c>
      <c r="D667" s="102" t="s">
        <v>498</v>
      </c>
      <c r="E667" s="26"/>
      <c r="F667" s="7" t="s">
        <v>643</v>
      </c>
      <c r="G667" s="22"/>
    </row>
    <row r="668" spans="1:7" ht="20.25" hidden="1" customHeight="1">
      <c r="A668" s="102">
        <v>10616</v>
      </c>
      <c r="B668" s="102">
        <v>14616</v>
      </c>
      <c r="C668" s="102">
        <f t="shared" si="10"/>
        <v>10616</v>
      </c>
      <c r="D668" s="102" t="s">
        <v>498</v>
      </c>
      <c r="E668" s="26"/>
      <c r="F668" s="7" t="s">
        <v>643</v>
      </c>
      <c r="G668" s="22"/>
    </row>
    <row r="669" spans="1:7" ht="20.25" hidden="1" customHeight="1">
      <c r="A669" s="102">
        <v>10617</v>
      </c>
      <c r="B669" s="102">
        <v>14617</v>
      </c>
      <c r="C669" s="102">
        <f t="shared" si="10"/>
        <v>10617</v>
      </c>
      <c r="D669" s="102" t="s">
        <v>498</v>
      </c>
      <c r="E669" s="26"/>
      <c r="F669" s="7" t="s">
        <v>643</v>
      </c>
      <c r="G669" s="22"/>
    </row>
    <row r="670" spans="1:7" ht="20.25" hidden="1" customHeight="1">
      <c r="A670" s="102">
        <v>10618</v>
      </c>
      <c r="B670" s="102">
        <v>14618</v>
      </c>
      <c r="C670" s="102">
        <f t="shared" si="10"/>
        <v>10618</v>
      </c>
      <c r="D670" s="102" t="s">
        <v>498</v>
      </c>
      <c r="E670" s="26"/>
      <c r="F670" s="7" t="s">
        <v>643</v>
      </c>
      <c r="G670" s="22"/>
    </row>
    <row r="671" spans="1:7" ht="20.25" hidden="1" customHeight="1">
      <c r="A671" s="102">
        <v>10619</v>
      </c>
      <c r="B671" s="102">
        <v>14619</v>
      </c>
      <c r="C671" s="102">
        <f t="shared" si="10"/>
        <v>10619</v>
      </c>
      <c r="D671" s="102" t="s">
        <v>498</v>
      </c>
      <c r="E671" s="26"/>
      <c r="F671" s="7" t="s">
        <v>643</v>
      </c>
      <c r="G671" s="22"/>
    </row>
    <row r="672" spans="1:7" ht="20.25" hidden="1" customHeight="1">
      <c r="A672" s="102">
        <v>10620</v>
      </c>
      <c r="B672" s="102">
        <v>14620</v>
      </c>
      <c r="C672" s="102">
        <f t="shared" si="10"/>
        <v>10620</v>
      </c>
      <c r="D672" s="102" t="s">
        <v>498</v>
      </c>
      <c r="E672" s="26"/>
      <c r="F672" s="7" t="s">
        <v>643</v>
      </c>
      <c r="G672" s="22"/>
    </row>
    <row r="673" spans="1:7" ht="20.25" hidden="1" customHeight="1">
      <c r="A673" s="102">
        <v>10621</v>
      </c>
      <c r="B673" s="102">
        <v>14621</v>
      </c>
      <c r="C673" s="102">
        <f t="shared" si="10"/>
        <v>10621</v>
      </c>
      <c r="D673" s="102" t="s">
        <v>498</v>
      </c>
      <c r="E673" s="26"/>
      <c r="F673" s="7" t="s">
        <v>643</v>
      </c>
      <c r="G673" s="22"/>
    </row>
    <row r="674" spans="1:7" ht="20.25" hidden="1" customHeight="1">
      <c r="A674" s="102">
        <v>10622</v>
      </c>
      <c r="B674" s="102">
        <v>14622</v>
      </c>
      <c r="C674" s="102">
        <f t="shared" si="10"/>
        <v>10622</v>
      </c>
      <c r="D674" s="102" t="s">
        <v>498</v>
      </c>
      <c r="E674" s="26"/>
      <c r="F674" s="7" t="s">
        <v>643</v>
      </c>
      <c r="G674" s="22"/>
    </row>
    <row r="675" spans="1:7" ht="20.25" hidden="1" customHeight="1">
      <c r="A675" s="102">
        <v>10623</v>
      </c>
      <c r="B675" s="102">
        <v>14623</v>
      </c>
      <c r="C675" s="102">
        <f t="shared" si="10"/>
        <v>10623</v>
      </c>
      <c r="D675" s="102" t="s">
        <v>498</v>
      </c>
      <c r="E675" s="26"/>
      <c r="F675" s="7" t="s">
        <v>643</v>
      </c>
      <c r="G675" s="22"/>
    </row>
    <row r="676" spans="1:7" ht="20.25" hidden="1" customHeight="1">
      <c r="A676" s="102">
        <v>10624</v>
      </c>
      <c r="B676" s="102">
        <v>14624</v>
      </c>
      <c r="C676" s="102">
        <f t="shared" si="10"/>
        <v>10624</v>
      </c>
      <c r="D676" s="102" t="s">
        <v>498</v>
      </c>
      <c r="E676" s="26"/>
      <c r="F676" s="7" t="s">
        <v>643</v>
      </c>
      <c r="G676" s="22"/>
    </row>
    <row r="677" spans="1:7" ht="20.25" hidden="1" customHeight="1">
      <c r="A677" s="102">
        <v>10625</v>
      </c>
      <c r="B677" s="102">
        <v>14625</v>
      </c>
      <c r="C677" s="102">
        <f t="shared" si="10"/>
        <v>10625</v>
      </c>
      <c r="D677" s="102" t="s">
        <v>498</v>
      </c>
      <c r="E677" s="26"/>
      <c r="F677" s="7" t="s">
        <v>643</v>
      </c>
      <c r="G677" s="22"/>
    </row>
    <row r="678" spans="1:7" ht="20.25" hidden="1" customHeight="1">
      <c r="A678" s="102">
        <v>10626</v>
      </c>
      <c r="B678" s="102">
        <v>14626</v>
      </c>
      <c r="C678" s="102">
        <f t="shared" si="10"/>
        <v>10626</v>
      </c>
      <c r="D678" s="102" t="s">
        <v>498</v>
      </c>
      <c r="E678" s="26"/>
      <c r="F678" s="7" t="s">
        <v>643</v>
      </c>
      <c r="G678" s="22"/>
    </row>
    <row r="679" spans="1:7" ht="20.25" hidden="1" customHeight="1">
      <c r="A679" s="102">
        <v>10627</v>
      </c>
      <c r="B679" s="102">
        <v>14627</v>
      </c>
      <c r="C679" s="102">
        <f t="shared" si="10"/>
        <v>10627</v>
      </c>
      <c r="D679" s="102" t="s">
        <v>2306</v>
      </c>
      <c r="E679" s="26" t="s">
        <v>2572</v>
      </c>
      <c r="F679" s="7" t="s">
        <v>2573</v>
      </c>
      <c r="G679" s="22"/>
    </row>
    <row r="680" spans="1:7" ht="20.25" hidden="1" customHeight="1">
      <c r="A680" s="102">
        <v>10628</v>
      </c>
      <c r="B680" s="102">
        <v>14628</v>
      </c>
      <c r="C680" s="102">
        <f t="shared" si="10"/>
        <v>10628</v>
      </c>
      <c r="D680" s="102" t="s">
        <v>498</v>
      </c>
      <c r="E680" s="26"/>
      <c r="F680" s="7" t="s">
        <v>643</v>
      </c>
      <c r="G680" s="22"/>
    </row>
    <row r="681" spans="1:7" ht="20.25" hidden="1" customHeight="1">
      <c r="A681" s="102">
        <v>10629</v>
      </c>
      <c r="B681" s="102">
        <v>14629</v>
      </c>
      <c r="C681" s="102">
        <f t="shared" si="10"/>
        <v>10629</v>
      </c>
      <c r="D681" s="102" t="s">
        <v>498</v>
      </c>
      <c r="E681" s="26"/>
      <c r="F681" s="7" t="s">
        <v>643</v>
      </c>
      <c r="G681" s="22"/>
    </row>
    <row r="682" spans="1:7" ht="20.25" hidden="1" customHeight="1">
      <c r="A682" s="102">
        <v>10630</v>
      </c>
      <c r="B682" s="102">
        <v>14630</v>
      </c>
      <c r="C682" s="102">
        <f t="shared" si="10"/>
        <v>10630</v>
      </c>
      <c r="D682" s="102" t="s">
        <v>498</v>
      </c>
      <c r="E682" s="26"/>
      <c r="F682" s="7" t="s">
        <v>643</v>
      </c>
      <c r="G682" s="22"/>
    </row>
    <row r="683" spans="1:7" ht="20.25" hidden="1" customHeight="1">
      <c r="A683" s="102">
        <v>10631</v>
      </c>
      <c r="B683" s="102">
        <v>14631</v>
      </c>
      <c r="C683" s="102">
        <f t="shared" si="10"/>
        <v>10631</v>
      </c>
      <c r="D683" s="102" t="s">
        <v>498</v>
      </c>
      <c r="E683" s="26"/>
      <c r="F683" s="7" t="s">
        <v>643</v>
      </c>
      <c r="G683" s="22"/>
    </row>
    <row r="684" spans="1:7" ht="20.25" hidden="1" customHeight="1">
      <c r="A684" s="102">
        <v>10632</v>
      </c>
      <c r="B684" s="102">
        <v>14632</v>
      </c>
      <c r="C684" s="102">
        <f t="shared" si="10"/>
        <v>10632</v>
      </c>
      <c r="D684" s="102" t="s">
        <v>498</v>
      </c>
      <c r="E684" s="26"/>
      <c r="F684" s="7" t="s">
        <v>643</v>
      </c>
      <c r="G684" s="22"/>
    </row>
    <row r="685" spans="1:7" ht="20.25" hidden="1" customHeight="1">
      <c r="A685" s="102">
        <v>10633</v>
      </c>
      <c r="B685" s="102">
        <v>14633</v>
      </c>
      <c r="C685" s="102">
        <f t="shared" si="10"/>
        <v>10633</v>
      </c>
      <c r="D685" s="102" t="s">
        <v>498</v>
      </c>
      <c r="E685" s="26"/>
      <c r="F685" s="7" t="s">
        <v>643</v>
      </c>
      <c r="G685" s="22"/>
    </row>
    <row r="686" spans="1:7" ht="20.25" hidden="1" customHeight="1">
      <c r="A686" s="102">
        <v>10634</v>
      </c>
      <c r="B686" s="102">
        <v>14634</v>
      </c>
      <c r="C686" s="102">
        <f t="shared" si="10"/>
        <v>10634</v>
      </c>
      <c r="D686" s="102" t="s">
        <v>498</v>
      </c>
      <c r="E686" s="26"/>
      <c r="F686" s="7" t="s">
        <v>643</v>
      </c>
      <c r="G686" s="22"/>
    </row>
    <row r="687" spans="1:7" ht="20.25" hidden="1" customHeight="1">
      <c r="A687" s="102">
        <v>10635</v>
      </c>
      <c r="B687" s="102">
        <v>14635</v>
      </c>
      <c r="C687" s="102">
        <f t="shared" si="10"/>
        <v>10635</v>
      </c>
      <c r="D687" s="102" t="s">
        <v>498</v>
      </c>
      <c r="E687" s="26"/>
      <c r="F687" s="7" t="s">
        <v>643</v>
      </c>
      <c r="G687" s="22"/>
    </row>
    <row r="688" spans="1:7" ht="20.25" hidden="1" customHeight="1">
      <c r="A688" s="102">
        <v>10636</v>
      </c>
      <c r="B688" s="102">
        <v>14636</v>
      </c>
      <c r="C688" s="102">
        <f t="shared" si="10"/>
        <v>10636</v>
      </c>
      <c r="D688" s="102" t="s">
        <v>498</v>
      </c>
      <c r="E688" s="26"/>
      <c r="F688" s="7" t="s">
        <v>643</v>
      </c>
      <c r="G688" s="22"/>
    </row>
    <row r="689" spans="1:7" ht="20.25" hidden="1" customHeight="1">
      <c r="A689" s="102">
        <v>10637</v>
      </c>
      <c r="B689" s="102">
        <v>14637</v>
      </c>
      <c r="C689" s="102">
        <f t="shared" si="10"/>
        <v>10637</v>
      </c>
      <c r="D689" s="102" t="s">
        <v>498</v>
      </c>
      <c r="E689" s="26"/>
      <c r="F689" s="7" t="s">
        <v>643</v>
      </c>
      <c r="G689" s="22"/>
    </row>
    <row r="690" spans="1:7" ht="20.25" hidden="1" customHeight="1">
      <c r="A690" s="102">
        <v>10638</v>
      </c>
      <c r="B690" s="102">
        <v>14638</v>
      </c>
      <c r="C690" s="102">
        <f t="shared" si="10"/>
        <v>10638</v>
      </c>
      <c r="D690" s="102" t="s">
        <v>498</v>
      </c>
      <c r="E690" s="26"/>
      <c r="F690" s="7" t="s">
        <v>643</v>
      </c>
      <c r="G690" s="22"/>
    </row>
    <row r="691" spans="1:7" ht="20.25" hidden="1" customHeight="1">
      <c r="A691" s="102">
        <v>10639</v>
      </c>
      <c r="B691" s="102">
        <v>14639</v>
      </c>
      <c r="C691" s="102">
        <f t="shared" si="10"/>
        <v>10639</v>
      </c>
      <c r="D691" s="102" t="s">
        <v>498</v>
      </c>
      <c r="E691" s="26"/>
      <c r="F691" s="7" t="s">
        <v>643</v>
      </c>
      <c r="G691" s="22"/>
    </row>
    <row r="692" spans="1:7" ht="20.25" hidden="1" customHeight="1">
      <c r="A692" s="102">
        <v>10640</v>
      </c>
      <c r="B692" s="102">
        <v>14640</v>
      </c>
      <c r="C692" s="102">
        <f t="shared" si="10"/>
        <v>10640</v>
      </c>
      <c r="D692" s="102" t="s">
        <v>498</v>
      </c>
      <c r="E692" s="26"/>
      <c r="F692" s="7" t="s">
        <v>643</v>
      </c>
      <c r="G692" s="22"/>
    </row>
    <row r="693" spans="1:7" ht="20.25" hidden="1" customHeight="1">
      <c r="A693" s="102">
        <v>10641</v>
      </c>
      <c r="B693" s="102">
        <v>14641</v>
      </c>
      <c r="C693" s="102">
        <f t="shared" si="10"/>
        <v>10641</v>
      </c>
      <c r="D693" s="102" t="s">
        <v>498</v>
      </c>
      <c r="E693" s="26"/>
      <c r="F693" s="7" t="s">
        <v>643</v>
      </c>
      <c r="G693" s="22"/>
    </row>
    <row r="694" spans="1:7" ht="20.25" hidden="1" customHeight="1">
      <c r="A694" s="102">
        <v>10642</v>
      </c>
      <c r="B694" s="102">
        <v>14642</v>
      </c>
      <c r="C694" s="102">
        <f t="shared" si="10"/>
        <v>10642</v>
      </c>
      <c r="D694" s="102" t="s">
        <v>498</v>
      </c>
      <c r="E694" s="26"/>
      <c r="F694" s="7" t="s">
        <v>643</v>
      </c>
      <c r="G694" s="22"/>
    </row>
    <row r="695" spans="1:7" ht="20.25" hidden="1" customHeight="1">
      <c r="A695" s="102">
        <v>10643</v>
      </c>
      <c r="B695" s="102">
        <v>14643</v>
      </c>
      <c r="C695" s="102">
        <f t="shared" si="10"/>
        <v>10643</v>
      </c>
      <c r="D695" s="102" t="s">
        <v>498</v>
      </c>
      <c r="E695" s="26"/>
      <c r="F695" s="7" t="s">
        <v>643</v>
      </c>
      <c r="G695" s="22"/>
    </row>
    <row r="696" spans="1:7" ht="20.25" hidden="1" customHeight="1">
      <c r="A696" s="102">
        <v>10644</v>
      </c>
      <c r="B696" s="102">
        <v>14644</v>
      </c>
      <c r="C696" s="102">
        <f t="shared" si="10"/>
        <v>10644</v>
      </c>
      <c r="D696" s="102" t="s">
        <v>498</v>
      </c>
      <c r="E696" s="26"/>
      <c r="F696" s="7" t="s">
        <v>643</v>
      </c>
      <c r="G696" s="22"/>
    </row>
    <row r="697" spans="1:7" ht="20.25" hidden="1" customHeight="1">
      <c r="A697" s="102">
        <v>10645</v>
      </c>
      <c r="B697" s="102">
        <v>14645</v>
      </c>
      <c r="C697" s="102">
        <f t="shared" si="10"/>
        <v>10645</v>
      </c>
      <c r="D697" s="102" t="s">
        <v>498</v>
      </c>
      <c r="E697" s="26"/>
      <c r="F697" s="7" t="s">
        <v>643</v>
      </c>
      <c r="G697" s="22"/>
    </row>
    <row r="698" spans="1:7" ht="20.25" hidden="1" customHeight="1">
      <c r="A698" s="102">
        <v>10646</v>
      </c>
      <c r="B698" s="102">
        <v>14646</v>
      </c>
      <c r="C698" s="102">
        <f t="shared" si="10"/>
        <v>10646</v>
      </c>
      <c r="D698" s="102" t="s">
        <v>498</v>
      </c>
      <c r="E698" s="26"/>
      <c r="F698" s="7" t="s">
        <v>643</v>
      </c>
      <c r="G698" s="22"/>
    </row>
    <row r="699" spans="1:7" ht="20.25" hidden="1" customHeight="1">
      <c r="A699" s="102">
        <v>10647</v>
      </c>
      <c r="B699" s="102">
        <v>14647</v>
      </c>
      <c r="C699" s="102">
        <f t="shared" si="10"/>
        <v>10647</v>
      </c>
      <c r="D699" s="102" t="s">
        <v>498</v>
      </c>
      <c r="E699" s="26"/>
      <c r="F699" s="7" t="s">
        <v>643</v>
      </c>
      <c r="G699" s="22"/>
    </row>
    <row r="700" spans="1:7" ht="20.25" hidden="1" customHeight="1">
      <c r="A700" s="102">
        <v>10648</v>
      </c>
      <c r="B700" s="102">
        <v>14648</v>
      </c>
      <c r="C700" s="102">
        <f t="shared" si="10"/>
        <v>10648</v>
      </c>
      <c r="D700" s="102" t="s">
        <v>498</v>
      </c>
      <c r="E700" s="26"/>
      <c r="F700" s="7" t="s">
        <v>643</v>
      </c>
      <c r="G700" s="22"/>
    </row>
    <row r="701" spans="1:7" ht="20.25" hidden="1" customHeight="1">
      <c r="A701" s="102">
        <v>10649</v>
      </c>
      <c r="B701" s="102">
        <v>14649</v>
      </c>
      <c r="C701" s="102">
        <f t="shared" si="10"/>
        <v>10649</v>
      </c>
      <c r="D701" s="102" t="s">
        <v>498</v>
      </c>
      <c r="E701" s="26"/>
      <c r="F701" s="7" t="s">
        <v>643</v>
      </c>
      <c r="G701" s="22"/>
    </row>
    <row r="702" spans="1:7" ht="20.25" hidden="1" customHeight="1">
      <c r="A702" s="102">
        <v>10650</v>
      </c>
      <c r="B702" s="102">
        <v>14650</v>
      </c>
      <c r="C702" s="102">
        <f t="shared" si="10"/>
        <v>10650</v>
      </c>
      <c r="D702" s="102" t="s">
        <v>498</v>
      </c>
      <c r="E702" s="26"/>
      <c r="F702" s="7" t="s">
        <v>643</v>
      </c>
      <c r="G702" s="22"/>
    </row>
    <row r="703" spans="1:7" ht="20.25" hidden="1" customHeight="1">
      <c r="A703" s="102">
        <v>10651</v>
      </c>
      <c r="B703" s="102">
        <v>14651</v>
      </c>
      <c r="C703" s="102">
        <f t="shared" si="10"/>
        <v>10651</v>
      </c>
      <c r="D703" s="102" t="s">
        <v>498</v>
      </c>
      <c r="E703" s="26"/>
      <c r="F703" s="7" t="s">
        <v>643</v>
      </c>
      <c r="G703" s="22"/>
    </row>
    <row r="704" spans="1:7" ht="20.25" hidden="1" customHeight="1">
      <c r="A704" s="102">
        <v>10652</v>
      </c>
      <c r="B704" s="102">
        <v>14652</v>
      </c>
      <c r="C704" s="102">
        <f t="shared" si="10"/>
        <v>10652</v>
      </c>
      <c r="D704" s="102" t="s">
        <v>498</v>
      </c>
      <c r="E704" s="26"/>
      <c r="F704" s="7" t="s">
        <v>643</v>
      </c>
      <c r="G704" s="22"/>
    </row>
    <row r="705" spans="1:7" ht="20.25" hidden="1" customHeight="1">
      <c r="A705" s="102">
        <v>10653</v>
      </c>
      <c r="B705" s="102">
        <v>14653</v>
      </c>
      <c r="C705" s="102">
        <f t="shared" si="10"/>
        <v>10653</v>
      </c>
      <c r="D705" s="102" t="s">
        <v>498</v>
      </c>
      <c r="E705" s="26"/>
      <c r="F705" s="7" t="s">
        <v>643</v>
      </c>
      <c r="G705" s="22"/>
    </row>
    <row r="706" spans="1:7" ht="20.25" hidden="1" customHeight="1">
      <c r="A706" s="102">
        <v>10654</v>
      </c>
      <c r="B706" s="102">
        <v>14654</v>
      </c>
      <c r="C706" s="102">
        <f t="shared" si="10"/>
        <v>10654</v>
      </c>
      <c r="D706" s="102" t="s">
        <v>498</v>
      </c>
      <c r="E706" s="26"/>
      <c r="F706" s="7" t="s">
        <v>643</v>
      </c>
      <c r="G706" s="22"/>
    </row>
    <row r="707" spans="1:7" ht="20.25" hidden="1" customHeight="1">
      <c r="A707" s="102">
        <v>10655</v>
      </c>
      <c r="B707" s="102">
        <v>14655</v>
      </c>
      <c r="C707" s="102">
        <f t="shared" si="10"/>
        <v>10655</v>
      </c>
      <c r="D707" s="102" t="s">
        <v>498</v>
      </c>
      <c r="E707" s="26"/>
      <c r="F707" s="7" t="s">
        <v>643</v>
      </c>
      <c r="G707" s="22"/>
    </row>
    <row r="708" spans="1:7" ht="20.25" hidden="1" customHeight="1">
      <c r="A708" s="102">
        <v>10656</v>
      </c>
      <c r="B708" s="102">
        <v>14656</v>
      </c>
      <c r="C708" s="102">
        <f t="shared" ref="C708:C770" si="11">IF(ISERROR(FIND("B_Epic",E708)),A708,A708+10000)</f>
        <v>10656</v>
      </c>
      <c r="D708" s="102" t="s">
        <v>498</v>
      </c>
      <c r="E708" s="26"/>
      <c r="F708" s="7" t="s">
        <v>643</v>
      </c>
      <c r="G708" s="22"/>
    </row>
    <row r="709" spans="1:7" ht="20.25" hidden="1" customHeight="1">
      <c r="A709" s="102">
        <v>10657</v>
      </c>
      <c r="B709" s="102">
        <v>14657</v>
      </c>
      <c r="C709" s="102">
        <f t="shared" si="11"/>
        <v>10657</v>
      </c>
      <c r="D709" s="102" t="s">
        <v>498</v>
      </c>
      <c r="E709" s="26"/>
      <c r="F709" s="7" t="s">
        <v>643</v>
      </c>
      <c r="G709" s="22"/>
    </row>
    <row r="710" spans="1:7" ht="20.25" hidden="1" customHeight="1">
      <c r="A710" s="102">
        <v>10658</v>
      </c>
      <c r="B710" s="102">
        <v>14658</v>
      </c>
      <c r="C710" s="102">
        <f t="shared" si="11"/>
        <v>10658</v>
      </c>
      <c r="D710" s="102" t="s">
        <v>498</v>
      </c>
      <c r="E710" s="26"/>
      <c r="F710" s="7" t="s">
        <v>643</v>
      </c>
      <c r="G710" s="22"/>
    </row>
    <row r="711" spans="1:7" ht="20.25" hidden="1" customHeight="1">
      <c r="A711" s="102">
        <v>10659</v>
      </c>
      <c r="B711" s="102">
        <v>14659</v>
      </c>
      <c r="C711" s="102">
        <f t="shared" si="11"/>
        <v>10659</v>
      </c>
      <c r="D711" s="102" t="s">
        <v>498</v>
      </c>
      <c r="E711" s="26"/>
      <c r="F711" s="7" t="s">
        <v>643</v>
      </c>
      <c r="G711" s="22"/>
    </row>
    <row r="712" spans="1:7" ht="20.25" hidden="1" customHeight="1">
      <c r="A712" s="102">
        <v>10660</v>
      </c>
      <c r="B712" s="102">
        <v>14660</v>
      </c>
      <c r="C712" s="102">
        <f t="shared" si="11"/>
        <v>10660</v>
      </c>
      <c r="D712" s="102" t="s">
        <v>498</v>
      </c>
      <c r="E712" s="26"/>
      <c r="F712" s="7" t="s">
        <v>643</v>
      </c>
      <c r="G712" s="22"/>
    </row>
    <row r="713" spans="1:7" ht="20.25" hidden="1" customHeight="1">
      <c r="A713" s="102">
        <v>10661</v>
      </c>
      <c r="B713" s="102">
        <v>14661</v>
      </c>
      <c r="C713" s="102">
        <f t="shared" si="11"/>
        <v>10661</v>
      </c>
      <c r="D713" s="102" t="s">
        <v>498</v>
      </c>
      <c r="E713" s="26"/>
      <c r="F713" s="7" t="s">
        <v>643</v>
      </c>
      <c r="G713" s="22"/>
    </row>
    <row r="714" spans="1:7" ht="20.25" hidden="1" customHeight="1">
      <c r="A714" s="102">
        <v>10662</v>
      </c>
      <c r="B714" s="102">
        <v>14662</v>
      </c>
      <c r="C714" s="102">
        <f t="shared" si="11"/>
        <v>10662</v>
      </c>
      <c r="D714" s="102" t="s">
        <v>498</v>
      </c>
      <c r="E714" s="26"/>
      <c r="F714" s="7" t="s">
        <v>643</v>
      </c>
      <c r="G714" s="22"/>
    </row>
    <row r="715" spans="1:7" ht="20.25" hidden="1" customHeight="1">
      <c r="A715" s="102">
        <v>10663</v>
      </c>
      <c r="B715" s="102">
        <v>14663</v>
      </c>
      <c r="C715" s="102">
        <f t="shared" si="11"/>
        <v>10663</v>
      </c>
      <c r="D715" s="102" t="s">
        <v>498</v>
      </c>
      <c r="E715" s="26"/>
      <c r="F715" s="7" t="s">
        <v>643</v>
      </c>
      <c r="G715" s="22"/>
    </row>
    <row r="716" spans="1:7" ht="20.25" hidden="1" customHeight="1">
      <c r="A716" s="102">
        <v>10664</v>
      </c>
      <c r="B716" s="102">
        <v>14664</v>
      </c>
      <c r="C716" s="102">
        <f t="shared" si="11"/>
        <v>10664</v>
      </c>
      <c r="D716" s="102" t="s">
        <v>498</v>
      </c>
      <c r="E716" s="26"/>
      <c r="F716" s="7" t="s">
        <v>643</v>
      </c>
      <c r="G716" s="22"/>
    </row>
    <row r="717" spans="1:7" ht="20.25" hidden="1" customHeight="1">
      <c r="A717" s="102">
        <v>10665</v>
      </c>
      <c r="B717" s="102">
        <v>14665</v>
      </c>
      <c r="C717" s="102">
        <f t="shared" si="11"/>
        <v>10665</v>
      </c>
      <c r="D717" s="102" t="s">
        <v>498</v>
      </c>
      <c r="E717" s="26"/>
      <c r="F717" s="7" t="s">
        <v>643</v>
      </c>
      <c r="G717" s="22"/>
    </row>
    <row r="718" spans="1:7" ht="20.25" hidden="1" customHeight="1">
      <c r="A718" s="102">
        <v>10666</v>
      </c>
      <c r="B718" s="102">
        <v>14666</v>
      </c>
      <c r="C718" s="102">
        <f t="shared" si="11"/>
        <v>10666</v>
      </c>
      <c r="D718" s="102" t="s">
        <v>498</v>
      </c>
      <c r="E718" s="26"/>
      <c r="F718" s="7" t="s">
        <v>643</v>
      </c>
      <c r="G718" s="22"/>
    </row>
    <row r="719" spans="1:7" ht="20.25" hidden="1" customHeight="1">
      <c r="A719" s="102">
        <v>10667</v>
      </c>
      <c r="B719" s="102">
        <v>14667</v>
      </c>
      <c r="C719" s="102">
        <f t="shared" si="11"/>
        <v>10667</v>
      </c>
      <c r="D719" s="102" t="s">
        <v>498</v>
      </c>
      <c r="E719" s="26"/>
      <c r="F719" s="7" t="s">
        <v>643</v>
      </c>
      <c r="G719" s="22"/>
    </row>
    <row r="720" spans="1:7" ht="20.25" hidden="1" customHeight="1">
      <c r="A720" s="102">
        <v>10668</v>
      </c>
      <c r="B720" s="102">
        <v>14668</v>
      </c>
      <c r="C720" s="102">
        <f t="shared" si="11"/>
        <v>10668</v>
      </c>
      <c r="D720" s="102" t="s">
        <v>498</v>
      </c>
      <c r="E720" s="26"/>
      <c r="F720" s="7" t="s">
        <v>643</v>
      </c>
      <c r="G720" s="22"/>
    </row>
    <row r="721" spans="1:7" ht="20.25" hidden="1" customHeight="1">
      <c r="A721" s="102">
        <v>10669</v>
      </c>
      <c r="B721" s="102">
        <v>14669</v>
      </c>
      <c r="C721" s="102">
        <f t="shared" si="11"/>
        <v>10669</v>
      </c>
      <c r="D721" s="102" t="s">
        <v>498</v>
      </c>
      <c r="E721" s="26"/>
      <c r="F721" s="7" t="s">
        <v>643</v>
      </c>
      <c r="G721" s="22"/>
    </row>
    <row r="722" spans="1:7" ht="20.25" hidden="1" customHeight="1">
      <c r="A722" s="102">
        <v>10670</v>
      </c>
      <c r="B722" s="102">
        <v>14670</v>
      </c>
      <c r="C722" s="102">
        <f t="shared" si="11"/>
        <v>10670</v>
      </c>
      <c r="D722" s="102" t="s">
        <v>498</v>
      </c>
      <c r="E722" s="26"/>
      <c r="F722" s="7" t="s">
        <v>643</v>
      </c>
      <c r="G722" s="22"/>
    </row>
    <row r="723" spans="1:7" ht="20.25" hidden="1" customHeight="1">
      <c r="A723" s="102">
        <v>10671</v>
      </c>
      <c r="B723" s="102">
        <v>14671</v>
      </c>
      <c r="C723" s="102">
        <f t="shared" si="11"/>
        <v>10671</v>
      </c>
      <c r="D723" s="102" t="s">
        <v>498</v>
      </c>
      <c r="E723" s="26"/>
      <c r="F723" s="7" t="s">
        <v>643</v>
      </c>
      <c r="G723" s="22"/>
    </row>
    <row r="724" spans="1:7" ht="20.25" hidden="1" customHeight="1">
      <c r="A724" s="102">
        <v>10672</v>
      </c>
      <c r="B724" s="102">
        <v>14672</v>
      </c>
      <c r="C724" s="102">
        <f t="shared" si="11"/>
        <v>10672</v>
      </c>
      <c r="D724" s="102" t="s">
        <v>498</v>
      </c>
      <c r="E724" s="26"/>
      <c r="F724" s="7" t="s">
        <v>643</v>
      </c>
      <c r="G724" s="22"/>
    </row>
    <row r="725" spans="1:7" ht="20.25" hidden="1" customHeight="1">
      <c r="A725" s="102">
        <v>10673</v>
      </c>
      <c r="B725" s="102">
        <v>14673</v>
      </c>
      <c r="C725" s="102">
        <f t="shared" si="11"/>
        <v>10673</v>
      </c>
      <c r="D725" s="102" t="s">
        <v>498</v>
      </c>
      <c r="E725" s="26"/>
      <c r="F725" s="7" t="s">
        <v>643</v>
      </c>
      <c r="G725" s="22"/>
    </row>
    <row r="726" spans="1:7" ht="20.25" hidden="1" customHeight="1">
      <c r="A726" s="102">
        <v>10674</v>
      </c>
      <c r="B726" s="102">
        <v>14674</v>
      </c>
      <c r="C726" s="102">
        <f t="shared" si="11"/>
        <v>10674</v>
      </c>
      <c r="D726" s="102" t="s">
        <v>498</v>
      </c>
      <c r="E726" s="26"/>
      <c r="F726" s="7" t="s">
        <v>643</v>
      </c>
      <c r="G726" s="22"/>
    </row>
    <row r="727" spans="1:7" ht="20.25" hidden="1" customHeight="1">
      <c r="A727" s="102">
        <v>10675</v>
      </c>
      <c r="B727" s="102">
        <v>14675</v>
      </c>
      <c r="C727" s="102">
        <f t="shared" si="11"/>
        <v>10675</v>
      </c>
      <c r="D727" s="102" t="s">
        <v>498</v>
      </c>
      <c r="E727" s="26"/>
      <c r="F727" s="7" t="s">
        <v>643</v>
      </c>
      <c r="G727" s="22"/>
    </row>
    <row r="728" spans="1:7" ht="20.25" hidden="1" customHeight="1">
      <c r="A728" s="102">
        <v>10676</v>
      </c>
      <c r="B728" s="102">
        <v>14676</v>
      </c>
      <c r="C728" s="102">
        <f t="shared" si="11"/>
        <v>10676</v>
      </c>
      <c r="D728" s="102" t="s">
        <v>498</v>
      </c>
      <c r="E728" s="26"/>
      <c r="F728" s="7" t="s">
        <v>643</v>
      </c>
      <c r="G728" s="22"/>
    </row>
    <row r="729" spans="1:7" ht="20.25" hidden="1" customHeight="1">
      <c r="A729" s="102">
        <v>10677</v>
      </c>
      <c r="B729" s="102">
        <v>14677</v>
      </c>
      <c r="C729" s="102">
        <f t="shared" si="11"/>
        <v>10677</v>
      </c>
      <c r="D729" s="102" t="s">
        <v>498</v>
      </c>
      <c r="E729" s="26"/>
      <c r="F729" s="7" t="s">
        <v>643</v>
      </c>
      <c r="G729" s="22"/>
    </row>
    <row r="730" spans="1:7" ht="20.25" hidden="1" customHeight="1">
      <c r="A730" s="102">
        <v>10678</v>
      </c>
      <c r="B730" s="102">
        <v>14678</v>
      </c>
      <c r="C730" s="102">
        <f t="shared" si="11"/>
        <v>10678</v>
      </c>
      <c r="D730" s="102" t="s">
        <v>498</v>
      </c>
      <c r="E730" s="26"/>
      <c r="F730" s="7" t="s">
        <v>643</v>
      </c>
      <c r="G730" s="22"/>
    </row>
    <row r="731" spans="1:7" ht="20.25" hidden="1" customHeight="1">
      <c r="A731" s="102">
        <v>10679</v>
      </c>
      <c r="B731" s="102">
        <v>14679</v>
      </c>
      <c r="C731" s="102">
        <f t="shared" si="11"/>
        <v>10679</v>
      </c>
      <c r="D731" s="102" t="s">
        <v>498</v>
      </c>
      <c r="E731" s="26"/>
      <c r="F731" s="7" t="s">
        <v>643</v>
      </c>
      <c r="G731" s="22"/>
    </row>
    <row r="732" spans="1:7" ht="20.25" hidden="1" customHeight="1">
      <c r="A732" s="102">
        <v>10680</v>
      </c>
      <c r="B732" s="102">
        <v>14680</v>
      </c>
      <c r="C732" s="102">
        <f t="shared" si="11"/>
        <v>10680</v>
      </c>
      <c r="D732" s="102" t="s">
        <v>498</v>
      </c>
      <c r="E732" s="26"/>
      <c r="F732" s="7" t="s">
        <v>643</v>
      </c>
      <c r="G732" s="22"/>
    </row>
    <row r="733" spans="1:7" ht="20.25" hidden="1" customHeight="1">
      <c r="A733" s="102">
        <v>10681</v>
      </c>
      <c r="B733" s="102">
        <v>14681</v>
      </c>
      <c r="C733" s="102">
        <f t="shared" si="11"/>
        <v>10681</v>
      </c>
      <c r="D733" s="102" t="s">
        <v>498</v>
      </c>
      <c r="E733" s="26"/>
      <c r="F733" s="7" t="s">
        <v>643</v>
      </c>
      <c r="G733" s="22"/>
    </row>
    <row r="734" spans="1:7" ht="20.25" hidden="1" customHeight="1">
      <c r="A734" s="102">
        <v>10682</v>
      </c>
      <c r="B734" s="102">
        <v>14682</v>
      </c>
      <c r="C734" s="102">
        <f t="shared" si="11"/>
        <v>10682</v>
      </c>
      <c r="D734" s="102" t="s">
        <v>498</v>
      </c>
      <c r="E734" s="26"/>
      <c r="F734" s="7" t="s">
        <v>643</v>
      </c>
      <c r="G734" s="22"/>
    </row>
    <row r="735" spans="1:7" ht="20.25" hidden="1" customHeight="1">
      <c r="A735" s="102">
        <v>10683</v>
      </c>
      <c r="B735" s="102">
        <v>14683</v>
      </c>
      <c r="C735" s="102">
        <f t="shared" si="11"/>
        <v>10683</v>
      </c>
      <c r="D735" s="102" t="s">
        <v>498</v>
      </c>
      <c r="E735" s="26"/>
      <c r="F735" s="7" t="s">
        <v>643</v>
      </c>
      <c r="G735" s="22"/>
    </row>
    <row r="736" spans="1:7" ht="20.25" hidden="1" customHeight="1">
      <c r="A736" s="102">
        <v>10684</v>
      </c>
      <c r="B736" s="102">
        <v>14684</v>
      </c>
      <c r="C736" s="102">
        <f t="shared" si="11"/>
        <v>10684</v>
      </c>
      <c r="D736" s="102" t="s">
        <v>498</v>
      </c>
      <c r="E736" s="26"/>
      <c r="F736" s="7" t="s">
        <v>643</v>
      </c>
      <c r="G736" s="22"/>
    </row>
    <row r="737" spans="1:7" ht="20.25" hidden="1" customHeight="1">
      <c r="A737" s="102">
        <v>10685</v>
      </c>
      <c r="B737" s="102">
        <v>14685</v>
      </c>
      <c r="C737" s="102">
        <f t="shared" si="11"/>
        <v>10685</v>
      </c>
      <c r="D737" s="102" t="s">
        <v>498</v>
      </c>
      <c r="E737" s="26"/>
      <c r="F737" s="7" t="s">
        <v>643</v>
      </c>
      <c r="G737" s="22"/>
    </row>
    <row r="738" spans="1:7" ht="20.25" hidden="1" customHeight="1">
      <c r="A738" s="102">
        <v>10686</v>
      </c>
      <c r="B738" s="102">
        <v>14686</v>
      </c>
      <c r="C738" s="102">
        <f t="shared" si="11"/>
        <v>10686</v>
      </c>
      <c r="D738" s="102" t="s">
        <v>498</v>
      </c>
      <c r="E738" s="26"/>
      <c r="F738" s="7" t="s">
        <v>643</v>
      </c>
      <c r="G738" s="22"/>
    </row>
    <row r="739" spans="1:7" ht="20.25" hidden="1" customHeight="1">
      <c r="A739" s="102">
        <v>10687</v>
      </c>
      <c r="B739" s="102">
        <v>14687</v>
      </c>
      <c r="C739" s="102">
        <f t="shared" si="11"/>
        <v>10687</v>
      </c>
      <c r="D739" s="102" t="s">
        <v>498</v>
      </c>
      <c r="E739" s="26"/>
      <c r="F739" s="7" t="s">
        <v>643</v>
      </c>
      <c r="G739" s="22"/>
    </row>
    <row r="740" spans="1:7" ht="20.25" hidden="1" customHeight="1">
      <c r="A740" s="102">
        <v>10688</v>
      </c>
      <c r="B740" s="102">
        <v>14688</v>
      </c>
      <c r="C740" s="102">
        <f t="shared" si="11"/>
        <v>10688</v>
      </c>
      <c r="D740" s="102" t="s">
        <v>498</v>
      </c>
      <c r="E740" s="26"/>
      <c r="F740" s="7" t="s">
        <v>643</v>
      </c>
      <c r="G740" s="22"/>
    </row>
    <row r="741" spans="1:7" ht="20.25" hidden="1" customHeight="1">
      <c r="A741" s="102">
        <v>10689</v>
      </c>
      <c r="B741" s="102">
        <v>14689</v>
      </c>
      <c r="C741" s="102">
        <f t="shared" si="11"/>
        <v>10689</v>
      </c>
      <c r="D741" s="102" t="s">
        <v>498</v>
      </c>
      <c r="E741" s="26"/>
      <c r="F741" s="7" t="s">
        <v>643</v>
      </c>
      <c r="G741" s="22"/>
    </row>
    <row r="742" spans="1:7" ht="20.25" hidden="1" customHeight="1">
      <c r="A742" s="102">
        <v>10690</v>
      </c>
      <c r="B742" s="102">
        <v>14690</v>
      </c>
      <c r="C742" s="102">
        <f t="shared" si="11"/>
        <v>10690</v>
      </c>
      <c r="D742" s="102" t="s">
        <v>498</v>
      </c>
      <c r="E742" s="26"/>
      <c r="F742" s="7" t="s">
        <v>643</v>
      </c>
      <c r="G742" s="22"/>
    </row>
    <row r="743" spans="1:7" ht="20.25" hidden="1" customHeight="1">
      <c r="A743" s="102">
        <v>10691</v>
      </c>
      <c r="B743" s="102">
        <v>14691</v>
      </c>
      <c r="C743" s="102">
        <f t="shared" si="11"/>
        <v>10691</v>
      </c>
      <c r="D743" s="102" t="s">
        <v>498</v>
      </c>
      <c r="E743" s="26"/>
      <c r="F743" s="7" t="s">
        <v>643</v>
      </c>
      <c r="G743" s="22"/>
    </row>
    <row r="744" spans="1:7" ht="20.25" hidden="1" customHeight="1">
      <c r="A744" s="102">
        <v>10692</v>
      </c>
      <c r="B744" s="102">
        <v>14692</v>
      </c>
      <c r="C744" s="102">
        <f t="shared" si="11"/>
        <v>10692</v>
      </c>
      <c r="D744" s="102" t="s">
        <v>498</v>
      </c>
      <c r="E744" s="26"/>
      <c r="F744" s="7" t="s">
        <v>643</v>
      </c>
      <c r="G744" s="22"/>
    </row>
    <row r="745" spans="1:7" ht="20.25" hidden="1" customHeight="1">
      <c r="A745" s="102">
        <v>10693</v>
      </c>
      <c r="B745" s="102">
        <v>14693</v>
      </c>
      <c r="C745" s="102">
        <f t="shared" si="11"/>
        <v>10693</v>
      </c>
      <c r="D745" s="102" t="s">
        <v>498</v>
      </c>
      <c r="E745" s="26"/>
      <c r="F745" s="7" t="s">
        <v>643</v>
      </c>
      <c r="G745" s="22"/>
    </row>
    <row r="746" spans="1:7" ht="20.25" hidden="1" customHeight="1">
      <c r="A746" s="102">
        <v>10694</v>
      </c>
      <c r="B746" s="102">
        <v>14694</v>
      </c>
      <c r="C746" s="102">
        <f t="shared" si="11"/>
        <v>10694</v>
      </c>
      <c r="D746" s="102" t="s">
        <v>498</v>
      </c>
      <c r="E746" s="26"/>
      <c r="F746" s="7" t="s">
        <v>643</v>
      </c>
      <c r="G746" s="22"/>
    </row>
    <row r="747" spans="1:7" ht="20.25" hidden="1" customHeight="1">
      <c r="A747" s="102">
        <v>10695</v>
      </c>
      <c r="B747" s="102">
        <v>14695</v>
      </c>
      <c r="C747" s="102">
        <f t="shared" si="11"/>
        <v>10695</v>
      </c>
      <c r="D747" s="102" t="s">
        <v>498</v>
      </c>
      <c r="E747" s="26"/>
      <c r="F747" s="7" t="s">
        <v>643</v>
      </c>
      <c r="G747" s="22"/>
    </row>
    <row r="748" spans="1:7" ht="20.25" hidden="1" customHeight="1">
      <c r="A748" s="102">
        <v>10696</v>
      </c>
      <c r="B748" s="102">
        <v>14696</v>
      </c>
      <c r="C748" s="102">
        <f t="shared" si="11"/>
        <v>10696</v>
      </c>
      <c r="D748" s="102" t="s">
        <v>498</v>
      </c>
      <c r="E748" s="26"/>
      <c r="F748" s="7" t="s">
        <v>643</v>
      </c>
      <c r="G748" s="22"/>
    </row>
    <row r="749" spans="1:7" ht="20.25" hidden="1" customHeight="1">
      <c r="A749" s="102">
        <v>10697</v>
      </c>
      <c r="B749" s="102">
        <v>14697</v>
      </c>
      <c r="C749" s="102">
        <f t="shared" si="11"/>
        <v>10697</v>
      </c>
      <c r="D749" s="102" t="s">
        <v>498</v>
      </c>
      <c r="E749" s="26"/>
      <c r="F749" s="7" t="s">
        <v>643</v>
      </c>
      <c r="G749" s="22"/>
    </row>
    <row r="750" spans="1:7" ht="20.25" hidden="1" customHeight="1">
      <c r="A750" s="102">
        <v>10698</v>
      </c>
      <c r="B750" s="102">
        <v>14698</v>
      </c>
      <c r="C750" s="102">
        <f t="shared" si="11"/>
        <v>10698</v>
      </c>
      <c r="D750" s="102" t="s">
        <v>498</v>
      </c>
      <c r="E750" s="26"/>
      <c r="F750" s="7" t="s">
        <v>643</v>
      </c>
      <c r="G750" s="22"/>
    </row>
    <row r="751" spans="1:7" ht="20.25" hidden="1" customHeight="1">
      <c r="A751" s="102">
        <v>10699</v>
      </c>
      <c r="B751" s="102">
        <v>14699</v>
      </c>
      <c r="C751" s="102">
        <f t="shared" si="11"/>
        <v>10699</v>
      </c>
      <c r="D751" s="102" t="s">
        <v>498</v>
      </c>
      <c r="E751" s="26"/>
      <c r="F751" s="7" t="s">
        <v>643</v>
      </c>
      <c r="G751" s="22"/>
    </row>
    <row r="752" spans="1:7" ht="20.25" hidden="1" customHeight="1">
      <c r="A752" s="102">
        <v>10700</v>
      </c>
      <c r="B752" s="102">
        <v>14700</v>
      </c>
      <c r="C752" s="102">
        <f t="shared" si="11"/>
        <v>10700</v>
      </c>
      <c r="D752" s="102" t="s">
        <v>498</v>
      </c>
      <c r="E752" s="26" t="s">
        <v>255</v>
      </c>
      <c r="F752" s="7" t="s">
        <v>256</v>
      </c>
      <c r="G752" s="22"/>
    </row>
    <row r="753" spans="1:7" ht="20.25" hidden="1" customHeight="1">
      <c r="A753" s="102">
        <v>10701</v>
      </c>
      <c r="B753" s="102">
        <v>14701</v>
      </c>
      <c r="C753" s="102">
        <f t="shared" si="11"/>
        <v>10701</v>
      </c>
      <c r="D753" s="102" t="s">
        <v>498</v>
      </c>
      <c r="E753" s="26"/>
      <c r="F753" s="7" t="s">
        <v>643</v>
      </c>
      <c r="G753" s="22" t="s">
        <v>2574</v>
      </c>
    </row>
    <row r="754" spans="1:7" ht="20.25" hidden="1" customHeight="1">
      <c r="A754" s="102">
        <v>10702</v>
      </c>
      <c r="B754" s="102">
        <v>14702</v>
      </c>
      <c r="C754" s="102">
        <f t="shared" si="11"/>
        <v>10702</v>
      </c>
      <c r="D754" s="102" t="s">
        <v>498</v>
      </c>
      <c r="E754" s="26" t="s">
        <v>2575</v>
      </c>
      <c r="F754" s="7"/>
      <c r="G754" s="22" t="s">
        <v>2447</v>
      </c>
    </row>
    <row r="755" spans="1:7" ht="20.25" hidden="1" customHeight="1">
      <c r="A755" s="102">
        <v>10703</v>
      </c>
      <c r="B755" s="102">
        <v>14703</v>
      </c>
      <c r="C755" s="102">
        <f t="shared" si="11"/>
        <v>10703</v>
      </c>
      <c r="D755" s="102" t="s">
        <v>498</v>
      </c>
      <c r="E755" s="26" t="s">
        <v>2576</v>
      </c>
      <c r="F755" s="7"/>
      <c r="G755" s="22" t="s">
        <v>2447</v>
      </c>
    </row>
    <row r="756" spans="1:7" ht="20.25" hidden="1" customHeight="1">
      <c r="A756" s="102">
        <v>10704</v>
      </c>
      <c r="B756" s="102">
        <v>14704</v>
      </c>
      <c r="C756" s="102">
        <f t="shared" si="11"/>
        <v>10704</v>
      </c>
      <c r="D756" s="102" t="s">
        <v>498</v>
      </c>
      <c r="E756" s="26" t="s">
        <v>2577</v>
      </c>
      <c r="F756" s="7"/>
      <c r="G756" s="22"/>
    </row>
    <row r="757" spans="1:7" ht="20.25" hidden="1" customHeight="1">
      <c r="A757" s="102">
        <v>10705</v>
      </c>
      <c r="B757" s="102">
        <v>14705</v>
      </c>
      <c r="C757" s="102">
        <f t="shared" si="11"/>
        <v>10705</v>
      </c>
      <c r="D757" s="102" t="s">
        <v>67</v>
      </c>
      <c r="E757" s="26" t="s">
        <v>2578</v>
      </c>
      <c r="F757" s="7"/>
      <c r="G757" s="22"/>
    </row>
    <row r="758" spans="1:7" ht="20.25" hidden="1" customHeight="1">
      <c r="A758" s="102">
        <v>10706</v>
      </c>
      <c r="B758" s="102">
        <v>14706</v>
      </c>
      <c r="C758" s="102">
        <f t="shared" si="11"/>
        <v>10706</v>
      </c>
      <c r="D758" s="102" t="s">
        <v>498</v>
      </c>
      <c r="E758" s="26" t="s">
        <v>2579</v>
      </c>
      <c r="F758" s="10"/>
      <c r="G758" s="22"/>
    </row>
    <row r="759" spans="1:7" ht="20.25" hidden="1" customHeight="1">
      <c r="A759" s="102">
        <v>10707</v>
      </c>
      <c r="B759" s="102">
        <v>14707</v>
      </c>
      <c r="C759" s="102">
        <f t="shared" si="11"/>
        <v>10707</v>
      </c>
      <c r="D759" s="102" t="s">
        <v>498</v>
      </c>
      <c r="E759" s="26" t="s">
        <v>2580</v>
      </c>
      <c r="F759" s="10"/>
      <c r="G759" s="22"/>
    </row>
    <row r="760" spans="1:7" ht="20.25" hidden="1" customHeight="1">
      <c r="A760" s="102">
        <v>10708</v>
      </c>
      <c r="B760" s="102">
        <v>14708</v>
      </c>
      <c r="C760" s="102">
        <f t="shared" si="11"/>
        <v>10708</v>
      </c>
      <c r="D760" s="102" t="s">
        <v>498</v>
      </c>
      <c r="E760" s="26" t="s">
        <v>856</v>
      </c>
      <c r="F760" s="10"/>
      <c r="G760" s="22"/>
    </row>
    <row r="761" spans="1:7" ht="20.25" customHeight="1">
      <c r="A761" s="102">
        <v>10708</v>
      </c>
      <c r="B761" s="102">
        <v>14708</v>
      </c>
      <c r="C761" s="102">
        <f t="shared" si="11"/>
        <v>10708</v>
      </c>
      <c r="D761" s="102" t="s">
        <v>549</v>
      </c>
      <c r="E761" s="26" t="s">
        <v>2581</v>
      </c>
      <c r="F761" s="10"/>
      <c r="G761" s="22"/>
    </row>
    <row r="762" spans="1:7" ht="20.25" hidden="1" customHeight="1">
      <c r="A762" s="102">
        <v>10709</v>
      </c>
      <c r="B762" s="102">
        <v>14709</v>
      </c>
      <c r="C762" s="102">
        <f t="shared" si="11"/>
        <v>10709</v>
      </c>
      <c r="D762" s="102" t="s">
        <v>498</v>
      </c>
      <c r="E762" s="111" t="s">
        <v>2582</v>
      </c>
      <c r="F762" s="10"/>
      <c r="G762" s="22"/>
    </row>
    <row r="763" spans="1:7" ht="20.25" hidden="1" customHeight="1">
      <c r="A763" s="102">
        <v>10710</v>
      </c>
      <c r="B763" s="102">
        <v>14710</v>
      </c>
      <c r="C763" s="102">
        <f t="shared" si="11"/>
        <v>20710</v>
      </c>
      <c r="D763" s="102" t="s">
        <v>498</v>
      </c>
      <c r="E763" s="26" t="s">
        <v>2583</v>
      </c>
      <c r="F763" s="10"/>
      <c r="G763" s="22"/>
    </row>
    <row r="764" spans="1:7" ht="20.25" hidden="1" customHeight="1">
      <c r="A764" s="102">
        <v>10711</v>
      </c>
      <c r="B764" s="102">
        <v>14711</v>
      </c>
      <c r="C764" s="102">
        <f t="shared" si="11"/>
        <v>10711</v>
      </c>
      <c r="D764" s="102" t="s">
        <v>498</v>
      </c>
      <c r="E764" s="26"/>
      <c r="F764" s="7" t="s">
        <v>643</v>
      </c>
      <c r="G764" s="22"/>
    </row>
    <row r="765" spans="1:7" ht="20.25" hidden="1" customHeight="1">
      <c r="A765" s="102">
        <v>10712</v>
      </c>
      <c r="B765" s="102">
        <v>14712</v>
      </c>
      <c r="C765" s="102">
        <f t="shared" si="11"/>
        <v>10712</v>
      </c>
      <c r="D765" s="102" t="s">
        <v>498</v>
      </c>
      <c r="E765" s="26" t="s">
        <v>2584</v>
      </c>
      <c r="F765" s="10"/>
      <c r="G765" s="22"/>
    </row>
    <row r="766" spans="1:7" ht="20.25" hidden="1" customHeight="1">
      <c r="A766" s="102">
        <v>10713</v>
      </c>
      <c r="B766" s="102">
        <v>14713</v>
      </c>
      <c r="C766" s="102">
        <f t="shared" si="11"/>
        <v>10713</v>
      </c>
      <c r="D766" s="102" t="s">
        <v>498</v>
      </c>
      <c r="E766" s="26" t="s">
        <v>2585</v>
      </c>
      <c r="F766" s="10"/>
      <c r="G766" s="22"/>
    </row>
    <row r="767" spans="1:7" ht="20.25" hidden="1" customHeight="1">
      <c r="A767" s="192">
        <v>10714</v>
      </c>
      <c r="B767" s="192">
        <v>14714</v>
      </c>
      <c r="C767" s="102">
        <f t="shared" si="11"/>
        <v>10714</v>
      </c>
      <c r="D767" s="102"/>
      <c r="E767" s="26"/>
      <c r="F767" s="10"/>
      <c r="G767" s="22"/>
    </row>
    <row r="768" spans="1:7" ht="20.25" hidden="1" customHeight="1">
      <c r="A768" s="192">
        <v>10715</v>
      </c>
      <c r="B768" s="192">
        <v>14715</v>
      </c>
      <c r="C768" s="102">
        <f t="shared" si="11"/>
        <v>10715</v>
      </c>
      <c r="D768" s="102" t="s">
        <v>67</v>
      </c>
      <c r="E768" s="26" t="s">
        <v>2586</v>
      </c>
      <c r="F768" s="10"/>
      <c r="G768" s="22"/>
    </row>
    <row r="769" spans="1:7" ht="20.25" hidden="1" customHeight="1">
      <c r="A769" s="192">
        <v>10715</v>
      </c>
      <c r="B769" s="192">
        <v>14715</v>
      </c>
      <c r="C769" s="102">
        <f t="shared" si="11"/>
        <v>10715</v>
      </c>
      <c r="D769" s="102" t="s">
        <v>498</v>
      </c>
      <c r="E769" s="26" t="s">
        <v>2587</v>
      </c>
      <c r="F769" s="10"/>
      <c r="G769" s="22"/>
    </row>
    <row r="770" spans="1:7" ht="20.25" hidden="1" customHeight="1">
      <c r="A770" s="102">
        <v>10716</v>
      </c>
      <c r="B770" s="102">
        <v>14716</v>
      </c>
      <c r="C770" s="102">
        <f t="shared" si="11"/>
        <v>10716</v>
      </c>
      <c r="D770" s="102" t="s">
        <v>498</v>
      </c>
      <c r="E770" s="26" t="s">
        <v>2588</v>
      </c>
      <c r="F770" s="10"/>
      <c r="G770" s="22"/>
    </row>
    <row r="771" spans="1:7" ht="20.25" hidden="1" customHeight="1">
      <c r="A771" s="102">
        <v>10717</v>
      </c>
      <c r="B771" s="102">
        <v>14717</v>
      </c>
      <c r="C771" s="102">
        <f t="shared" ref="C771:C834" si="12">IF(ISERROR(FIND("B_Epic",E771)),A771,A771+10000)</f>
        <v>10717</v>
      </c>
      <c r="D771" s="102" t="s">
        <v>498</v>
      </c>
      <c r="E771" s="26"/>
      <c r="F771" s="7" t="s">
        <v>643</v>
      </c>
      <c r="G771" s="22"/>
    </row>
    <row r="772" spans="1:7" ht="20.25" hidden="1" customHeight="1">
      <c r="A772" s="102">
        <v>10718</v>
      </c>
      <c r="B772" s="102">
        <v>14718</v>
      </c>
      <c r="C772" s="102">
        <f t="shared" si="12"/>
        <v>10718</v>
      </c>
      <c r="D772" s="102" t="s">
        <v>498</v>
      </c>
      <c r="E772" s="26" t="s">
        <v>2589</v>
      </c>
      <c r="F772" s="10"/>
      <c r="G772" s="22"/>
    </row>
    <row r="773" spans="1:7" ht="20.25" hidden="1" customHeight="1">
      <c r="A773" s="102">
        <v>10719</v>
      </c>
      <c r="B773" s="102">
        <v>14719</v>
      </c>
      <c r="C773" s="102">
        <f t="shared" si="12"/>
        <v>10719</v>
      </c>
      <c r="D773" s="102" t="s">
        <v>498</v>
      </c>
      <c r="E773" s="26" t="s">
        <v>2590</v>
      </c>
      <c r="F773" s="10"/>
      <c r="G773" s="22"/>
    </row>
    <row r="774" spans="1:7" ht="20.25" hidden="1" customHeight="1">
      <c r="A774" s="102">
        <v>10721</v>
      </c>
      <c r="B774" s="102">
        <v>14721</v>
      </c>
      <c r="C774" s="102">
        <f t="shared" si="12"/>
        <v>10721</v>
      </c>
      <c r="D774" s="102" t="s">
        <v>498</v>
      </c>
      <c r="E774" s="26" t="s">
        <v>2591</v>
      </c>
      <c r="F774" s="10"/>
      <c r="G774" s="22"/>
    </row>
    <row r="775" spans="1:7" ht="20.25" hidden="1" customHeight="1">
      <c r="A775" s="102">
        <v>10722</v>
      </c>
      <c r="B775" s="102">
        <v>14722</v>
      </c>
      <c r="C775" s="102">
        <f t="shared" si="12"/>
        <v>10722</v>
      </c>
      <c r="D775" s="102" t="s">
        <v>498</v>
      </c>
      <c r="E775" s="26"/>
      <c r="F775" s="7" t="s">
        <v>643</v>
      </c>
      <c r="G775" s="22"/>
    </row>
    <row r="776" spans="1:7" ht="20.25" hidden="1" customHeight="1">
      <c r="A776" s="102">
        <v>10723</v>
      </c>
      <c r="B776" s="102">
        <v>14723</v>
      </c>
      <c r="C776" s="102">
        <f t="shared" si="12"/>
        <v>10723</v>
      </c>
      <c r="D776" s="102" t="s">
        <v>498</v>
      </c>
      <c r="E776" s="26"/>
      <c r="F776" s="7" t="s">
        <v>643</v>
      </c>
      <c r="G776" s="22"/>
    </row>
    <row r="777" spans="1:7" ht="20.25" hidden="1" customHeight="1">
      <c r="A777" s="102">
        <v>10724</v>
      </c>
      <c r="B777" s="102">
        <v>14724</v>
      </c>
      <c r="C777" s="102">
        <f t="shared" si="12"/>
        <v>10724</v>
      </c>
      <c r="D777" s="102" t="s">
        <v>498</v>
      </c>
      <c r="E777" s="26" t="s">
        <v>2592</v>
      </c>
      <c r="F777" s="10"/>
      <c r="G777" s="22"/>
    </row>
    <row r="778" spans="1:7" ht="20.25" hidden="1" customHeight="1">
      <c r="A778" s="102">
        <v>10725</v>
      </c>
      <c r="B778" s="102">
        <v>14725</v>
      </c>
      <c r="C778" s="102">
        <f t="shared" si="12"/>
        <v>10725</v>
      </c>
      <c r="D778" s="102" t="s">
        <v>498</v>
      </c>
      <c r="E778" s="26"/>
      <c r="F778" s="7" t="s">
        <v>643</v>
      </c>
      <c r="G778" s="22"/>
    </row>
    <row r="779" spans="1:7" ht="20.25" hidden="1" customHeight="1">
      <c r="A779" s="102">
        <v>10726</v>
      </c>
      <c r="B779" s="102">
        <v>14726</v>
      </c>
      <c r="C779" s="102">
        <f t="shared" si="12"/>
        <v>10726</v>
      </c>
      <c r="D779" s="102" t="s">
        <v>498</v>
      </c>
      <c r="E779" s="187"/>
      <c r="F779" s="7" t="s">
        <v>643</v>
      </c>
      <c r="G779" s="22"/>
    </row>
    <row r="780" spans="1:7" ht="20.25" hidden="1" customHeight="1">
      <c r="A780" s="102">
        <v>10727</v>
      </c>
      <c r="B780" s="102">
        <v>14727</v>
      </c>
      <c r="C780" s="102">
        <f t="shared" si="12"/>
        <v>10727</v>
      </c>
      <c r="D780" s="102" t="s">
        <v>498</v>
      </c>
      <c r="E780" s="26"/>
      <c r="F780" s="7" t="s">
        <v>643</v>
      </c>
      <c r="G780" s="22"/>
    </row>
    <row r="781" spans="1:7" ht="20.25" hidden="1" customHeight="1">
      <c r="A781" s="102">
        <v>10728</v>
      </c>
      <c r="B781" s="102">
        <v>14728</v>
      </c>
      <c r="C781" s="102">
        <f t="shared" si="12"/>
        <v>10728</v>
      </c>
      <c r="D781" s="102" t="s">
        <v>498</v>
      </c>
      <c r="E781" s="26" t="s">
        <v>2593</v>
      </c>
      <c r="F781" s="10"/>
      <c r="G781" s="22"/>
    </row>
    <row r="782" spans="1:7" ht="20.25" hidden="1" customHeight="1">
      <c r="A782" s="102">
        <v>10729</v>
      </c>
      <c r="B782" s="102">
        <v>14729</v>
      </c>
      <c r="C782" s="102">
        <f t="shared" si="12"/>
        <v>10729</v>
      </c>
      <c r="D782" s="102" t="s">
        <v>67</v>
      </c>
      <c r="E782" s="26" t="s">
        <v>2594</v>
      </c>
      <c r="F782" s="10"/>
      <c r="G782" s="22"/>
    </row>
    <row r="783" spans="1:7" ht="20.25" hidden="1" customHeight="1">
      <c r="A783" s="102">
        <v>10730</v>
      </c>
      <c r="B783" s="102">
        <v>14730</v>
      </c>
      <c r="C783" s="102">
        <f t="shared" si="12"/>
        <v>10730</v>
      </c>
      <c r="D783" s="102" t="s">
        <v>67</v>
      </c>
      <c r="E783" s="26" t="s">
        <v>2595</v>
      </c>
      <c r="F783" s="10"/>
      <c r="G783" s="22"/>
    </row>
    <row r="784" spans="1:7" ht="20.25" hidden="1" customHeight="1">
      <c r="A784" s="102">
        <v>10731</v>
      </c>
      <c r="B784" s="102">
        <v>14731</v>
      </c>
      <c r="C784" s="102">
        <f t="shared" si="12"/>
        <v>10731</v>
      </c>
      <c r="D784" s="102" t="s">
        <v>498</v>
      </c>
      <c r="E784" s="26" t="s">
        <v>2596</v>
      </c>
      <c r="F784" s="10" t="s">
        <v>948</v>
      </c>
      <c r="G784" s="22"/>
    </row>
    <row r="785" spans="1:7" ht="20.25" hidden="1" customHeight="1">
      <c r="A785" s="102">
        <v>10732</v>
      </c>
      <c r="B785" s="102">
        <v>14732</v>
      </c>
      <c r="C785" s="102">
        <f t="shared" si="12"/>
        <v>10732</v>
      </c>
      <c r="D785" s="102" t="s">
        <v>67</v>
      </c>
      <c r="E785" s="26" t="s">
        <v>2597</v>
      </c>
      <c r="F785" s="10"/>
      <c r="G785" s="22"/>
    </row>
    <row r="786" spans="1:7" ht="20.25" hidden="1" customHeight="1">
      <c r="A786" s="102">
        <v>10733</v>
      </c>
      <c r="B786" s="102">
        <v>14733</v>
      </c>
      <c r="C786" s="102">
        <f t="shared" si="12"/>
        <v>10733</v>
      </c>
      <c r="D786" s="102" t="s">
        <v>67</v>
      </c>
      <c r="E786" s="26" t="s">
        <v>2598</v>
      </c>
      <c r="F786" s="10"/>
      <c r="G786" s="22"/>
    </row>
    <row r="787" spans="1:7" ht="20.25" hidden="1" customHeight="1">
      <c r="A787" s="102">
        <v>10734</v>
      </c>
      <c r="B787" s="102">
        <v>14734</v>
      </c>
      <c r="C787" s="102">
        <f t="shared" si="12"/>
        <v>10734</v>
      </c>
      <c r="D787" s="102" t="s">
        <v>67</v>
      </c>
      <c r="E787" s="26" t="s">
        <v>2599</v>
      </c>
      <c r="F787" s="10"/>
      <c r="G787" s="22"/>
    </row>
    <row r="788" spans="1:7" ht="20.25" hidden="1" customHeight="1">
      <c r="A788" s="102">
        <v>10735</v>
      </c>
      <c r="B788" s="102">
        <v>14735</v>
      </c>
      <c r="C788" s="102">
        <f t="shared" si="12"/>
        <v>10735</v>
      </c>
      <c r="D788" s="102" t="s">
        <v>498</v>
      </c>
      <c r="E788" s="26" t="s">
        <v>2600</v>
      </c>
      <c r="F788" s="10"/>
      <c r="G788" s="22"/>
    </row>
    <row r="789" spans="1:7" ht="20.25" customHeight="1">
      <c r="A789" s="102">
        <v>10735</v>
      </c>
      <c r="B789" s="102">
        <v>14735</v>
      </c>
      <c r="C789" s="102">
        <f t="shared" si="12"/>
        <v>10735</v>
      </c>
      <c r="D789" s="102" t="s">
        <v>549</v>
      </c>
      <c r="E789" s="26" t="s">
        <v>2601</v>
      </c>
      <c r="F789" s="10"/>
      <c r="G789" s="22"/>
    </row>
    <row r="790" spans="1:7" ht="20.25" hidden="1" customHeight="1">
      <c r="A790" s="102">
        <v>10736</v>
      </c>
      <c r="B790" s="102">
        <v>14736</v>
      </c>
      <c r="C790" s="102">
        <f t="shared" si="12"/>
        <v>10736</v>
      </c>
      <c r="D790" s="102" t="s">
        <v>67</v>
      </c>
      <c r="E790" s="26" t="s">
        <v>2602</v>
      </c>
      <c r="F790" s="10"/>
      <c r="G790" s="22"/>
    </row>
    <row r="791" spans="1:7" ht="20.25" hidden="1" customHeight="1">
      <c r="A791" s="102">
        <v>10737</v>
      </c>
      <c r="B791" s="102">
        <v>14737</v>
      </c>
      <c r="C791" s="102">
        <f t="shared" si="12"/>
        <v>10737</v>
      </c>
      <c r="D791" s="102" t="s">
        <v>498</v>
      </c>
      <c r="E791" s="26"/>
      <c r="F791" s="7" t="s">
        <v>643</v>
      </c>
      <c r="G791" s="22"/>
    </row>
    <row r="792" spans="1:7" ht="20.25" hidden="1" customHeight="1">
      <c r="A792" s="102">
        <v>10738</v>
      </c>
      <c r="B792" s="102">
        <v>14738</v>
      </c>
      <c r="C792" s="102">
        <f t="shared" si="12"/>
        <v>10738</v>
      </c>
      <c r="D792" s="102" t="s">
        <v>498</v>
      </c>
      <c r="E792" s="26" t="s">
        <v>2603</v>
      </c>
      <c r="F792" s="10"/>
      <c r="G792" s="22"/>
    </row>
    <row r="793" spans="1:7" ht="20.25" hidden="1" customHeight="1">
      <c r="A793" s="102">
        <v>10739</v>
      </c>
      <c r="B793" s="102">
        <v>14739</v>
      </c>
      <c r="C793" s="102">
        <f t="shared" si="12"/>
        <v>10739</v>
      </c>
      <c r="D793" s="102" t="s">
        <v>498</v>
      </c>
      <c r="E793" s="26"/>
      <c r="F793" s="7" t="s">
        <v>643</v>
      </c>
      <c r="G793" s="22"/>
    </row>
    <row r="794" spans="1:7" ht="20.25" hidden="1" customHeight="1">
      <c r="A794" s="102">
        <v>10740</v>
      </c>
      <c r="B794" s="102">
        <v>14740</v>
      </c>
      <c r="C794" s="102">
        <f t="shared" si="12"/>
        <v>10740</v>
      </c>
      <c r="D794" s="102" t="s">
        <v>498</v>
      </c>
      <c r="E794" s="26"/>
      <c r="F794" s="7" t="s">
        <v>643</v>
      </c>
      <c r="G794" s="22"/>
    </row>
    <row r="795" spans="1:7" ht="20.25" hidden="1" customHeight="1">
      <c r="A795" s="102">
        <v>10741</v>
      </c>
      <c r="B795" s="102">
        <v>14741</v>
      </c>
      <c r="C795" s="102">
        <f t="shared" si="12"/>
        <v>10741</v>
      </c>
      <c r="D795" s="102" t="s">
        <v>498</v>
      </c>
      <c r="E795" s="26"/>
      <c r="F795" s="7" t="s">
        <v>643</v>
      </c>
      <c r="G795" s="22"/>
    </row>
    <row r="796" spans="1:7" ht="20.25" hidden="1" customHeight="1">
      <c r="A796" s="102">
        <v>10742</v>
      </c>
      <c r="B796" s="102">
        <v>14742</v>
      </c>
      <c r="C796" s="102">
        <f t="shared" si="12"/>
        <v>10742</v>
      </c>
      <c r="D796" s="102" t="s">
        <v>498</v>
      </c>
      <c r="E796" s="26" t="s">
        <v>2604</v>
      </c>
      <c r="F796" s="10"/>
      <c r="G796" s="22"/>
    </row>
    <row r="797" spans="1:7" ht="20.25" hidden="1" customHeight="1">
      <c r="A797" s="102">
        <v>10743</v>
      </c>
      <c r="B797" s="102">
        <v>14743</v>
      </c>
      <c r="C797" s="102">
        <f t="shared" si="12"/>
        <v>10743</v>
      </c>
      <c r="D797" s="102" t="s">
        <v>498</v>
      </c>
      <c r="E797" s="26"/>
      <c r="F797" s="7" t="s">
        <v>643</v>
      </c>
      <c r="G797" s="22"/>
    </row>
    <row r="798" spans="1:7" ht="20.25" hidden="1" customHeight="1">
      <c r="A798" s="102">
        <v>10744</v>
      </c>
      <c r="B798" s="102">
        <v>14744</v>
      </c>
      <c r="C798" s="102">
        <f t="shared" si="12"/>
        <v>10744</v>
      </c>
      <c r="D798" s="102" t="s">
        <v>498</v>
      </c>
      <c r="E798" s="26"/>
      <c r="F798" s="7" t="s">
        <v>643</v>
      </c>
      <c r="G798" s="22"/>
    </row>
    <row r="799" spans="1:7" ht="20.25" hidden="1" customHeight="1">
      <c r="A799" s="102">
        <v>10745</v>
      </c>
      <c r="B799" s="102">
        <v>14745</v>
      </c>
      <c r="C799" s="102">
        <f t="shared" si="12"/>
        <v>10745</v>
      </c>
      <c r="D799" s="102" t="s">
        <v>498</v>
      </c>
      <c r="E799" s="26"/>
      <c r="F799" s="7" t="s">
        <v>643</v>
      </c>
      <c r="G799" s="22"/>
    </row>
    <row r="800" spans="1:7" ht="20.25" hidden="1" customHeight="1">
      <c r="A800" s="102">
        <v>10746</v>
      </c>
      <c r="B800" s="102">
        <v>14746</v>
      </c>
      <c r="C800" s="102">
        <f t="shared" si="12"/>
        <v>10746</v>
      </c>
      <c r="D800" s="102" t="s">
        <v>498</v>
      </c>
      <c r="E800" s="26"/>
      <c r="F800" s="7" t="s">
        <v>643</v>
      </c>
      <c r="G800" s="22"/>
    </row>
    <row r="801" spans="1:7" ht="20.25" hidden="1" customHeight="1">
      <c r="A801" s="102">
        <v>10747</v>
      </c>
      <c r="B801" s="102">
        <v>14747</v>
      </c>
      <c r="C801" s="102">
        <f t="shared" si="12"/>
        <v>10747</v>
      </c>
      <c r="D801" s="102" t="s">
        <v>498</v>
      </c>
      <c r="E801" s="26" t="s">
        <v>2605</v>
      </c>
      <c r="F801" s="10"/>
      <c r="G801" s="22"/>
    </row>
    <row r="802" spans="1:7" ht="20.25" hidden="1" customHeight="1">
      <c r="A802" s="102">
        <v>10748</v>
      </c>
      <c r="B802" s="102">
        <v>14748</v>
      </c>
      <c r="C802" s="102">
        <f t="shared" si="12"/>
        <v>10748</v>
      </c>
      <c r="D802" s="102" t="s">
        <v>498</v>
      </c>
      <c r="E802" s="26" t="s">
        <v>2606</v>
      </c>
      <c r="F802" s="10"/>
      <c r="G802" s="22"/>
    </row>
    <row r="803" spans="1:7" ht="20.25" hidden="1" customHeight="1">
      <c r="A803" s="102">
        <v>10749</v>
      </c>
      <c r="B803" s="102">
        <v>14749</v>
      </c>
      <c r="C803" s="102">
        <f t="shared" si="12"/>
        <v>10749</v>
      </c>
      <c r="D803" s="102" t="s">
        <v>498</v>
      </c>
      <c r="E803" s="26" t="s">
        <v>2607</v>
      </c>
      <c r="F803" s="10"/>
      <c r="G803" s="22"/>
    </row>
    <row r="804" spans="1:7" ht="20.25" hidden="1" customHeight="1">
      <c r="A804" s="102">
        <v>10750</v>
      </c>
      <c r="B804" s="102">
        <v>14750</v>
      </c>
      <c r="C804" s="102">
        <f t="shared" si="12"/>
        <v>10750</v>
      </c>
      <c r="D804" s="102" t="s">
        <v>498</v>
      </c>
      <c r="E804" s="26" t="s">
        <v>2608</v>
      </c>
      <c r="F804" s="10"/>
      <c r="G804" s="22"/>
    </row>
    <row r="805" spans="1:7" ht="20.25" hidden="1" customHeight="1">
      <c r="A805" s="102">
        <v>10751</v>
      </c>
      <c r="B805" s="102">
        <v>14751</v>
      </c>
      <c r="C805" s="102">
        <f t="shared" si="12"/>
        <v>10751</v>
      </c>
      <c r="D805" s="102" t="s">
        <v>498</v>
      </c>
      <c r="E805" s="26" t="s">
        <v>2609</v>
      </c>
      <c r="F805" s="10" t="s">
        <v>948</v>
      </c>
      <c r="G805" s="22"/>
    </row>
    <row r="806" spans="1:7" ht="20.25" hidden="1" customHeight="1">
      <c r="A806" s="102">
        <v>10752</v>
      </c>
      <c r="B806" s="102">
        <v>14752</v>
      </c>
      <c r="C806" s="102">
        <f t="shared" si="12"/>
        <v>10752</v>
      </c>
      <c r="D806" s="102" t="s">
        <v>498</v>
      </c>
      <c r="E806" s="26"/>
      <c r="F806" s="7" t="s">
        <v>643</v>
      </c>
      <c r="G806" s="22"/>
    </row>
    <row r="807" spans="1:7" ht="20.25" hidden="1" customHeight="1">
      <c r="A807" s="102">
        <v>10753</v>
      </c>
      <c r="B807" s="102">
        <v>14753</v>
      </c>
      <c r="C807" s="102">
        <f t="shared" si="12"/>
        <v>10753</v>
      </c>
      <c r="D807" s="102" t="s">
        <v>498</v>
      </c>
      <c r="E807" s="26"/>
      <c r="F807" s="7" t="s">
        <v>643</v>
      </c>
      <c r="G807" s="22"/>
    </row>
    <row r="808" spans="1:7" ht="20.25" hidden="1" customHeight="1">
      <c r="A808" s="102">
        <v>10754</v>
      </c>
      <c r="B808" s="102">
        <v>14754</v>
      </c>
      <c r="C808" s="102">
        <f t="shared" si="12"/>
        <v>10754</v>
      </c>
      <c r="D808" s="102" t="s">
        <v>498</v>
      </c>
      <c r="E808" s="26"/>
      <c r="F808" s="7" t="s">
        <v>643</v>
      </c>
      <c r="G808" s="22"/>
    </row>
    <row r="809" spans="1:7" ht="20.25" hidden="1" customHeight="1">
      <c r="A809" s="102">
        <v>10755</v>
      </c>
      <c r="B809" s="102">
        <v>14755</v>
      </c>
      <c r="C809" s="102">
        <f t="shared" si="12"/>
        <v>10755</v>
      </c>
      <c r="D809" s="102" t="s">
        <v>498</v>
      </c>
      <c r="E809" s="26"/>
      <c r="F809" s="7" t="s">
        <v>643</v>
      </c>
      <c r="G809" s="22"/>
    </row>
    <row r="810" spans="1:7" ht="20.25" hidden="1" customHeight="1">
      <c r="A810" s="102">
        <v>10756</v>
      </c>
      <c r="B810" s="102">
        <v>14756</v>
      </c>
      <c r="C810" s="102">
        <f t="shared" si="12"/>
        <v>10756</v>
      </c>
      <c r="D810" s="102" t="s">
        <v>498</v>
      </c>
      <c r="E810" s="26"/>
      <c r="F810" s="7" t="s">
        <v>643</v>
      </c>
      <c r="G810" s="22"/>
    </row>
    <row r="811" spans="1:7" ht="20.25" hidden="1" customHeight="1">
      <c r="A811" s="102">
        <v>10757</v>
      </c>
      <c r="B811" s="102">
        <v>14757</v>
      </c>
      <c r="C811" s="102">
        <f t="shared" si="12"/>
        <v>10757</v>
      </c>
      <c r="D811" s="102" t="s">
        <v>498</v>
      </c>
      <c r="E811" s="26"/>
      <c r="F811" s="7" t="s">
        <v>643</v>
      </c>
      <c r="G811" s="22"/>
    </row>
    <row r="812" spans="1:7" ht="20.25" hidden="1" customHeight="1">
      <c r="A812" s="102">
        <v>10758</v>
      </c>
      <c r="B812" s="102">
        <v>14758</v>
      </c>
      <c r="C812" s="102">
        <f t="shared" si="12"/>
        <v>10758</v>
      </c>
      <c r="D812" s="102" t="s">
        <v>498</v>
      </c>
      <c r="E812" s="26" t="s">
        <v>2610</v>
      </c>
      <c r="F812" s="10"/>
      <c r="G812" s="22"/>
    </row>
    <row r="813" spans="1:7" ht="20.25" hidden="1" customHeight="1">
      <c r="A813" s="102">
        <v>10759</v>
      </c>
      <c r="B813" s="102">
        <v>14759</v>
      </c>
      <c r="C813" s="102">
        <f t="shared" si="12"/>
        <v>10759</v>
      </c>
      <c r="D813" s="102" t="s">
        <v>498</v>
      </c>
      <c r="E813" s="26" t="s">
        <v>2611</v>
      </c>
      <c r="F813" s="10"/>
      <c r="G813" s="22"/>
    </row>
    <row r="814" spans="1:7" ht="20.25" hidden="1" customHeight="1">
      <c r="A814" s="102">
        <v>10760</v>
      </c>
      <c r="B814" s="102">
        <v>14760</v>
      </c>
      <c r="C814" s="102">
        <f t="shared" si="12"/>
        <v>10760</v>
      </c>
      <c r="D814" s="102" t="s">
        <v>67</v>
      </c>
      <c r="E814" s="26" t="s">
        <v>2612</v>
      </c>
      <c r="F814" s="10"/>
      <c r="G814" s="22"/>
    </row>
    <row r="815" spans="1:7" ht="20.25" hidden="1" customHeight="1">
      <c r="A815" s="102">
        <v>10761</v>
      </c>
      <c r="B815" s="102">
        <v>14761</v>
      </c>
      <c r="C815" s="102">
        <f t="shared" si="12"/>
        <v>10761</v>
      </c>
      <c r="D815" s="102" t="s">
        <v>498</v>
      </c>
      <c r="E815" s="187" t="s">
        <v>2613</v>
      </c>
      <c r="F815" s="111"/>
      <c r="G815" s="22"/>
    </row>
    <row r="816" spans="1:7" ht="20.25" hidden="1" customHeight="1">
      <c r="A816" s="102">
        <v>10762</v>
      </c>
      <c r="B816" s="102">
        <v>14762</v>
      </c>
      <c r="C816" s="102">
        <f t="shared" si="12"/>
        <v>10762</v>
      </c>
      <c r="D816" s="102" t="s">
        <v>498</v>
      </c>
      <c r="E816" s="26" t="s">
        <v>2614</v>
      </c>
      <c r="F816" s="10"/>
      <c r="G816" s="22"/>
    </row>
    <row r="817" spans="1:7" ht="20.25" hidden="1" customHeight="1">
      <c r="A817" s="102">
        <v>10763</v>
      </c>
      <c r="B817" s="102">
        <v>14763</v>
      </c>
      <c r="C817" s="102">
        <f t="shared" si="12"/>
        <v>10763</v>
      </c>
      <c r="D817" s="102" t="s">
        <v>498</v>
      </c>
      <c r="E817" s="26" t="s">
        <v>2615</v>
      </c>
      <c r="F817" s="10"/>
      <c r="G817" s="22"/>
    </row>
    <row r="818" spans="1:7" ht="20.25" hidden="1" customHeight="1">
      <c r="A818" s="102">
        <v>10764</v>
      </c>
      <c r="B818" s="102">
        <v>14764</v>
      </c>
      <c r="C818" s="102">
        <f t="shared" si="12"/>
        <v>10764</v>
      </c>
      <c r="D818" s="102" t="s">
        <v>498</v>
      </c>
      <c r="E818" s="26" t="s">
        <v>2616</v>
      </c>
      <c r="F818" s="10"/>
      <c r="G818" s="161" t="s">
        <v>2617</v>
      </c>
    </row>
    <row r="819" spans="1:7" ht="20.25" hidden="1" customHeight="1">
      <c r="A819" s="102">
        <v>10765</v>
      </c>
      <c r="B819" s="102">
        <v>14765</v>
      </c>
      <c r="C819" s="102">
        <f t="shared" si="12"/>
        <v>10765</v>
      </c>
      <c r="D819" s="102" t="s">
        <v>498</v>
      </c>
      <c r="E819" s="26" t="s">
        <v>2618</v>
      </c>
      <c r="F819" s="10"/>
      <c r="G819" s="161" t="s">
        <v>2617</v>
      </c>
    </row>
    <row r="820" spans="1:7" ht="20.25" hidden="1" customHeight="1">
      <c r="A820" s="102">
        <v>10766</v>
      </c>
      <c r="B820" s="102">
        <v>14766</v>
      </c>
      <c r="C820" s="102">
        <f t="shared" si="12"/>
        <v>10766</v>
      </c>
      <c r="D820" s="102" t="s">
        <v>498</v>
      </c>
      <c r="E820" s="26" t="s">
        <v>2619</v>
      </c>
      <c r="F820" s="10"/>
      <c r="G820" s="161" t="s">
        <v>2617</v>
      </c>
    </row>
    <row r="821" spans="1:7" ht="20.25" hidden="1" customHeight="1">
      <c r="A821" s="102">
        <v>10767</v>
      </c>
      <c r="B821" s="102">
        <v>14767</v>
      </c>
      <c r="C821" s="102">
        <f t="shared" si="12"/>
        <v>10767</v>
      </c>
      <c r="D821" s="102" t="s">
        <v>498</v>
      </c>
      <c r="E821" s="26" t="s">
        <v>2620</v>
      </c>
      <c r="F821" s="10"/>
      <c r="G821" s="161" t="s">
        <v>2617</v>
      </c>
    </row>
    <row r="822" spans="1:7" ht="20.25" hidden="1" customHeight="1">
      <c r="A822" s="102">
        <v>10768</v>
      </c>
      <c r="B822" s="102">
        <v>14768</v>
      </c>
      <c r="C822" s="102">
        <f t="shared" si="12"/>
        <v>10768</v>
      </c>
      <c r="D822" s="102" t="s">
        <v>498</v>
      </c>
      <c r="E822" s="26"/>
      <c r="F822" s="7" t="s">
        <v>643</v>
      </c>
      <c r="G822" s="161"/>
    </row>
    <row r="823" spans="1:7" ht="20.25" hidden="1" customHeight="1">
      <c r="A823" s="102">
        <v>10769</v>
      </c>
      <c r="B823" s="102">
        <v>14769</v>
      </c>
      <c r="C823" s="102">
        <f t="shared" si="12"/>
        <v>10769</v>
      </c>
      <c r="D823" s="102" t="s">
        <v>498</v>
      </c>
      <c r="E823" s="26" t="s">
        <v>2621</v>
      </c>
      <c r="F823" s="10"/>
      <c r="G823" s="161" t="s">
        <v>2622</v>
      </c>
    </row>
    <row r="824" spans="1:7" ht="20.25" hidden="1" customHeight="1">
      <c r="A824" s="102">
        <v>10770</v>
      </c>
      <c r="B824" s="102">
        <v>14770</v>
      </c>
      <c r="C824" s="102">
        <f t="shared" si="12"/>
        <v>10770</v>
      </c>
      <c r="D824" s="102" t="s">
        <v>498</v>
      </c>
      <c r="E824" s="26" t="s">
        <v>2623</v>
      </c>
      <c r="F824" s="10"/>
      <c r="G824" s="161" t="s">
        <v>2622</v>
      </c>
    </row>
    <row r="825" spans="1:7" ht="20.25" hidden="1" customHeight="1">
      <c r="A825" s="102">
        <v>10771</v>
      </c>
      <c r="B825" s="102">
        <v>14771</v>
      </c>
      <c r="C825" s="102">
        <f t="shared" si="12"/>
        <v>10771</v>
      </c>
      <c r="D825" s="102" t="s">
        <v>498</v>
      </c>
      <c r="E825" s="26" t="s">
        <v>2624</v>
      </c>
      <c r="F825" s="10"/>
      <c r="G825" s="161" t="s">
        <v>2622</v>
      </c>
    </row>
    <row r="826" spans="1:7" ht="20.25" hidden="1" customHeight="1">
      <c r="A826" s="102">
        <v>10772</v>
      </c>
      <c r="B826" s="102">
        <v>14772</v>
      </c>
      <c r="C826" s="102">
        <f t="shared" si="12"/>
        <v>10772</v>
      </c>
      <c r="D826" s="102" t="s">
        <v>498</v>
      </c>
      <c r="E826" s="26" t="s">
        <v>2625</v>
      </c>
      <c r="F826" s="10"/>
      <c r="G826" s="161" t="s">
        <v>2622</v>
      </c>
    </row>
    <row r="827" spans="1:7" ht="20.25" hidden="1" customHeight="1">
      <c r="A827" s="102">
        <v>10773</v>
      </c>
      <c r="B827" s="102">
        <v>14773</v>
      </c>
      <c r="C827" s="102">
        <f t="shared" si="12"/>
        <v>10773</v>
      </c>
      <c r="D827" s="102" t="s">
        <v>498</v>
      </c>
      <c r="E827" s="26" t="s">
        <v>2626</v>
      </c>
      <c r="F827" s="10"/>
      <c r="G827" s="161" t="s">
        <v>2622</v>
      </c>
    </row>
    <row r="828" spans="1:7" ht="20.25" hidden="1" customHeight="1">
      <c r="A828" s="102">
        <v>10774</v>
      </c>
      <c r="B828" s="102">
        <v>14774</v>
      </c>
      <c r="C828" s="102">
        <f t="shared" si="12"/>
        <v>10774</v>
      </c>
      <c r="D828" s="102" t="s">
        <v>498</v>
      </c>
      <c r="E828" s="26" t="s">
        <v>2627</v>
      </c>
      <c r="F828" s="10"/>
      <c r="G828" s="161" t="s">
        <v>2622</v>
      </c>
    </row>
    <row r="829" spans="1:7" ht="20.25" hidden="1" customHeight="1">
      <c r="A829" s="102">
        <v>10775</v>
      </c>
      <c r="B829" s="102">
        <v>14775</v>
      </c>
      <c r="C829" s="102">
        <f t="shared" si="12"/>
        <v>10775</v>
      </c>
      <c r="D829" s="102" t="s">
        <v>498</v>
      </c>
      <c r="E829" s="26" t="s">
        <v>2628</v>
      </c>
      <c r="F829" s="10" t="s">
        <v>2629</v>
      </c>
      <c r="G829" s="161" t="s">
        <v>697</v>
      </c>
    </row>
    <row r="830" spans="1:7" ht="20.25" hidden="1" customHeight="1">
      <c r="A830" s="102">
        <v>10776</v>
      </c>
      <c r="B830" s="102">
        <v>14776</v>
      </c>
      <c r="C830" s="102">
        <f t="shared" si="12"/>
        <v>10776</v>
      </c>
      <c r="D830" s="102" t="s">
        <v>498</v>
      </c>
      <c r="E830" s="26" t="s">
        <v>2630</v>
      </c>
      <c r="F830" s="10"/>
      <c r="G830" s="161" t="s">
        <v>2622</v>
      </c>
    </row>
    <row r="831" spans="1:7" ht="20.25" hidden="1" customHeight="1">
      <c r="A831" s="102">
        <v>10777</v>
      </c>
      <c r="B831" s="102">
        <v>14777</v>
      </c>
      <c r="C831" s="102">
        <f t="shared" si="12"/>
        <v>10777</v>
      </c>
      <c r="D831" s="102" t="s">
        <v>498</v>
      </c>
      <c r="E831" s="26" t="s">
        <v>2631</v>
      </c>
      <c r="F831" s="10"/>
      <c r="G831" s="161" t="s">
        <v>2622</v>
      </c>
    </row>
    <row r="832" spans="1:7" ht="20.25" hidden="1" customHeight="1">
      <c r="A832" s="102">
        <v>10778</v>
      </c>
      <c r="B832" s="102">
        <v>14778</v>
      </c>
      <c r="C832" s="102">
        <f t="shared" si="12"/>
        <v>10778</v>
      </c>
      <c r="D832" s="102" t="s">
        <v>498</v>
      </c>
      <c r="E832" s="26" t="s">
        <v>2632</v>
      </c>
      <c r="F832" s="10"/>
      <c r="G832" s="161" t="s">
        <v>2622</v>
      </c>
    </row>
    <row r="833" spans="1:7" ht="20.25" hidden="1" customHeight="1">
      <c r="A833" s="102">
        <v>10779</v>
      </c>
      <c r="B833" s="102">
        <v>14779</v>
      </c>
      <c r="C833" s="102">
        <f t="shared" si="12"/>
        <v>10779</v>
      </c>
      <c r="D833" s="102" t="s">
        <v>498</v>
      </c>
      <c r="E833" s="26" t="s">
        <v>2633</v>
      </c>
      <c r="F833" s="10"/>
      <c r="G833" s="161" t="s">
        <v>2622</v>
      </c>
    </row>
    <row r="834" spans="1:7" ht="20.25" hidden="1" customHeight="1">
      <c r="A834" s="102">
        <v>10780</v>
      </c>
      <c r="B834" s="102">
        <v>14780</v>
      </c>
      <c r="C834" s="102">
        <f t="shared" si="12"/>
        <v>10780</v>
      </c>
      <c r="D834" s="102" t="s">
        <v>498</v>
      </c>
      <c r="E834" s="26" t="s">
        <v>2634</v>
      </c>
      <c r="F834" s="10"/>
      <c r="G834" s="161" t="s">
        <v>2622</v>
      </c>
    </row>
    <row r="835" spans="1:7" ht="20.25" hidden="1" customHeight="1">
      <c r="A835" s="102">
        <v>10781</v>
      </c>
      <c r="B835" s="102">
        <v>14781</v>
      </c>
      <c r="C835" s="102">
        <f t="shared" ref="C835:C898" si="13">IF(ISERROR(FIND("B_Epic",E835)),A835,A835+10000)</f>
        <v>10781</v>
      </c>
      <c r="D835" s="102" t="s">
        <v>498</v>
      </c>
      <c r="E835" s="26" t="s">
        <v>2635</v>
      </c>
      <c r="F835" s="10"/>
      <c r="G835" s="161" t="s">
        <v>2622</v>
      </c>
    </row>
    <row r="836" spans="1:7" ht="20.25" hidden="1" customHeight="1">
      <c r="A836" s="102">
        <v>10782</v>
      </c>
      <c r="B836" s="102">
        <v>14782</v>
      </c>
      <c r="C836" s="102">
        <f t="shared" si="13"/>
        <v>10782</v>
      </c>
      <c r="D836" s="102" t="s">
        <v>498</v>
      </c>
      <c r="E836" s="26" t="s">
        <v>2636</v>
      </c>
      <c r="F836" s="10" t="s">
        <v>2629</v>
      </c>
      <c r="G836" s="161" t="s">
        <v>697</v>
      </c>
    </row>
    <row r="837" spans="1:7" ht="20.25" hidden="1" customHeight="1">
      <c r="A837" s="102">
        <v>10783</v>
      </c>
      <c r="B837" s="102">
        <v>14783</v>
      </c>
      <c r="C837" s="102">
        <f t="shared" si="13"/>
        <v>10783</v>
      </c>
      <c r="D837" s="102" t="s">
        <v>498</v>
      </c>
      <c r="E837" s="26" t="s">
        <v>2637</v>
      </c>
      <c r="F837" s="10"/>
      <c r="G837" s="161" t="s">
        <v>2622</v>
      </c>
    </row>
    <row r="838" spans="1:7" ht="20.25" hidden="1" customHeight="1">
      <c r="A838" s="102">
        <v>10784</v>
      </c>
      <c r="B838" s="102">
        <v>14784</v>
      </c>
      <c r="C838" s="102">
        <f t="shared" si="13"/>
        <v>10784</v>
      </c>
      <c r="D838" s="102" t="s">
        <v>67</v>
      </c>
      <c r="E838" s="26" t="s">
        <v>2638</v>
      </c>
      <c r="F838" s="10"/>
      <c r="G838" s="22"/>
    </row>
    <row r="839" spans="1:7" ht="20.25" hidden="1" customHeight="1">
      <c r="A839" s="102">
        <v>10785</v>
      </c>
      <c r="B839" s="102">
        <v>14785</v>
      </c>
      <c r="C839" s="102">
        <f t="shared" si="13"/>
        <v>10785</v>
      </c>
      <c r="D839" s="102" t="s">
        <v>67</v>
      </c>
      <c r="E839" s="26" t="s">
        <v>2639</v>
      </c>
      <c r="F839" s="10"/>
      <c r="G839" s="22"/>
    </row>
    <row r="840" spans="1:7" ht="20.25" hidden="1" customHeight="1">
      <c r="A840" s="102">
        <v>10786</v>
      </c>
      <c r="B840" s="102">
        <v>14786</v>
      </c>
      <c r="C840" s="102">
        <f t="shared" si="13"/>
        <v>10786</v>
      </c>
      <c r="D840" s="102" t="s">
        <v>67</v>
      </c>
      <c r="E840" s="26" t="s">
        <v>2640</v>
      </c>
      <c r="F840" s="10"/>
      <c r="G840" s="22"/>
    </row>
    <row r="841" spans="1:7" ht="20.25" hidden="1" customHeight="1">
      <c r="A841" s="102">
        <v>10787</v>
      </c>
      <c r="B841" s="102">
        <v>14787</v>
      </c>
      <c r="C841" s="102">
        <f t="shared" si="13"/>
        <v>10787</v>
      </c>
      <c r="D841" s="102" t="s">
        <v>67</v>
      </c>
      <c r="E841" s="26" t="s">
        <v>2641</v>
      </c>
      <c r="F841" s="10"/>
      <c r="G841" s="22"/>
    </row>
    <row r="842" spans="1:7" ht="20.25" hidden="1" customHeight="1">
      <c r="A842" s="102">
        <v>10788</v>
      </c>
      <c r="B842" s="102">
        <v>14788</v>
      </c>
      <c r="C842" s="102">
        <f t="shared" si="13"/>
        <v>20788</v>
      </c>
      <c r="D842" s="102" t="s">
        <v>498</v>
      </c>
      <c r="E842" s="26" t="s">
        <v>2642</v>
      </c>
      <c r="F842" s="10"/>
      <c r="G842" s="22" t="s">
        <v>2089</v>
      </c>
    </row>
    <row r="843" spans="1:7" ht="20.25" hidden="1" customHeight="1">
      <c r="A843" s="102">
        <v>10789</v>
      </c>
      <c r="B843" s="102">
        <v>14789</v>
      </c>
      <c r="C843" s="102">
        <f t="shared" si="13"/>
        <v>10789</v>
      </c>
      <c r="D843" s="102" t="s">
        <v>67</v>
      </c>
      <c r="E843" s="26" t="s">
        <v>2643</v>
      </c>
      <c r="F843" s="10"/>
      <c r="G843" s="22"/>
    </row>
    <row r="844" spans="1:7" ht="20.25" hidden="1" customHeight="1">
      <c r="A844" s="102">
        <v>10790</v>
      </c>
      <c r="B844" s="102">
        <v>14790</v>
      </c>
      <c r="C844" s="102">
        <f t="shared" si="13"/>
        <v>10790</v>
      </c>
      <c r="D844" s="102" t="s">
        <v>67</v>
      </c>
      <c r="E844" s="26" t="s">
        <v>2644</v>
      </c>
      <c r="F844" s="10"/>
      <c r="G844" s="22"/>
    </row>
    <row r="845" spans="1:7" ht="20.25" hidden="1" customHeight="1">
      <c r="A845" s="102">
        <v>10791</v>
      </c>
      <c r="B845" s="102">
        <v>14791</v>
      </c>
      <c r="C845" s="102">
        <f t="shared" si="13"/>
        <v>10791</v>
      </c>
      <c r="D845" s="102" t="s">
        <v>67</v>
      </c>
      <c r="E845" s="26" t="s">
        <v>2645</v>
      </c>
      <c r="F845" s="10"/>
      <c r="G845" s="22"/>
    </row>
    <row r="846" spans="1:7" ht="20.25" hidden="1" customHeight="1">
      <c r="A846" s="102">
        <v>10792</v>
      </c>
      <c r="B846" s="102">
        <v>14792</v>
      </c>
      <c r="C846" s="102">
        <f t="shared" si="13"/>
        <v>10792</v>
      </c>
      <c r="D846" s="102" t="s">
        <v>498</v>
      </c>
      <c r="E846" s="26" t="s">
        <v>2646</v>
      </c>
      <c r="F846" s="7"/>
      <c r="G846" s="22" t="s">
        <v>2042</v>
      </c>
    </row>
    <row r="847" spans="1:7" ht="20.25" hidden="1" customHeight="1">
      <c r="A847" s="102">
        <v>10793</v>
      </c>
      <c r="B847" s="102">
        <v>14793</v>
      </c>
      <c r="C847" s="102">
        <f t="shared" si="13"/>
        <v>10793</v>
      </c>
      <c r="D847" s="102" t="s">
        <v>498</v>
      </c>
      <c r="E847" s="26" t="s">
        <v>2647</v>
      </c>
      <c r="F847" s="10"/>
      <c r="G847" s="161" t="s">
        <v>2622</v>
      </c>
    </row>
    <row r="848" spans="1:7" ht="20.25" hidden="1" customHeight="1">
      <c r="A848" s="102">
        <v>10794</v>
      </c>
      <c r="B848" s="102">
        <v>14794</v>
      </c>
      <c r="C848" s="102">
        <f t="shared" si="13"/>
        <v>20794</v>
      </c>
      <c r="D848" s="102" t="s">
        <v>498</v>
      </c>
      <c r="E848" s="26" t="s">
        <v>2648</v>
      </c>
      <c r="F848" s="10"/>
      <c r="G848" s="161" t="s">
        <v>2622</v>
      </c>
    </row>
    <row r="849" spans="1:7" ht="20.25" hidden="1" customHeight="1">
      <c r="A849" s="102">
        <v>10795</v>
      </c>
      <c r="B849" s="102">
        <v>14795</v>
      </c>
      <c r="C849" s="102">
        <f t="shared" si="13"/>
        <v>10795</v>
      </c>
      <c r="D849" s="102" t="s">
        <v>67</v>
      </c>
      <c r="E849" s="26" t="s">
        <v>2649</v>
      </c>
      <c r="F849" s="10"/>
      <c r="G849" s="22"/>
    </row>
    <row r="850" spans="1:7" ht="20.25" hidden="1" customHeight="1">
      <c r="A850" s="102">
        <v>10796</v>
      </c>
      <c r="B850" s="102">
        <v>14796</v>
      </c>
      <c r="C850" s="102">
        <f t="shared" si="13"/>
        <v>10796</v>
      </c>
      <c r="D850" s="102" t="s">
        <v>67</v>
      </c>
      <c r="E850" s="26" t="s">
        <v>2650</v>
      </c>
      <c r="F850" s="10"/>
      <c r="G850" s="22"/>
    </row>
    <row r="851" spans="1:7" ht="20.25" hidden="1" customHeight="1">
      <c r="A851" s="102">
        <v>10797</v>
      </c>
      <c r="B851" s="102">
        <v>14797</v>
      </c>
      <c r="C851" s="102">
        <f t="shared" si="13"/>
        <v>10797</v>
      </c>
      <c r="D851" s="102" t="s">
        <v>498</v>
      </c>
      <c r="E851" s="26"/>
      <c r="F851" s="7" t="s">
        <v>643</v>
      </c>
      <c r="G851" s="22"/>
    </row>
    <row r="852" spans="1:7" ht="20.25" hidden="1" customHeight="1">
      <c r="A852" s="102">
        <v>10798</v>
      </c>
      <c r="B852" s="102">
        <v>14798</v>
      </c>
      <c r="C852" s="102">
        <f t="shared" si="13"/>
        <v>10798</v>
      </c>
      <c r="D852" s="102" t="s">
        <v>498</v>
      </c>
      <c r="E852" s="26" t="s">
        <v>2651</v>
      </c>
      <c r="F852" s="10"/>
      <c r="G852" s="22" t="s">
        <v>2042</v>
      </c>
    </row>
    <row r="853" spans="1:7" ht="20.25" hidden="1" customHeight="1">
      <c r="A853" s="102">
        <v>10799</v>
      </c>
      <c r="B853" s="102">
        <v>14799</v>
      </c>
      <c r="C853" s="102">
        <f t="shared" si="13"/>
        <v>10799</v>
      </c>
      <c r="D853" s="102" t="s">
        <v>67</v>
      </c>
      <c r="E853" s="26" t="s">
        <v>2652</v>
      </c>
      <c r="F853" s="10"/>
      <c r="G853" s="22"/>
    </row>
    <row r="854" spans="1:7" ht="20.25" hidden="1" customHeight="1">
      <c r="A854" s="102">
        <v>10800</v>
      </c>
      <c r="B854" s="102">
        <v>14800</v>
      </c>
      <c r="C854" s="102">
        <f t="shared" si="13"/>
        <v>10800</v>
      </c>
      <c r="D854" s="102" t="s">
        <v>67</v>
      </c>
      <c r="E854" s="26" t="s">
        <v>2653</v>
      </c>
      <c r="F854" s="10"/>
      <c r="G854" s="22"/>
    </row>
    <row r="855" spans="1:7" ht="20.25" hidden="1" customHeight="1">
      <c r="A855" s="102">
        <v>10801</v>
      </c>
      <c r="B855" s="102">
        <v>14801</v>
      </c>
      <c r="C855" s="102">
        <f t="shared" si="13"/>
        <v>10801</v>
      </c>
      <c r="D855" s="102" t="s">
        <v>498</v>
      </c>
      <c r="E855" s="26"/>
      <c r="F855" s="7" t="s">
        <v>643</v>
      </c>
      <c r="G855" s="22"/>
    </row>
    <row r="856" spans="1:7" ht="20.25" hidden="1" customHeight="1">
      <c r="A856" s="102">
        <v>10802</v>
      </c>
      <c r="B856" s="102">
        <v>14802</v>
      </c>
      <c r="C856" s="102">
        <f t="shared" si="13"/>
        <v>10802</v>
      </c>
      <c r="D856" s="102" t="s">
        <v>498</v>
      </c>
      <c r="E856" s="26"/>
      <c r="F856" s="7" t="s">
        <v>643</v>
      </c>
      <c r="G856" s="22"/>
    </row>
    <row r="857" spans="1:7" ht="20.25" hidden="1" customHeight="1">
      <c r="A857" s="102">
        <v>10803</v>
      </c>
      <c r="B857" s="102">
        <v>14803</v>
      </c>
      <c r="C857" s="102">
        <f t="shared" si="13"/>
        <v>10803</v>
      </c>
      <c r="D857" s="102" t="s">
        <v>498</v>
      </c>
      <c r="E857" s="26"/>
      <c r="F857" s="7" t="s">
        <v>643</v>
      </c>
    </row>
    <row r="858" spans="1:7" ht="20.25" hidden="1" customHeight="1">
      <c r="A858" s="102">
        <v>10804</v>
      </c>
      <c r="B858" s="102">
        <v>14804</v>
      </c>
      <c r="C858" s="102">
        <f t="shared" si="13"/>
        <v>10804</v>
      </c>
      <c r="D858" s="102" t="s">
        <v>498</v>
      </c>
      <c r="E858" s="26" t="s">
        <v>1976</v>
      </c>
      <c r="F858" s="10" t="s">
        <v>948</v>
      </c>
      <c r="G858" s="22"/>
    </row>
    <row r="859" spans="1:7" ht="20.25" hidden="1" customHeight="1">
      <c r="A859" s="102">
        <v>10805</v>
      </c>
      <c r="B859" s="102">
        <v>14805</v>
      </c>
      <c r="C859" s="102">
        <f t="shared" si="13"/>
        <v>10805</v>
      </c>
      <c r="D859" s="102" t="s">
        <v>67</v>
      </c>
      <c r="E859" s="26" t="s">
        <v>2654</v>
      </c>
      <c r="F859" s="10"/>
      <c r="G859" s="22"/>
    </row>
    <row r="860" spans="1:7" ht="20.25" hidden="1" customHeight="1">
      <c r="A860" s="102">
        <v>10806</v>
      </c>
      <c r="B860" s="102">
        <v>14806</v>
      </c>
      <c r="C860" s="102">
        <f t="shared" si="13"/>
        <v>10806</v>
      </c>
      <c r="D860" s="102" t="s">
        <v>498</v>
      </c>
      <c r="E860" s="26" t="s">
        <v>2655</v>
      </c>
      <c r="F860" s="10"/>
      <c r="G860" s="22"/>
    </row>
    <row r="861" spans="1:7" ht="20.25" hidden="1" customHeight="1">
      <c r="A861" s="102">
        <v>10807</v>
      </c>
      <c r="B861" s="102">
        <v>14807</v>
      </c>
      <c r="C861" s="102">
        <f t="shared" si="13"/>
        <v>10807</v>
      </c>
      <c r="D861" s="102" t="s">
        <v>498</v>
      </c>
      <c r="E861" s="115" t="s">
        <v>2656</v>
      </c>
      <c r="F861" s="10"/>
      <c r="G861" s="22"/>
    </row>
    <row r="862" spans="1:7" ht="20.25" hidden="1" customHeight="1">
      <c r="A862" s="102">
        <v>10808</v>
      </c>
      <c r="B862" s="102">
        <v>14808</v>
      </c>
      <c r="C862" s="102">
        <f t="shared" si="13"/>
        <v>10808</v>
      </c>
      <c r="D862" s="102" t="s">
        <v>498</v>
      </c>
      <c r="E862" s="187" t="s">
        <v>2657</v>
      </c>
      <c r="F862" s="10"/>
      <c r="G862" s="22"/>
    </row>
    <row r="863" spans="1:7" ht="20.25" hidden="1" customHeight="1">
      <c r="A863" s="102">
        <v>10809</v>
      </c>
      <c r="B863" s="102">
        <v>14809</v>
      </c>
      <c r="C863" s="102">
        <f t="shared" si="13"/>
        <v>10809</v>
      </c>
      <c r="D863" s="102" t="s">
        <v>498</v>
      </c>
      <c r="E863" s="26" t="s">
        <v>2658</v>
      </c>
      <c r="F863" s="10"/>
      <c r="G863" s="22"/>
    </row>
    <row r="864" spans="1:7" ht="20.25" hidden="1" customHeight="1">
      <c r="A864" s="102">
        <v>10810</v>
      </c>
      <c r="B864" s="102">
        <v>14810</v>
      </c>
      <c r="C864" s="102">
        <f t="shared" si="13"/>
        <v>10810</v>
      </c>
      <c r="D864" s="102" t="s">
        <v>498</v>
      </c>
      <c r="E864" s="26" t="s">
        <v>2659</v>
      </c>
      <c r="F864" s="10"/>
      <c r="G864" s="22"/>
    </row>
    <row r="865" spans="1:7" ht="20.25" hidden="1" customHeight="1">
      <c r="A865" s="102">
        <v>10811</v>
      </c>
      <c r="B865" s="102">
        <v>14811</v>
      </c>
      <c r="C865" s="102">
        <f t="shared" si="13"/>
        <v>10811</v>
      </c>
      <c r="D865" s="102" t="s">
        <v>498</v>
      </c>
      <c r="E865" s="26"/>
      <c r="F865" s="7" t="s">
        <v>643</v>
      </c>
      <c r="G865" s="22"/>
    </row>
    <row r="866" spans="1:7" ht="20.25" hidden="1" customHeight="1">
      <c r="A866" s="102">
        <v>10812</v>
      </c>
      <c r="B866" s="102">
        <v>14812</v>
      </c>
      <c r="C866" s="102">
        <f t="shared" si="13"/>
        <v>10812</v>
      </c>
      <c r="D866" s="102" t="s">
        <v>498</v>
      </c>
      <c r="E866" s="26"/>
      <c r="F866" s="7" t="s">
        <v>643</v>
      </c>
      <c r="G866" s="22"/>
    </row>
    <row r="867" spans="1:7" ht="20.25" hidden="1" customHeight="1">
      <c r="A867" s="102">
        <v>10813</v>
      </c>
      <c r="B867" s="102">
        <v>14813</v>
      </c>
      <c r="C867" s="102">
        <f t="shared" si="13"/>
        <v>10813</v>
      </c>
      <c r="D867" s="102" t="s">
        <v>498</v>
      </c>
      <c r="E867" s="26"/>
      <c r="F867" s="7" t="s">
        <v>643</v>
      </c>
      <c r="G867" s="22"/>
    </row>
    <row r="868" spans="1:7" ht="20.25" hidden="1" customHeight="1">
      <c r="A868" s="102">
        <v>10814</v>
      </c>
      <c r="B868" s="102">
        <v>14814</v>
      </c>
      <c r="C868" s="102">
        <f t="shared" si="13"/>
        <v>10814</v>
      </c>
      <c r="D868" s="102" t="s">
        <v>67</v>
      </c>
      <c r="E868" s="26" t="s">
        <v>2660</v>
      </c>
      <c r="F868" s="10"/>
      <c r="G868" s="22"/>
    </row>
    <row r="869" spans="1:7" ht="20.25" hidden="1" customHeight="1">
      <c r="A869" s="102">
        <v>10814</v>
      </c>
      <c r="B869" s="102">
        <v>14814</v>
      </c>
      <c r="C869" s="102">
        <f t="shared" si="13"/>
        <v>10814</v>
      </c>
      <c r="D869" s="102" t="s">
        <v>498</v>
      </c>
      <c r="E869" s="26" t="s">
        <v>2661</v>
      </c>
      <c r="F869" s="10"/>
      <c r="G869" s="22"/>
    </row>
    <row r="870" spans="1:7" ht="20.25" hidden="1" customHeight="1">
      <c r="A870" s="102">
        <v>10815</v>
      </c>
      <c r="B870" s="102">
        <v>14815</v>
      </c>
      <c r="C870" s="102">
        <f t="shared" si="13"/>
        <v>10815</v>
      </c>
      <c r="D870" s="102" t="s">
        <v>498</v>
      </c>
      <c r="E870" s="187" t="s">
        <v>2662</v>
      </c>
      <c r="F870" s="10"/>
      <c r="G870" s="171" t="s">
        <v>697</v>
      </c>
    </row>
    <row r="871" spans="1:7" ht="20.25" hidden="1" customHeight="1">
      <c r="A871" s="102">
        <v>10816</v>
      </c>
      <c r="B871" s="102">
        <v>14816</v>
      </c>
      <c r="C871" s="102">
        <f t="shared" si="13"/>
        <v>10816</v>
      </c>
      <c r="D871" s="102" t="s">
        <v>498</v>
      </c>
      <c r="E871" s="26" t="s">
        <v>2663</v>
      </c>
      <c r="F871" s="10"/>
      <c r="G871" s="22"/>
    </row>
    <row r="872" spans="1:7" ht="20.25" hidden="1" customHeight="1">
      <c r="A872" s="102">
        <v>10817</v>
      </c>
      <c r="B872" s="102">
        <v>14817</v>
      </c>
      <c r="C872" s="102">
        <f t="shared" si="13"/>
        <v>10817</v>
      </c>
      <c r="D872" s="102" t="s">
        <v>498</v>
      </c>
      <c r="E872" s="26" t="s">
        <v>2664</v>
      </c>
      <c r="F872" s="111"/>
      <c r="G872" s="20" t="s">
        <v>2665</v>
      </c>
    </row>
    <row r="873" spans="1:7" ht="20.25" hidden="1" customHeight="1">
      <c r="A873" s="102">
        <v>10818</v>
      </c>
      <c r="B873" s="102">
        <v>14818</v>
      </c>
      <c r="C873" s="102">
        <f t="shared" si="13"/>
        <v>10818</v>
      </c>
      <c r="D873" s="102" t="s">
        <v>498</v>
      </c>
      <c r="E873" s="26" t="s">
        <v>2666</v>
      </c>
      <c r="F873" s="10"/>
      <c r="G873" s="19" t="s">
        <v>2665</v>
      </c>
    </row>
    <row r="874" spans="1:7" ht="20.25" hidden="1" customHeight="1">
      <c r="A874" s="102">
        <v>10819</v>
      </c>
      <c r="B874" s="102">
        <v>14819</v>
      </c>
      <c r="C874" s="102">
        <f t="shared" si="13"/>
        <v>10819</v>
      </c>
      <c r="D874" s="102" t="s">
        <v>67</v>
      </c>
      <c r="E874" s="26" t="s">
        <v>2667</v>
      </c>
      <c r="F874" s="10"/>
      <c r="G874" s="22" t="s">
        <v>2077</v>
      </c>
    </row>
    <row r="875" spans="1:7" ht="20.25" hidden="1" customHeight="1">
      <c r="A875" s="102">
        <v>10820</v>
      </c>
      <c r="B875" s="102">
        <v>14820</v>
      </c>
      <c r="C875" s="102">
        <f t="shared" si="13"/>
        <v>10820</v>
      </c>
      <c r="D875" s="102" t="s">
        <v>67</v>
      </c>
      <c r="E875" s="26" t="s">
        <v>2668</v>
      </c>
      <c r="F875" s="10"/>
      <c r="G875" s="22" t="s">
        <v>2077</v>
      </c>
    </row>
    <row r="876" spans="1:7" ht="20.25" hidden="1" customHeight="1">
      <c r="A876" s="102">
        <v>10821</v>
      </c>
      <c r="B876" s="102">
        <v>14821</v>
      </c>
      <c r="C876" s="102">
        <f t="shared" si="13"/>
        <v>10821</v>
      </c>
      <c r="D876" s="102" t="s">
        <v>498</v>
      </c>
      <c r="E876" s="26"/>
      <c r="F876" s="7" t="s">
        <v>643</v>
      </c>
      <c r="G876" s="22"/>
    </row>
    <row r="877" spans="1:7" ht="20.25" hidden="1" customHeight="1">
      <c r="A877" s="102">
        <v>10822</v>
      </c>
      <c r="B877" s="102">
        <v>14822</v>
      </c>
      <c r="C877" s="102">
        <f t="shared" si="13"/>
        <v>10822</v>
      </c>
      <c r="D877" s="102" t="s">
        <v>498</v>
      </c>
      <c r="E877" s="26"/>
      <c r="F877" s="7" t="s">
        <v>643</v>
      </c>
      <c r="G877" s="22"/>
    </row>
    <row r="878" spans="1:7" ht="20.25" hidden="1" customHeight="1">
      <c r="A878" s="102">
        <v>10823</v>
      </c>
      <c r="B878" s="102">
        <v>14823</v>
      </c>
      <c r="C878" s="102">
        <f t="shared" si="13"/>
        <v>10823</v>
      </c>
      <c r="D878" s="102" t="s">
        <v>498</v>
      </c>
      <c r="E878" s="26"/>
      <c r="F878" s="7" t="s">
        <v>643</v>
      </c>
      <c r="G878" s="22"/>
    </row>
    <row r="879" spans="1:7" ht="20.25" hidden="1" customHeight="1">
      <c r="A879" s="102">
        <v>10824</v>
      </c>
      <c r="B879" s="102">
        <v>14824</v>
      </c>
      <c r="C879" s="102">
        <f t="shared" si="13"/>
        <v>10824</v>
      </c>
      <c r="D879" s="102" t="s">
        <v>498</v>
      </c>
      <c r="E879" s="26"/>
      <c r="F879" s="7" t="s">
        <v>643</v>
      </c>
      <c r="G879" s="22"/>
    </row>
    <row r="880" spans="1:7" ht="20.25" hidden="1" customHeight="1">
      <c r="A880" s="102">
        <v>10825</v>
      </c>
      <c r="B880" s="102">
        <v>14825</v>
      </c>
      <c r="C880" s="102">
        <f t="shared" si="13"/>
        <v>10825</v>
      </c>
      <c r="D880" s="102" t="s">
        <v>498</v>
      </c>
      <c r="E880" s="26" t="s">
        <v>2669</v>
      </c>
      <c r="F880" s="10"/>
      <c r="G880" s="22"/>
    </row>
    <row r="881" spans="1:7" ht="20.25" hidden="1" customHeight="1">
      <c r="A881" s="102">
        <v>10826</v>
      </c>
      <c r="B881" s="102">
        <v>14826</v>
      </c>
      <c r="C881" s="102">
        <f t="shared" si="13"/>
        <v>10826</v>
      </c>
      <c r="D881" s="102" t="s">
        <v>498</v>
      </c>
      <c r="E881" s="26" t="s">
        <v>2670</v>
      </c>
      <c r="F881" s="10"/>
      <c r="G881" s="22"/>
    </row>
    <row r="882" spans="1:7" ht="20.25" hidden="1" customHeight="1">
      <c r="A882" s="102">
        <v>10827</v>
      </c>
      <c r="B882" s="102">
        <v>14827</v>
      </c>
      <c r="C882" s="102">
        <f t="shared" si="13"/>
        <v>10827</v>
      </c>
      <c r="D882" s="102" t="s">
        <v>498</v>
      </c>
      <c r="E882" s="26"/>
      <c r="F882" s="7" t="s">
        <v>643</v>
      </c>
      <c r="G882" s="22"/>
    </row>
    <row r="883" spans="1:7" ht="20.25" hidden="1" customHeight="1">
      <c r="A883" s="102">
        <v>10828</v>
      </c>
      <c r="B883" s="102">
        <v>14828</v>
      </c>
      <c r="C883" s="102">
        <f t="shared" si="13"/>
        <v>10828</v>
      </c>
      <c r="D883" s="102" t="s">
        <v>498</v>
      </c>
      <c r="E883" s="26" t="s">
        <v>2671</v>
      </c>
      <c r="F883" s="10"/>
      <c r="G883" s="22"/>
    </row>
    <row r="884" spans="1:7" ht="20.25" customHeight="1">
      <c r="A884" s="102">
        <v>10828</v>
      </c>
      <c r="B884" s="102">
        <v>14828</v>
      </c>
      <c r="C884" s="102">
        <f t="shared" si="13"/>
        <v>10828</v>
      </c>
      <c r="D884" s="102" t="s">
        <v>549</v>
      </c>
      <c r="E884" s="26" t="s">
        <v>2672</v>
      </c>
      <c r="F884" s="10"/>
      <c r="G884" s="22"/>
    </row>
    <row r="885" spans="1:7" ht="20.25" hidden="1" customHeight="1">
      <c r="A885" s="102">
        <v>10829</v>
      </c>
      <c r="B885" s="102">
        <v>14829</v>
      </c>
      <c r="C885" s="102">
        <f t="shared" si="13"/>
        <v>10829</v>
      </c>
      <c r="D885" s="102" t="s">
        <v>498</v>
      </c>
      <c r="E885" s="26" t="s">
        <v>2673</v>
      </c>
      <c r="F885" s="10"/>
      <c r="G885" s="22"/>
    </row>
    <row r="886" spans="1:7" ht="20.25" hidden="1" customHeight="1">
      <c r="A886" s="102">
        <v>10830</v>
      </c>
      <c r="B886" s="102">
        <v>14830</v>
      </c>
      <c r="C886" s="102">
        <f t="shared" si="13"/>
        <v>10830</v>
      </c>
      <c r="D886" s="102" t="s">
        <v>498</v>
      </c>
      <c r="E886" s="7" t="s">
        <v>2674</v>
      </c>
      <c r="F886" s="10"/>
      <c r="G886" s="22"/>
    </row>
    <row r="887" spans="1:7" ht="20.25" hidden="1" customHeight="1">
      <c r="A887" s="102">
        <v>10831</v>
      </c>
      <c r="B887" s="102">
        <v>14831</v>
      </c>
      <c r="C887" s="102">
        <f t="shared" si="13"/>
        <v>20831</v>
      </c>
      <c r="D887" s="102" t="s">
        <v>498</v>
      </c>
      <c r="E887" s="7" t="s">
        <v>2675</v>
      </c>
      <c r="F887" s="7" t="s">
        <v>2676</v>
      </c>
      <c r="G887" s="22"/>
    </row>
    <row r="888" spans="1:7" ht="20.25" hidden="1" customHeight="1">
      <c r="A888" s="102">
        <v>10832</v>
      </c>
      <c r="B888" s="102">
        <v>14832</v>
      </c>
      <c r="C888" s="102">
        <f t="shared" si="13"/>
        <v>20832</v>
      </c>
      <c r="D888" s="102" t="s">
        <v>498</v>
      </c>
      <c r="E888" s="7" t="s">
        <v>2677</v>
      </c>
      <c r="F888" s="7" t="s">
        <v>2678</v>
      </c>
      <c r="G888" s="22"/>
    </row>
    <row r="889" spans="1:7" ht="20.25" hidden="1" customHeight="1">
      <c r="A889" s="102">
        <v>10833</v>
      </c>
      <c r="B889" s="102">
        <v>14833</v>
      </c>
      <c r="C889" s="102">
        <f t="shared" si="13"/>
        <v>20833</v>
      </c>
      <c r="D889" s="102" t="s">
        <v>498</v>
      </c>
      <c r="E889" s="7" t="s">
        <v>2679</v>
      </c>
      <c r="F889" s="7" t="s">
        <v>2676</v>
      </c>
      <c r="G889" s="22"/>
    </row>
    <row r="890" spans="1:7" ht="20.25" hidden="1" customHeight="1">
      <c r="A890" s="102">
        <v>10834</v>
      </c>
      <c r="B890" s="102">
        <v>14834</v>
      </c>
      <c r="C890" s="102">
        <f t="shared" si="13"/>
        <v>20834</v>
      </c>
      <c r="D890" s="102" t="s">
        <v>498</v>
      </c>
      <c r="E890" s="7" t="s">
        <v>2680</v>
      </c>
      <c r="F890" s="7" t="s">
        <v>2678</v>
      </c>
      <c r="G890" s="22"/>
    </row>
    <row r="891" spans="1:7" ht="20.25" hidden="1" customHeight="1">
      <c r="A891" s="102">
        <v>10835</v>
      </c>
      <c r="B891" s="102">
        <v>14835</v>
      </c>
      <c r="C891" s="102">
        <f t="shared" si="13"/>
        <v>20835</v>
      </c>
      <c r="D891" s="102" t="s">
        <v>498</v>
      </c>
      <c r="E891" s="26" t="s">
        <v>2681</v>
      </c>
      <c r="F891" s="10"/>
      <c r="G891" s="22"/>
    </row>
    <row r="892" spans="1:7" ht="20.25" hidden="1" customHeight="1">
      <c r="A892" s="102">
        <v>10836</v>
      </c>
      <c r="B892" s="102">
        <v>14836</v>
      </c>
      <c r="C892" s="102">
        <f t="shared" si="13"/>
        <v>20836</v>
      </c>
      <c r="D892" s="102" t="s">
        <v>498</v>
      </c>
      <c r="E892" s="26" t="s">
        <v>2682</v>
      </c>
      <c r="F892" s="7"/>
      <c r="G892" s="22" t="s">
        <v>2683</v>
      </c>
    </row>
    <row r="893" spans="1:7" ht="20.25" hidden="1" customHeight="1">
      <c r="A893" s="102">
        <v>10837</v>
      </c>
      <c r="B893" s="102">
        <v>14837</v>
      </c>
      <c r="C893" s="102">
        <f t="shared" si="13"/>
        <v>20837</v>
      </c>
      <c r="D893" s="102" t="s">
        <v>498</v>
      </c>
      <c r="E893" s="26" t="s">
        <v>2684</v>
      </c>
      <c r="F893" s="7" t="s">
        <v>1113</v>
      </c>
      <c r="G893" s="22"/>
    </row>
    <row r="894" spans="1:7" ht="20.25" hidden="1" customHeight="1">
      <c r="A894" s="102">
        <v>10838</v>
      </c>
      <c r="B894" s="102">
        <v>14838</v>
      </c>
      <c r="C894" s="102">
        <f t="shared" si="13"/>
        <v>10838</v>
      </c>
      <c r="D894" s="102" t="s">
        <v>498</v>
      </c>
      <c r="E894" s="26"/>
      <c r="F894" s="7" t="s">
        <v>643</v>
      </c>
      <c r="G894" s="22"/>
    </row>
    <row r="895" spans="1:7" ht="20.25" hidden="1" customHeight="1">
      <c r="A895" s="102">
        <v>10839</v>
      </c>
      <c r="B895" s="102">
        <v>14839</v>
      </c>
      <c r="C895" s="102">
        <f t="shared" si="13"/>
        <v>10839</v>
      </c>
      <c r="D895" s="102" t="s">
        <v>498</v>
      </c>
      <c r="E895" s="26"/>
      <c r="F895" s="7" t="s">
        <v>643</v>
      </c>
      <c r="G895" s="22"/>
    </row>
    <row r="896" spans="1:7" ht="20.25" hidden="1" customHeight="1">
      <c r="A896" s="102">
        <v>10840</v>
      </c>
      <c r="B896" s="102">
        <v>14840</v>
      </c>
      <c r="C896" s="102">
        <f t="shared" si="13"/>
        <v>10840</v>
      </c>
      <c r="D896" s="102" t="s">
        <v>498</v>
      </c>
      <c r="E896" s="26"/>
      <c r="F896" s="7" t="s">
        <v>643</v>
      </c>
      <c r="G896" s="22"/>
    </row>
    <row r="897" spans="1:7" ht="20.25" hidden="1" customHeight="1">
      <c r="A897" s="102">
        <v>10841</v>
      </c>
      <c r="B897" s="102">
        <v>14841</v>
      </c>
      <c r="C897" s="102">
        <f t="shared" si="13"/>
        <v>10841</v>
      </c>
      <c r="D897" s="102" t="s">
        <v>498</v>
      </c>
      <c r="E897" s="26"/>
      <c r="F897" s="7" t="s">
        <v>643</v>
      </c>
      <c r="G897" s="22"/>
    </row>
    <row r="898" spans="1:7" ht="20.25" hidden="1" customHeight="1">
      <c r="A898" s="102">
        <v>10842</v>
      </c>
      <c r="B898" s="102">
        <v>14842</v>
      </c>
      <c r="C898" s="102">
        <f t="shared" si="13"/>
        <v>10842</v>
      </c>
      <c r="D898" s="102" t="s">
        <v>498</v>
      </c>
      <c r="E898" s="26"/>
      <c r="F898" s="7" t="s">
        <v>643</v>
      </c>
      <c r="G898" s="22"/>
    </row>
    <row r="899" spans="1:7" ht="20.25" hidden="1" customHeight="1">
      <c r="A899" s="102">
        <v>10843</v>
      </c>
      <c r="B899" s="102">
        <v>14843</v>
      </c>
      <c r="C899" s="102">
        <f t="shared" ref="C899:C962" si="14">IF(ISERROR(FIND("B_Epic",E899)),A899,A899+10000)</f>
        <v>10843</v>
      </c>
      <c r="D899" s="102" t="s">
        <v>498</v>
      </c>
      <c r="E899" s="197"/>
      <c r="F899" s="7" t="s">
        <v>643</v>
      </c>
      <c r="G899" s="22"/>
    </row>
    <row r="900" spans="1:7" ht="20.25" hidden="1" customHeight="1">
      <c r="A900" s="102">
        <v>10844</v>
      </c>
      <c r="B900" s="102">
        <v>14844</v>
      </c>
      <c r="C900" s="102">
        <f t="shared" si="14"/>
        <v>10844</v>
      </c>
      <c r="D900" s="102" t="s">
        <v>498</v>
      </c>
      <c r="E900" s="26"/>
      <c r="F900" s="7" t="s">
        <v>643</v>
      </c>
      <c r="G900" s="22"/>
    </row>
    <row r="901" spans="1:7" ht="20.25" hidden="1" customHeight="1">
      <c r="A901" s="102">
        <v>10845</v>
      </c>
      <c r="B901" s="102">
        <v>14845</v>
      </c>
      <c r="C901" s="102">
        <f t="shared" si="14"/>
        <v>10845</v>
      </c>
      <c r="D901" s="102" t="s">
        <v>498</v>
      </c>
      <c r="E901" s="26"/>
      <c r="F901" s="7" t="s">
        <v>643</v>
      </c>
      <c r="G901" s="22"/>
    </row>
    <row r="902" spans="1:7" ht="20.25" hidden="1" customHeight="1">
      <c r="A902" s="102">
        <v>10846</v>
      </c>
      <c r="B902" s="102">
        <v>14846</v>
      </c>
      <c r="C902" s="102">
        <f t="shared" si="14"/>
        <v>10846</v>
      </c>
      <c r="D902" s="102" t="s">
        <v>498</v>
      </c>
      <c r="E902" s="26" t="s">
        <v>2685</v>
      </c>
      <c r="F902" s="10"/>
      <c r="G902" s="111"/>
    </row>
    <row r="903" spans="1:7" ht="20.25" hidden="1" customHeight="1">
      <c r="A903" s="102">
        <v>10846</v>
      </c>
      <c r="B903" s="102">
        <v>14846</v>
      </c>
      <c r="C903" s="102">
        <f t="shared" si="14"/>
        <v>10846</v>
      </c>
      <c r="D903" s="102" t="s">
        <v>67</v>
      </c>
      <c r="E903" s="26" t="s">
        <v>2686</v>
      </c>
      <c r="F903" s="10"/>
      <c r="G903" s="111"/>
    </row>
    <row r="904" spans="1:7" ht="20.25" hidden="1" customHeight="1">
      <c r="A904" s="102">
        <v>10847</v>
      </c>
      <c r="B904" s="102">
        <v>14847</v>
      </c>
      <c r="C904" s="102">
        <f t="shared" si="14"/>
        <v>10847</v>
      </c>
      <c r="D904" s="102" t="s">
        <v>498</v>
      </c>
      <c r="E904" s="26"/>
      <c r="F904" s="7" t="s">
        <v>643</v>
      </c>
      <c r="G904" s="22"/>
    </row>
    <row r="905" spans="1:7" ht="20.25" hidden="1" customHeight="1">
      <c r="A905" s="102">
        <v>10848</v>
      </c>
      <c r="B905" s="102">
        <v>14848</v>
      </c>
      <c r="C905" s="102">
        <f t="shared" si="14"/>
        <v>10848</v>
      </c>
      <c r="D905" s="102" t="s">
        <v>498</v>
      </c>
      <c r="E905" s="26"/>
      <c r="F905" s="7" t="s">
        <v>643</v>
      </c>
      <c r="G905" s="22"/>
    </row>
    <row r="906" spans="1:7" ht="20.25" hidden="1" customHeight="1">
      <c r="A906" s="102">
        <v>10849</v>
      </c>
      <c r="B906" s="102">
        <v>14849</v>
      </c>
      <c r="C906" s="102">
        <f t="shared" si="14"/>
        <v>10849</v>
      </c>
      <c r="D906" s="102" t="s">
        <v>498</v>
      </c>
      <c r="E906" s="197"/>
      <c r="F906" s="7" t="s">
        <v>643</v>
      </c>
      <c r="G906" s="22"/>
    </row>
    <row r="907" spans="1:7" ht="20.25" hidden="1" customHeight="1">
      <c r="A907" s="102">
        <v>10850</v>
      </c>
      <c r="B907" s="102">
        <v>14850</v>
      </c>
      <c r="C907" s="102">
        <f t="shared" si="14"/>
        <v>10850</v>
      </c>
      <c r="D907" s="102" t="s">
        <v>498</v>
      </c>
      <c r="E907" s="26"/>
      <c r="F907" s="7" t="s">
        <v>643</v>
      </c>
      <c r="G907" s="22"/>
    </row>
    <row r="908" spans="1:7" ht="20.25" hidden="1" customHeight="1">
      <c r="A908" s="102">
        <v>10851</v>
      </c>
      <c r="B908" s="102">
        <v>14851</v>
      </c>
      <c r="C908" s="102">
        <f t="shared" si="14"/>
        <v>10851</v>
      </c>
      <c r="D908" s="102" t="s">
        <v>498</v>
      </c>
      <c r="E908" s="26"/>
      <c r="F908" s="7" t="s">
        <v>643</v>
      </c>
      <c r="G908" s="22"/>
    </row>
    <row r="909" spans="1:7" ht="20.25" hidden="1" customHeight="1">
      <c r="A909" s="102">
        <v>10852</v>
      </c>
      <c r="B909" s="102">
        <v>14852</v>
      </c>
      <c r="C909" s="102">
        <f t="shared" si="14"/>
        <v>10852</v>
      </c>
      <c r="D909" s="102" t="s">
        <v>498</v>
      </c>
      <c r="E909" s="26"/>
      <c r="F909" s="7" t="s">
        <v>643</v>
      </c>
      <c r="G909" s="22"/>
    </row>
    <row r="910" spans="1:7" ht="20.25" hidden="1" customHeight="1">
      <c r="A910" s="102">
        <v>10853</v>
      </c>
      <c r="B910" s="102">
        <v>14853</v>
      </c>
      <c r="C910" s="102">
        <f t="shared" si="14"/>
        <v>10853</v>
      </c>
      <c r="D910" s="102" t="s">
        <v>498</v>
      </c>
      <c r="E910" s="26"/>
      <c r="F910" s="7" t="s">
        <v>643</v>
      </c>
      <c r="G910" s="22"/>
    </row>
    <row r="911" spans="1:7" ht="20.25" hidden="1" customHeight="1">
      <c r="A911" s="102">
        <v>10854</v>
      </c>
      <c r="B911" s="102">
        <v>14854</v>
      </c>
      <c r="C911" s="102">
        <f t="shared" si="14"/>
        <v>10854</v>
      </c>
      <c r="D911" s="102" t="s">
        <v>498</v>
      </c>
      <c r="E911" s="26"/>
      <c r="F911" s="7" t="s">
        <v>643</v>
      </c>
      <c r="G911" s="22"/>
    </row>
    <row r="912" spans="1:7" ht="20.25" hidden="1" customHeight="1">
      <c r="A912" s="102">
        <v>10855</v>
      </c>
      <c r="B912" s="102">
        <v>14855</v>
      </c>
      <c r="C912" s="102">
        <f t="shared" si="14"/>
        <v>10855</v>
      </c>
      <c r="D912" s="102" t="s">
        <v>498</v>
      </c>
      <c r="E912" s="26"/>
      <c r="F912" s="7" t="s">
        <v>643</v>
      </c>
      <c r="G912" s="22"/>
    </row>
    <row r="913" spans="1:7" ht="20.25" hidden="1" customHeight="1">
      <c r="A913" s="102">
        <v>10856</v>
      </c>
      <c r="B913" s="102">
        <v>14856</v>
      </c>
      <c r="C913" s="102">
        <f t="shared" si="14"/>
        <v>10856</v>
      </c>
      <c r="D913" s="102" t="s">
        <v>498</v>
      </c>
      <c r="E913" s="26"/>
      <c r="F913" s="7" t="s">
        <v>643</v>
      </c>
      <c r="G913" s="22"/>
    </row>
    <row r="914" spans="1:7" ht="20.25" hidden="1" customHeight="1">
      <c r="A914" s="102">
        <v>10857</v>
      </c>
      <c r="B914" s="102">
        <v>14857</v>
      </c>
      <c r="C914" s="102">
        <f t="shared" si="14"/>
        <v>10857</v>
      </c>
      <c r="D914" s="102" t="s">
        <v>498</v>
      </c>
      <c r="E914" s="26"/>
      <c r="F914" s="7" t="s">
        <v>643</v>
      </c>
      <c r="G914" s="22"/>
    </row>
    <row r="915" spans="1:7" ht="20.25" hidden="1" customHeight="1">
      <c r="A915" s="102">
        <v>10858</v>
      </c>
      <c r="B915" s="102">
        <v>14858</v>
      </c>
      <c r="C915" s="102">
        <f t="shared" si="14"/>
        <v>10858</v>
      </c>
      <c r="D915" s="102" t="s">
        <v>498</v>
      </c>
      <c r="E915" s="26"/>
      <c r="F915" s="7" t="s">
        <v>643</v>
      </c>
      <c r="G915" s="22"/>
    </row>
    <row r="916" spans="1:7" ht="20.25" hidden="1" customHeight="1">
      <c r="A916" s="102">
        <v>10859</v>
      </c>
      <c r="B916" s="102">
        <v>14859</v>
      </c>
      <c r="C916" s="102">
        <f t="shared" si="14"/>
        <v>10859</v>
      </c>
      <c r="D916" s="102" t="s">
        <v>498</v>
      </c>
      <c r="E916" s="26"/>
      <c r="F916" s="7" t="s">
        <v>643</v>
      </c>
      <c r="G916" s="22"/>
    </row>
    <row r="917" spans="1:7" ht="20.25" hidden="1" customHeight="1">
      <c r="A917" s="102">
        <v>10860</v>
      </c>
      <c r="B917" s="102">
        <v>14860</v>
      </c>
      <c r="C917" s="102">
        <f t="shared" si="14"/>
        <v>10860</v>
      </c>
      <c r="D917" s="102" t="s">
        <v>498</v>
      </c>
      <c r="E917" s="26"/>
      <c r="F917" s="7" t="s">
        <v>643</v>
      </c>
      <c r="G917" s="22"/>
    </row>
    <row r="918" spans="1:7" ht="20.25" hidden="1" customHeight="1">
      <c r="A918" s="102">
        <v>10861</v>
      </c>
      <c r="B918" s="102">
        <v>14861</v>
      </c>
      <c r="C918" s="102">
        <f t="shared" si="14"/>
        <v>10861</v>
      </c>
      <c r="D918" s="102" t="s">
        <v>498</v>
      </c>
      <c r="E918" s="26"/>
      <c r="F918" s="7" t="s">
        <v>643</v>
      </c>
      <c r="G918" s="22"/>
    </row>
    <row r="919" spans="1:7" ht="20.25" hidden="1" customHeight="1">
      <c r="A919" s="102">
        <v>10862</v>
      </c>
      <c r="B919" s="102">
        <v>14862</v>
      </c>
      <c r="C919" s="102">
        <f t="shared" si="14"/>
        <v>10862</v>
      </c>
      <c r="D919" s="102" t="s">
        <v>498</v>
      </c>
      <c r="E919" s="26"/>
      <c r="F919" s="7" t="s">
        <v>643</v>
      </c>
      <c r="G919" s="22"/>
    </row>
    <row r="920" spans="1:7" ht="20.25" hidden="1" customHeight="1">
      <c r="A920" s="102">
        <v>10863</v>
      </c>
      <c r="B920" s="102">
        <v>14863</v>
      </c>
      <c r="C920" s="102">
        <f t="shared" si="14"/>
        <v>10863</v>
      </c>
      <c r="D920" s="102" t="s">
        <v>498</v>
      </c>
      <c r="E920" s="26"/>
      <c r="F920" s="7" t="s">
        <v>643</v>
      </c>
      <c r="G920" s="22"/>
    </row>
    <row r="921" spans="1:7" ht="20.25" hidden="1" customHeight="1">
      <c r="A921" s="102">
        <v>10864</v>
      </c>
      <c r="B921" s="102">
        <v>14864</v>
      </c>
      <c r="C921" s="102">
        <f t="shared" si="14"/>
        <v>10864</v>
      </c>
      <c r="D921" s="102" t="s">
        <v>498</v>
      </c>
      <c r="E921" s="26"/>
      <c r="F921" s="7" t="s">
        <v>643</v>
      </c>
      <c r="G921" s="22"/>
    </row>
    <row r="922" spans="1:7" ht="20.25" hidden="1" customHeight="1">
      <c r="A922" s="102">
        <v>10865</v>
      </c>
      <c r="B922" s="102">
        <v>14865</v>
      </c>
      <c r="C922" s="102">
        <f t="shared" si="14"/>
        <v>10865</v>
      </c>
      <c r="D922" s="102" t="s">
        <v>498</v>
      </c>
      <c r="E922" s="26"/>
      <c r="F922" s="7" t="s">
        <v>643</v>
      </c>
      <c r="G922" s="22"/>
    </row>
    <row r="923" spans="1:7" ht="20.25" hidden="1" customHeight="1">
      <c r="A923" s="102">
        <v>10866</v>
      </c>
      <c r="B923" s="102">
        <v>14866</v>
      </c>
      <c r="C923" s="102">
        <f t="shared" si="14"/>
        <v>10866</v>
      </c>
      <c r="D923" s="102" t="s">
        <v>498</v>
      </c>
      <c r="E923" s="26"/>
      <c r="F923" s="7" t="s">
        <v>643</v>
      </c>
      <c r="G923" s="22"/>
    </row>
    <row r="924" spans="1:7" ht="20.25" hidden="1" customHeight="1">
      <c r="A924" s="102">
        <v>10867</v>
      </c>
      <c r="B924" s="102">
        <v>14867</v>
      </c>
      <c r="C924" s="102">
        <f t="shared" si="14"/>
        <v>10867</v>
      </c>
      <c r="D924" s="102" t="s">
        <v>498</v>
      </c>
      <c r="E924" s="26"/>
      <c r="F924" s="7" t="s">
        <v>643</v>
      </c>
      <c r="G924" s="22"/>
    </row>
    <row r="925" spans="1:7" ht="20.25" hidden="1" customHeight="1">
      <c r="A925" s="102">
        <v>10868</v>
      </c>
      <c r="B925" s="102">
        <v>14868</v>
      </c>
      <c r="C925" s="102">
        <f t="shared" si="14"/>
        <v>10868</v>
      </c>
      <c r="D925" s="102" t="s">
        <v>498</v>
      </c>
      <c r="E925" s="186"/>
      <c r="F925" s="7" t="s">
        <v>643</v>
      </c>
      <c r="G925" s="22"/>
    </row>
    <row r="926" spans="1:7" ht="20.25" hidden="1" customHeight="1">
      <c r="A926" s="102">
        <v>10869</v>
      </c>
      <c r="B926" s="102">
        <v>14869</v>
      </c>
      <c r="C926" s="102">
        <f t="shared" si="14"/>
        <v>10869</v>
      </c>
      <c r="D926" s="102" t="s">
        <v>498</v>
      </c>
      <c r="E926" s="26"/>
      <c r="F926" s="7" t="s">
        <v>643</v>
      </c>
      <c r="G926" s="22"/>
    </row>
    <row r="927" spans="1:7" ht="20.25" hidden="1" customHeight="1">
      <c r="A927" s="102">
        <v>10870</v>
      </c>
      <c r="B927" s="102">
        <v>14870</v>
      </c>
      <c r="C927" s="102">
        <f t="shared" si="14"/>
        <v>10870</v>
      </c>
      <c r="D927" s="102" t="s">
        <v>498</v>
      </c>
      <c r="E927" s="26"/>
      <c r="F927" s="7" t="s">
        <v>643</v>
      </c>
      <c r="G927" s="22"/>
    </row>
    <row r="928" spans="1:7" ht="20.25" hidden="1" customHeight="1">
      <c r="A928" s="102">
        <v>10871</v>
      </c>
      <c r="B928" s="102">
        <v>14871</v>
      </c>
      <c r="C928" s="102">
        <f t="shared" si="14"/>
        <v>10871</v>
      </c>
      <c r="D928" s="102" t="s">
        <v>498</v>
      </c>
      <c r="E928" s="26"/>
      <c r="F928" s="7" t="s">
        <v>643</v>
      </c>
      <c r="G928" s="22"/>
    </row>
    <row r="929" spans="1:7" ht="20.25" hidden="1" customHeight="1">
      <c r="A929" s="102">
        <v>10872</v>
      </c>
      <c r="B929" s="102">
        <v>14872</v>
      </c>
      <c r="C929" s="102">
        <f t="shared" si="14"/>
        <v>10872</v>
      </c>
      <c r="D929" s="102" t="s">
        <v>498</v>
      </c>
      <c r="E929" s="26"/>
      <c r="F929" s="7" t="s">
        <v>643</v>
      </c>
      <c r="G929" s="22"/>
    </row>
    <row r="930" spans="1:7" ht="20.25" hidden="1" customHeight="1">
      <c r="A930" s="102">
        <v>10873</v>
      </c>
      <c r="B930" s="102">
        <v>14873</v>
      </c>
      <c r="C930" s="102">
        <f t="shared" si="14"/>
        <v>10873</v>
      </c>
      <c r="D930" s="102" t="s">
        <v>498</v>
      </c>
      <c r="E930" s="26"/>
      <c r="F930" s="7" t="s">
        <v>643</v>
      </c>
      <c r="G930" s="22"/>
    </row>
    <row r="931" spans="1:7" ht="20.25" hidden="1" customHeight="1">
      <c r="A931" s="102">
        <v>10874</v>
      </c>
      <c r="B931" s="102">
        <v>14874</v>
      </c>
      <c r="C931" s="102">
        <f t="shared" si="14"/>
        <v>10874</v>
      </c>
      <c r="D931" s="102" t="s">
        <v>498</v>
      </c>
      <c r="E931" s="26"/>
      <c r="F931" s="7" t="s">
        <v>643</v>
      </c>
      <c r="G931" s="22"/>
    </row>
    <row r="932" spans="1:7" ht="20.25" hidden="1" customHeight="1">
      <c r="A932" s="102">
        <v>10875</v>
      </c>
      <c r="B932" s="102">
        <v>14875</v>
      </c>
      <c r="C932" s="102">
        <f t="shared" si="14"/>
        <v>10875</v>
      </c>
      <c r="D932" s="102" t="s">
        <v>498</v>
      </c>
      <c r="E932" s="26"/>
      <c r="F932" s="7" t="s">
        <v>643</v>
      </c>
      <c r="G932" s="22"/>
    </row>
    <row r="933" spans="1:7" ht="20.25" hidden="1" customHeight="1">
      <c r="A933" s="102">
        <v>10876</v>
      </c>
      <c r="B933" s="102">
        <v>14876</v>
      </c>
      <c r="C933" s="102">
        <f t="shared" si="14"/>
        <v>10876</v>
      </c>
      <c r="D933" s="102" t="s">
        <v>498</v>
      </c>
      <c r="E933" s="26"/>
      <c r="F933" s="7" t="s">
        <v>643</v>
      </c>
      <c r="G933" s="22"/>
    </row>
    <row r="934" spans="1:7" ht="20.25" hidden="1" customHeight="1">
      <c r="A934" s="102">
        <v>10877</v>
      </c>
      <c r="B934" s="102">
        <v>14877</v>
      </c>
      <c r="C934" s="102">
        <f t="shared" si="14"/>
        <v>10877</v>
      </c>
      <c r="D934" s="102" t="s">
        <v>67</v>
      </c>
      <c r="E934" s="26" t="s">
        <v>2687</v>
      </c>
      <c r="F934" s="10"/>
      <c r="G934" s="22"/>
    </row>
    <row r="935" spans="1:7" ht="20.25" hidden="1" customHeight="1">
      <c r="A935" s="102">
        <v>10877</v>
      </c>
      <c r="B935" s="102">
        <v>14877</v>
      </c>
      <c r="C935" s="102">
        <f t="shared" si="14"/>
        <v>10877</v>
      </c>
      <c r="D935" s="102" t="s">
        <v>498</v>
      </c>
      <c r="E935" s="26" t="s">
        <v>2688</v>
      </c>
      <c r="F935" s="10"/>
      <c r="G935" s="22"/>
    </row>
    <row r="936" spans="1:7" ht="20.25" hidden="1" customHeight="1">
      <c r="A936" s="102">
        <v>10878</v>
      </c>
      <c r="B936" s="102">
        <v>14878</v>
      </c>
      <c r="C936" s="102">
        <f t="shared" si="14"/>
        <v>10878</v>
      </c>
      <c r="D936" s="102" t="s">
        <v>498</v>
      </c>
      <c r="E936" s="26"/>
      <c r="F936" s="7" t="s">
        <v>643</v>
      </c>
      <c r="G936" s="22"/>
    </row>
    <row r="937" spans="1:7" ht="20.25" hidden="1" customHeight="1">
      <c r="A937" s="102">
        <v>10879</v>
      </c>
      <c r="B937" s="102">
        <v>14879</v>
      </c>
      <c r="C937" s="102">
        <f t="shared" si="14"/>
        <v>10879</v>
      </c>
      <c r="D937" s="102" t="s">
        <v>498</v>
      </c>
      <c r="E937" s="26"/>
      <c r="F937" s="7" t="s">
        <v>643</v>
      </c>
      <c r="G937" s="22"/>
    </row>
    <row r="938" spans="1:7" ht="20.25" hidden="1" customHeight="1">
      <c r="A938" s="102">
        <v>10880</v>
      </c>
      <c r="B938" s="102">
        <v>14880</v>
      </c>
      <c r="C938" s="102">
        <f t="shared" si="14"/>
        <v>10880</v>
      </c>
      <c r="D938" s="102" t="s">
        <v>498</v>
      </c>
      <c r="E938" s="26"/>
      <c r="F938" s="7" t="s">
        <v>643</v>
      </c>
      <c r="G938" s="22"/>
    </row>
    <row r="939" spans="1:7" ht="20.25" hidden="1" customHeight="1">
      <c r="A939" s="102">
        <v>10881</v>
      </c>
      <c r="B939" s="102">
        <v>14881</v>
      </c>
      <c r="C939" s="102">
        <f t="shared" si="14"/>
        <v>10881</v>
      </c>
      <c r="D939" s="102" t="s">
        <v>498</v>
      </c>
      <c r="E939" s="26"/>
      <c r="F939" s="7" t="s">
        <v>643</v>
      </c>
      <c r="G939" s="22"/>
    </row>
    <row r="940" spans="1:7" ht="20.25" hidden="1" customHeight="1">
      <c r="A940" s="102">
        <v>10882</v>
      </c>
      <c r="B940" s="102">
        <v>14882</v>
      </c>
      <c r="C940" s="102">
        <f t="shared" si="14"/>
        <v>10882</v>
      </c>
      <c r="D940" s="102" t="s">
        <v>498</v>
      </c>
      <c r="E940" s="26"/>
      <c r="F940" s="7" t="s">
        <v>643</v>
      </c>
      <c r="G940" s="22"/>
    </row>
    <row r="941" spans="1:7" ht="20.25" hidden="1" customHeight="1">
      <c r="A941" s="102">
        <v>10883</v>
      </c>
      <c r="B941" s="102">
        <v>14883</v>
      </c>
      <c r="C941" s="102">
        <f t="shared" si="14"/>
        <v>10883</v>
      </c>
      <c r="D941" s="102" t="s">
        <v>498</v>
      </c>
      <c r="E941" s="26"/>
      <c r="F941" s="7" t="s">
        <v>643</v>
      </c>
      <c r="G941" s="22"/>
    </row>
    <row r="942" spans="1:7" ht="20.25" hidden="1" customHeight="1">
      <c r="A942" s="102">
        <v>10884</v>
      </c>
      <c r="B942" s="102">
        <v>14884</v>
      </c>
      <c r="C942" s="102">
        <f t="shared" si="14"/>
        <v>10884</v>
      </c>
      <c r="D942" s="102" t="s">
        <v>498</v>
      </c>
      <c r="E942" s="26"/>
      <c r="F942" s="7" t="s">
        <v>643</v>
      </c>
      <c r="G942" s="22"/>
    </row>
    <row r="943" spans="1:7" ht="20.25" hidden="1" customHeight="1">
      <c r="A943" s="102">
        <v>10885</v>
      </c>
      <c r="B943" s="102">
        <v>14885</v>
      </c>
      <c r="C943" s="102">
        <f t="shared" si="14"/>
        <v>10885</v>
      </c>
      <c r="D943" s="102" t="s">
        <v>498</v>
      </c>
      <c r="E943" s="26"/>
      <c r="F943" s="7" t="s">
        <v>643</v>
      </c>
      <c r="G943" s="22"/>
    </row>
    <row r="944" spans="1:7" ht="20.25" hidden="1" customHeight="1">
      <c r="A944" s="102">
        <v>10886</v>
      </c>
      <c r="B944" s="102">
        <v>14886</v>
      </c>
      <c r="C944" s="102">
        <f t="shared" si="14"/>
        <v>10886</v>
      </c>
      <c r="D944" s="102" t="s">
        <v>498</v>
      </c>
      <c r="E944" s="26"/>
      <c r="F944" s="7" t="s">
        <v>643</v>
      </c>
      <c r="G944" s="22"/>
    </row>
    <row r="945" spans="1:7" ht="20.25" hidden="1" customHeight="1">
      <c r="A945" s="102">
        <v>10887</v>
      </c>
      <c r="B945" s="102">
        <v>14887</v>
      </c>
      <c r="C945" s="102">
        <f t="shared" si="14"/>
        <v>10887</v>
      </c>
      <c r="D945" s="102" t="s">
        <v>498</v>
      </c>
      <c r="E945" s="26"/>
      <c r="F945" s="7" t="s">
        <v>643</v>
      </c>
      <c r="G945" s="22"/>
    </row>
    <row r="946" spans="1:7" ht="20.25" hidden="1" customHeight="1">
      <c r="A946" s="102">
        <v>10888</v>
      </c>
      <c r="B946" s="102">
        <v>14888</v>
      </c>
      <c r="C946" s="102">
        <f t="shared" si="14"/>
        <v>10888</v>
      </c>
      <c r="D946" s="102" t="s">
        <v>498</v>
      </c>
      <c r="E946" s="26"/>
      <c r="F946" s="7" t="s">
        <v>643</v>
      </c>
      <c r="G946" s="22"/>
    </row>
    <row r="947" spans="1:7" ht="20.25" hidden="1" customHeight="1">
      <c r="A947" s="102">
        <v>10889</v>
      </c>
      <c r="B947" s="102">
        <v>14889</v>
      </c>
      <c r="C947" s="102">
        <f t="shared" si="14"/>
        <v>10889</v>
      </c>
      <c r="D947" s="102" t="s">
        <v>498</v>
      </c>
      <c r="E947" s="26"/>
      <c r="F947" s="7" t="s">
        <v>643</v>
      </c>
      <c r="G947" s="22"/>
    </row>
    <row r="948" spans="1:7" ht="20.25" hidden="1" customHeight="1">
      <c r="A948" s="102">
        <v>10890</v>
      </c>
      <c r="B948" s="102">
        <v>14890</v>
      </c>
      <c r="C948" s="102">
        <f t="shared" si="14"/>
        <v>10890</v>
      </c>
      <c r="D948" s="102" t="s">
        <v>498</v>
      </c>
      <c r="E948" s="26"/>
      <c r="F948" s="7" t="s">
        <v>643</v>
      </c>
      <c r="G948" s="22"/>
    </row>
    <row r="949" spans="1:7" ht="20.25" hidden="1" customHeight="1">
      <c r="A949" s="102">
        <v>10891</v>
      </c>
      <c r="B949" s="102">
        <v>14891</v>
      </c>
      <c r="C949" s="102">
        <f t="shared" si="14"/>
        <v>10891</v>
      </c>
      <c r="D949" s="102" t="s">
        <v>498</v>
      </c>
      <c r="E949" s="26"/>
      <c r="F949" s="7" t="s">
        <v>643</v>
      </c>
      <c r="G949" s="22"/>
    </row>
    <row r="950" spans="1:7" ht="20.25" hidden="1" customHeight="1">
      <c r="A950" s="102">
        <v>10892</v>
      </c>
      <c r="B950" s="102">
        <v>14892</v>
      </c>
      <c r="C950" s="102">
        <f t="shared" si="14"/>
        <v>10892</v>
      </c>
      <c r="D950" s="102" t="s">
        <v>498</v>
      </c>
      <c r="E950" s="187"/>
      <c r="F950" s="7" t="s">
        <v>643</v>
      </c>
      <c r="G950" s="22"/>
    </row>
    <row r="951" spans="1:7" ht="20.25" hidden="1" customHeight="1">
      <c r="A951" s="102">
        <v>10893</v>
      </c>
      <c r="B951" s="102">
        <v>14893</v>
      </c>
      <c r="C951" s="102">
        <f t="shared" si="14"/>
        <v>10893</v>
      </c>
      <c r="D951" s="102" t="s">
        <v>498</v>
      </c>
      <c r="E951" s="26"/>
      <c r="F951" s="7" t="s">
        <v>643</v>
      </c>
      <c r="G951" s="22"/>
    </row>
    <row r="952" spans="1:7" ht="20.25" hidden="1" customHeight="1">
      <c r="A952" s="102">
        <v>10894</v>
      </c>
      <c r="B952" s="102">
        <v>14894</v>
      </c>
      <c r="C952" s="102">
        <f t="shared" si="14"/>
        <v>10894</v>
      </c>
      <c r="D952" s="102" t="s">
        <v>498</v>
      </c>
      <c r="E952" s="26"/>
      <c r="F952" s="7" t="s">
        <v>643</v>
      </c>
      <c r="G952" s="22"/>
    </row>
    <row r="953" spans="1:7" ht="20.25" hidden="1" customHeight="1">
      <c r="A953" s="102">
        <v>10895</v>
      </c>
      <c r="B953" s="102">
        <v>14895</v>
      </c>
      <c r="C953" s="102">
        <f t="shared" si="14"/>
        <v>10895</v>
      </c>
      <c r="D953" s="102" t="s">
        <v>498</v>
      </c>
      <c r="E953" s="26"/>
      <c r="F953" s="7" t="s">
        <v>643</v>
      </c>
      <c r="G953" s="22"/>
    </row>
    <row r="954" spans="1:7" ht="20.25" hidden="1" customHeight="1">
      <c r="A954" s="102">
        <v>10896</v>
      </c>
      <c r="B954" s="102">
        <v>14896</v>
      </c>
      <c r="C954" s="102">
        <f t="shared" si="14"/>
        <v>20896</v>
      </c>
      <c r="D954" s="102" t="s">
        <v>498</v>
      </c>
      <c r="E954" s="26" t="s">
        <v>2689</v>
      </c>
      <c r="F954" s="10"/>
      <c r="G954" s="22"/>
    </row>
    <row r="955" spans="1:7" ht="20.25" hidden="1" customHeight="1">
      <c r="A955" s="102">
        <v>10897</v>
      </c>
      <c r="B955" s="102">
        <v>14897</v>
      </c>
      <c r="C955" s="102">
        <f t="shared" si="14"/>
        <v>10897</v>
      </c>
      <c r="D955" s="102" t="s">
        <v>498</v>
      </c>
      <c r="E955" s="26"/>
      <c r="F955" s="7" t="s">
        <v>643</v>
      </c>
      <c r="G955" s="22"/>
    </row>
    <row r="956" spans="1:7" ht="20.25" hidden="1" customHeight="1">
      <c r="A956" s="102">
        <v>10898</v>
      </c>
      <c r="B956" s="102">
        <v>14898</v>
      </c>
      <c r="C956" s="102">
        <f t="shared" si="14"/>
        <v>10898</v>
      </c>
      <c r="D956" s="102" t="s">
        <v>498</v>
      </c>
      <c r="E956" s="187"/>
      <c r="F956" s="7" t="s">
        <v>643</v>
      </c>
      <c r="G956" s="22"/>
    </row>
    <row r="957" spans="1:7" ht="20.25" hidden="1" customHeight="1">
      <c r="A957" s="102">
        <v>10899</v>
      </c>
      <c r="B957" s="102">
        <v>14899</v>
      </c>
      <c r="C957" s="102">
        <f t="shared" si="14"/>
        <v>10899</v>
      </c>
      <c r="D957" s="102" t="s">
        <v>498</v>
      </c>
      <c r="E957" s="26"/>
      <c r="F957" s="7" t="s">
        <v>643</v>
      </c>
      <c r="G957" s="22"/>
    </row>
    <row r="958" spans="1:7" ht="20.25" hidden="1" customHeight="1">
      <c r="A958" s="102">
        <v>10900</v>
      </c>
      <c r="B958" s="102">
        <v>14900</v>
      </c>
      <c r="C958" s="102">
        <f t="shared" si="14"/>
        <v>10900</v>
      </c>
      <c r="D958" s="102" t="s">
        <v>498</v>
      </c>
      <c r="E958" s="26"/>
      <c r="F958" s="7" t="s">
        <v>643</v>
      </c>
      <c r="G958" s="22"/>
    </row>
    <row r="959" spans="1:7" ht="20.25" hidden="1" customHeight="1">
      <c r="A959" s="102">
        <v>10901</v>
      </c>
      <c r="B959" s="102">
        <v>14901</v>
      </c>
      <c r="C959" s="102">
        <f t="shared" si="14"/>
        <v>10901</v>
      </c>
      <c r="D959" s="102" t="s">
        <v>498</v>
      </c>
      <c r="E959" s="26"/>
      <c r="F959" s="7" t="s">
        <v>643</v>
      </c>
      <c r="G959" s="22"/>
    </row>
    <row r="960" spans="1:7" ht="20.25" hidden="1" customHeight="1">
      <c r="A960" s="102">
        <v>10902</v>
      </c>
      <c r="B960" s="102">
        <v>14902</v>
      </c>
      <c r="C960" s="102">
        <f t="shared" si="14"/>
        <v>10902</v>
      </c>
      <c r="D960" s="102" t="s">
        <v>498</v>
      </c>
      <c r="E960" s="26"/>
      <c r="F960" s="7" t="s">
        <v>643</v>
      </c>
      <c r="G960" s="22"/>
    </row>
    <row r="961" spans="1:7" ht="20.25" hidden="1" customHeight="1">
      <c r="A961" s="102">
        <v>10903</v>
      </c>
      <c r="B961" s="102">
        <v>14903</v>
      </c>
      <c r="C961" s="102">
        <f t="shared" si="14"/>
        <v>10903</v>
      </c>
      <c r="D961" s="102" t="s">
        <v>498</v>
      </c>
      <c r="E961" s="26"/>
      <c r="F961" s="7" t="s">
        <v>643</v>
      </c>
      <c r="G961" s="22"/>
    </row>
    <row r="962" spans="1:7" ht="20.25" hidden="1" customHeight="1">
      <c r="A962" s="102">
        <v>10904</v>
      </c>
      <c r="B962" s="102">
        <v>14904</v>
      </c>
      <c r="C962" s="102">
        <f t="shared" si="14"/>
        <v>10904</v>
      </c>
      <c r="D962" s="102" t="s">
        <v>498</v>
      </c>
      <c r="E962" s="26"/>
      <c r="F962" s="7" t="s">
        <v>643</v>
      </c>
      <c r="G962" s="22"/>
    </row>
    <row r="963" spans="1:7" ht="20.25" hidden="1" customHeight="1">
      <c r="A963" s="102">
        <v>10905</v>
      </c>
      <c r="B963" s="102">
        <v>14905</v>
      </c>
      <c r="C963" s="102">
        <f t="shared" ref="C963:C1026" si="15">IF(ISERROR(FIND("B_Epic",E963)),A963,A963+10000)</f>
        <v>10905</v>
      </c>
      <c r="D963" s="102" t="s">
        <v>498</v>
      </c>
      <c r="E963" s="26"/>
      <c r="F963" s="7" t="s">
        <v>643</v>
      </c>
      <c r="G963" s="22"/>
    </row>
    <row r="964" spans="1:7" ht="20.25" hidden="1" customHeight="1">
      <c r="A964" s="102">
        <v>10906</v>
      </c>
      <c r="B964" s="102">
        <v>14906</v>
      </c>
      <c r="C964" s="102">
        <f t="shared" si="15"/>
        <v>10906</v>
      </c>
      <c r="D964" s="102" t="s">
        <v>498</v>
      </c>
      <c r="E964" s="26"/>
      <c r="F964" s="7" t="s">
        <v>643</v>
      </c>
      <c r="G964" s="22"/>
    </row>
    <row r="965" spans="1:7" ht="20.25" hidden="1" customHeight="1">
      <c r="A965" s="102">
        <v>10907</v>
      </c>
      <c r="B965" s="102">
        <v>14907</v>
      </c>
      <c r="C965" s="102">
        <f t="shared" si="15"/>
        <v>10907</v>
      </c>
      <c r="D965" s="102" t="s">
        <v>498</v>
      </c>
      <c r="E965" s="26"/>
      <c r="F965" s="7" t="s">
        <v>643</v>
      </c>
      <c r="G965" s="22"/>
    </row>
    <row r="966" spans="1:7" ht="20.25" hidden="1" customHeight="1">
      <c r="A966" s="102">
        <v>10908</v>
      </c>
      <c r="B966" s="102">
        <v>14908</v>
      </c>
      <c r="C966" s="102">
        <f t="shared" si="15"/>
        <v>10908</v>
      </c>
      <c r="D966" s="102" t="s">
        <v>498</v>
      </c>
      <c r="E966" s="26"/>
      <c r="F966" s="7" t="s">
        <v>643</v>
      </c>
      <c r="G966" s="22"/>
    </row>
    <row r="967" spans="1:7" ht="20.25" hidden="1" customHeight="1">
      <c r="A967" s="102">
        <v>10909</v>
      </c>
      <c r="B967" s="102">
        <v>14909</v>
      </c>
      <c r="C967" s="102">
        <f t="shared" si="15"/>
        <v>10909</v>
      </c>
      <c r="D967" s="102" t="s">
        <v>498</v>
      </c>
      <c r="E967" s="26"/>
      <c r="F967" s="7" t="s">
        <v>643</v>
      </c>
      <c r="G967" s="22"/>
    </row>
    <row r="968" spans="1:7" ht="20.25" hidden="1" customHeight="1">
      <c r="A968" s="102">
        <v>10910</v>
      </c>
      <c r="B968" s="102">
        <v>14910</v>
      </c>
      <c r="C968" s="102">
        <f t="shared" si="15"/>
        <v>10910</v>
      </c>
      <c r="D968" s="102" t="s">
        <v>498</v>
      </c>
      <c r="E968" s="26"/>
      <c r="F968" s="7" t="s">
        <v>643</v>
      </c>
      <c r="G968" s="22"/>
    </row>
    <row r="969" spans="1:7" ht="20.25" hidden="1" customHeight="1">
      <c r="A969" s="102">
        <v>10911</v>
      </c>
      <c r="B969" s="102">
        <v>14911</v>
      </c>
      <c r="C969" s="102">
        <f t="shared" si="15"/>
        <v>10911</v>
      </c>
      <c r="D969" s="102" t="s">
        <v>498</v>
      </c>
      <c r="E969" s="26"/>
      <c r="F969" s="7" t="s">
        <v>643</v>
      </c>
      <c r="G969" s="22"/>
    </row>
    <row r="970" spans="1:7" ht="20.25" hidden="1" customHeight="1">
      <c r="A970" s="102">
        <v>10912</v>
      </c>
      <c r="B970" s="102">
        <v>14912</v>
      </c>
      <c r="C970" s="102">
        <f t="shared" si="15"/>
        <v>20912</v>
      </c>
      <c r="D970" s="102" t="s">
        <v>498</v>
      </c>
      <c r="E970" s="26" t="s">
        <v>2690</v>
      </c>
      <c r="F970" s="10"/>
      <c r="G970" s="22"/>
    </row>
    <row r="971" spans="1:7" ht="20.25" hidden="1" customHeight="1">
      <c r="A971" s="102">
        <v>10913</v>
      </c>
      <c r="B971" s="102">
        <v>14913</v>
      </c>
      <c r="C971" s="102">
        <f t="shared" si="15"/>
        <v>20913</v>
      </c>
      <c r="D971" s="102" t="s">
        <v>498</v>
      </c>
      <c r="E971" s="26" t="s">
        <v>2691</v>
      </c>
      <c r="F971" s="10"/>
      <c r="G971" s="22"/>
    </row>
    <row r="972" spans="1:7" ht="20.25" hidden="1" customHeight="1">
      <c r="A972" s="102">
        <v>10914</v>
      </c>
      <c r="B972" s="102">
        <v>14914</v>
      </c>
      <c r="C972" s="102">
        <f t="shared" si="15"/>
        <v>20914</v>
      </c>
      <c r="D972" s="102" t="s">
        <v>498</v>
      </c>
      <c r="E972" s="26" t="s">
        <v>2692</v>
      </c>
      <c r="F972" s="10"/>
      <c r="G972" s="22"/>
    </row>
    <row r="973" spans="1:7" ht="20.25" hidden="1" customHeight="1">
      <c r="A973" s="102">
        <v>10915</v>
      </c>
      <c r="B973" s="102">
        <v>14915</v>
      </c>
      <c r="C973" s="102">
        <f t="shared" si="15"/>
        <v>10915</v>
      </c>
      <c r="D973" s="102" t="s">
        <v>498</v>
      </c>
      <c r="E973" s="26"/>
      <c r="F973" s="7" t="s">
        <v>643</v>
      </c>
      <c r="G973" s="22"/>
    </row>
    <row r="974" spans="1:7" ht="20.25" hidden="1" customHeight="1">
      <c r="A974" s="102">
        <v>10916</v>
      </c>
      <c r="B974" s="102">
        <v>14916</v>
      </c>
      <c r="C974" s="102">
        <f t="shared" si="15"/>
        <v>10916</v>
      </c>
      <c r="D974" s="102" t="s">
        <v>498</v>
      </c>
      <c r="F974" s="7" t="s">
        <v>643</v>
      </c>
      <c r="G974" s="22"/>
    </row>
    <row r="975" spans="1:7" ht="20.25" hidden="1" customHeight="1">
      <c r="A975" s="102">
        <v>10917</v>
      </c>
      <c r="B975" s="102">
        <v>14917</v>
      </c>
      <c r="C975" s="102">
        <f t="shared" si="15"/>
        <v>10917</v>
      </c>
      <c r="D975" s="102" t="s">
        <v>498</v>
      </c>
      <c r="E975" s="26"/>
      <c r="F975" s="7" t="s">
        <v>643</v>
      </c>
      <c r="G975" s="9">
        <v>49584932</v>
      </c>
    </row>
    <row r="976" spans="1:7" ht="20.25" hidden="1" customHeight="1">
      <c r="A976" s="102">
        <v>10918</v>
      </c>
      <c r="B976" s="102">
        <v>14918</v>
      </c>
      <c r="C976" s="102">
        <f t="shared" si="15"/>
        <v>10918</v>
      </c>
      <c r="D976" s="102" t="s">
        <v>498</v>
      </c>
      <c r="E976" s="26"/>
      <c r="F976" s="7" t="s">
        <v>643</v>
      </c>
      <c r="G976" s="9">
        <v>49584932</v>
      </c>
    </row>
    <row r="977" spans="1:7" ht="20.25" hidden="1" customHeight="1">
      <c r="A977" s="102">
        <v>10919</v>
      </c>
      <c r="B977" s="102">
        <v>14919</v>
      </c>
      <c r="C977" s="102">
        <f t="shared" si="15"/>
        <v>10919</v>
      </c>
      <c r="D977" s="102" t="s">
        <v>498</v>
      </c>
      <c r="E977" s="26" t="s">
        <v>2693</v>
      </c>
      <c r="F977" s="10"/>
      <c r="G977" s="22"/>
    </row>
    <row r="978" spans="1:7" ht="20.25" hidden="1" customHeight="1">
      <c r="A978" s="102">
        <v>10920</v>
      </c>
      <c r="B978" s="102">
        <v>14920</v>
      </c>
      <c r="C978" s="102">
        <f t="shared" si="15"/>
        <v>20920</v>
      </c>
      <c r="D978" s="102" t="s">
        <v>498</v>
      </c>
      <c r="E978" s="26" t="s">
        <v>2694</v>
      </c>
      <c r="F978" s="10"/>
      <c r="G978" s="22"/>
    </row>
    <row r="979" spans="1:7" ht="20.25" hidden="1" customHeight="1">
      <c r="A979" s="102">
        <v>10921</v>
      </c>
      <c r="B979" s="102">
        <v>14921</v>
      </c>
      <c r="C979" s="102">
        <f t="shared" si="15"/>
        <v>10921</v>
      </c>
      <c r="D979" s="102" t="s">
        <v>498</v>
      </c>
      <c r="E979" s="26"/>
      <c r="F979" s="7" t="s">
        <v>643</v>
      </c>
      <c r="G979" s="22"/>
    </row>
    <row r="980" spans="1:7" ht="20.25" hidden="1" customHeight="1" thickBot="1">
      <c r="A980" s="102">
        <v>10922</v>
      </c>
      <c r="B980" s="102">
        <v>14922</v>
      </c>
      <c r="C980" s="102">
        <f t="shared" si="15"/>
        <v>10922</v>
      </c>
      <c r="D980" s="102" t="s">
        <v>498</v>
      </c>
      <c r="E980" s="127"/>
      <c r="F980" s="7" t="s">
        <v>643</v>
      </c>
      <c r="G980" s="22"/>
    </row>
    <row r="981" spans="1:7" ht="20.25" hidden="1" customHeight="1" thickBot="1">
      <c r="A981" s="102">
        <v>10923</v>
      </c>
      <c r="B981" s="102">
        <v>14923</v>
      </c>
      <c r="C981" s="102">
        <f t="shared" si="15"/>
        <v>10923</v>
      </c>
      <c r="D981" s="102" t="s">
        <v>498</v>
      </c>
      <c r="E981" s="127"/>
      <c r="F981" s="7" t="s">
        <v>643</v>
      </c>
      <c r="G981" s="22"/>
    </row>
    <row r="982" spans="1:7" ht="20.25" hidden="1" customHeight="1" thickBot="1">
      <c r="A982" s="102">
        <v>10924</v>
      </c>
      <c r="B982" s="102">
        <v>14924</v>
      </c>
      <c r="C982" s="102">
        <f t="shared" si="15"/>
        <v>10924</v>
      </c>
      <c r="D982" s="102" t="s">
        <v>498</v>
      </c>
      <c r="E982" s="127"/>
      <c r="F982" s="7" t="s">
        <v>643</v>
      </c>
      <c r="G982" s="22"/>
    </row>
    <row r="983" spans="1:7" ht="20.25" hidden="1" customHeight="1">
      <c r="A983" s="102">
        <v>10925</v>
      </c>
      <c r="B983" s="102">
        <v>14925</v>
      </c>
      <c r="C983" s="102">
        <f t="shared" si="15"/>
        <v>10925</v>
      </c>
      <c r="D983" s="102" t="s">
        <v>498</v>
      </c>
      <c r="E983" s="26"/>
      <c r="F983" s="7" t="s">
        <v>643</v>
      </c>
      <c r="G983" s="22"/>
    </row>
    <row r="984" spans="1:7" ht="20.25" hidden="1" customHeight="1">
      <c r="A984" s="102">
        <v>10926</v>
      </c>
      <c r="B984" s="102">
        <v>14926</v>
      </c>
      <c r="C984" s="102">
        <f t="shared" si="15"/>
        <v>10926</v>
      </c>
      <c r="D984" s="102" t="s">
        <v>498</v>
      </c>
      <c r="F984" s="7" t="s">
        <v>643</v>
      </c>
      <c r="G984" s="22"/>
    </row>
    <row r="985" spans="1:7" ht="20.25" hidden="1" customHeight="1">
      <c r="A985" s="102">
        <v>10927</v>
      </c>
      <c r="B985" s="102">
        <v>14927</v>
      </c>
      <c r="C985" s="102">
        <f t="shared" si="15"/>
        <v>10927</v>
      </c>
      <c r="D985" s="174" t="s">
        <v>498</v>
      </c>
      <c r="E985" s="26"/>
      <c r="F985" s="7" t="s">
        <v>643</v>
      </c>
      <c r="G985" s="22"/>
    </row>
    <row r="986" spans="1:7" ht="20.25" hidden="1" customHeight="1">
      <c r="A986" s="102">
        <v>10928</v>
      </c>
      <c r="B986" s="102">
        <v>14928</v>
      </c>
      <c r="C986" s="102">
        <f t="shared" si="15"/>
        <v>10928</v>
      </c>
      <c r="D986" s="102" t="s">
        <v>498</v>
      </c>
      <c r="E986" s="162"/>
      <c r="F986" s="7" t="s">
        <v>643</v>
      </c>
      <c r="G986" s="22"/>
    </row>
    <row r="987" spans="1:7" ht="20.25" hidden="1" customHeight="1">
      <c r="A987" s="102">
        <v>10929</v>
      </c>
      <c r="B987" s="102">
        <v>14929</v>
      </c>
      <c r="C987" s="102">
        <f t="shared" si="15"/>
        <v>10929</v>
      </c>
      <c r="D987" s="102" t="s">
        <v>498</v>
      </c>
      <c r="E987" s="26"/>
      <c r="F987" s="7" t="s">
        <v>643</v>
      </c>
      <c r="G987" s="22"/>
    </row>
    <row r="988" spans="1:7" ht="20.25" hidden="1" customHeight="1" thickBot="1">
      <c r="A988" s="102">
        <v>10930</v>
      </c>
      <c r="B988" s="102">
        <v>14930</v>
      </c>
      <c r="C988" s="102">
        <f t="shared" si="15"/>
        <v>10930</v>
      </c>
      <c r="D988" s="102" t="s">
        <v>498</v>
      </c>
      <c r="E988" s="127"/>
      <c r="F988" s="7" t="s">
        <v>643</v>
      </c>
      <c r="G988" s="22"/>
    </row>
    <row r="989" spans="1:7" ht="20.25" hidden="1" customHeight="1" thickBot="1">
      <c r="A989" s="102">
        <v>10931</v>
      </c>
      <c r="B989" s="102">
        <v>14931</v>
      </c>
      <c r="C989" s="102">
        <f t="shared" si="15"/>
        <v>10931</v>
      </c>
      <c r="D989" s="102" t="s">
        <v>498</v>
      </c>
      <c r="E989" s="127"/>
      <c r="F989" s="7" t="s">
        <v>643</v>
      </c>
      <c r="G989" s="22"/>
    </row>
    <row r="990" spans="1:7" ht="20.25" hidden="1" customHeight="1" thickBot="1">
      <c r="A990" s="102">
        <v>10932</v>
      </c>
      <c r="B990" s="102">
        <v>14932</v>
      </c>
      <c r="C990" s="102">
        <f t="shared" si="15"/>
        <v>10932</v>
      </c>
      <c r="D990" s="102" t="s">
        <v>498</v>
      </c>
      <c r="E990" s="127"/>
      <c r="F990" s="7" t="s">
        <v>643</v>
      </c>
      <c r="G990" s="22"/>
    </row>
    <row r="991" spans="1:7" ht="20.25" hidden="1" customHeight="1" thickBot="1">
      <c r="A991" s="102">
        <v>10933</v>
      </c>
      <c r="B991" s="102">
        <v>14933</v>
      </c>
      <c r="C991" s="102">
        <f t="shared" si="15"/>
        <v>10933</v>
      </c>
      <c r="D991" s="102" t="s">
        <v>498</v>
      </c>
      <c r="E991" s="127"/>
      <c r="F991" s="7" t="s">
        <v>643</v>
      </c>
      <c r="G991" s="22"/>
    </row>
    <row r="992" spans="1:7" ht="15.75" hidden="1" thickBot="1">
      <c r="A992" s="102">
        <v>10934</v>
      </c>
      <c r="B992" s="102">
        <v>14934</v>
      </c>
      <c r="C992" s="102">
        <f t="shared" si="15"/>
        <v>10934</v>
      </c>
      <c r="D992" s="102" t="s">
        <v>498</v>
      </c>
      <c r="E992" s="235"/>
      <c r="F992" s="7" t="s">
        <v>643</v>
      </c>
      <c r="G992" s="22"/>
    </row>
    <row r="993" spans="1:7" ht="20.25" hidden="1" customHeight="1" thickBot="1">
      <c r="A993" s="102">
        <v>10935</v>
      </c>
      <c r="B993" s="102">
        <v>14935</v>
      </c>
      <c r="C993" s="102">
        <f t="shared" si="15"/>
        <v>10935</v>
      </c>
      <c r="D993" s="102" t="s">
        <v>498</v>
      </c>
      <c r="E993" s="235"/>
      <c r="F993" s="7" t="s">
        <v>643</v>
      </c>
      <c r="G993" s="22"/>
    </row>
    <row r="994" spans="1:7" ht="20.25" hidden="1" customHeight="1" thickBot="1">
      <c r="A994" s="102">
        <v>10936</v>
      </c>
      <c r="B994" s="102">
        <v>14936</v>
      </c>
      <c r="C994" s="102">
        <f t="shared" si="15"/>
        <v>10936</v>
      </c>
      <c r="D994" s="102" t="s">
        <v>498</v>
      </c>
      <c r="E994" s="235"/>
      <c r="F994" s="7" t="s">
        <v>643</v>
      </c>
      <c r="G994" s="22"/>
    </row>
    <row r="995" spans="1:7" ht="20.25" hidden="1" customHeight="1" thickBot="1">
      <c r="A995" s="102">
        <v>10937</v>
      </c>
      <c r="B995" s="102">
        <v>14937</v>
      </c>
      <c r="C995" s="102">
        <f t="shared" si="15"/>
        <v>10937</v>
      </c>
      <c r="D995" s="102" t="s">
        <v>498</v>
      </c>
      <c r="E995" s="127"/>
      <c r="F995" s="7" t="s">
        <v>643</v>
      </c>
      <c r="G995" s="22"/>
    </row>
    <row r="996" spans="1:7" ht="20.25" hidden="1" customHeight="1">
      <c r="A996" s="102">
        <v>10938</v>
      </c>
      <c r="B996" s="102">
        <v>14938</v>
      </c>
      <c r="C996" s="102">
        <f t="shared" si="15"/>
        <v>10938</v>
      </c>
      <c r="D996" s="102" t="s">
        <v>498</v>
      </c>
      <c r="E996" s="115"/>
      <c r="F996" s="7" t="s">
        <v>643</v>
      </c>
      <c r="G996" s="22"/>
    </row>
    <row r="997" spans="1:7" ht="20.25" hidden="1" customHeight="1">
      <c r="A997" s="102">
        <v>10939</v>
      </c>
      <c r="B997" s="102">
        <v>14939</v>
      </c>
      <c r="C997" s="102">
        <f t="shared" si="15"/>
        <v>10939</v>
      </c>
      <c r="D997" s="102" t="s">
        <v>498</v>
      </c>
      <c r="E997" s="236"/>
      <c r="F997" s="7" t="s">
        <v>643</v>
      </c>
      <c r="G997" s="22"/>
    </row>
    <row r="998" spans="1:7" ht="20.25" hidden="1" customHeight="1">
      <c r="A998" s="102">
        <v>10940</v>
      </c>
      <c r="B998" s="102">
        <v>14940</v>
      </c>
      <c r="C998" s="102">
        <f t="shared" si="15"/>
        <v>10940</v>
      </c>
      <c r="D998" s="102" t="s">
        <v>498</v>
      </c>
      <c r="E998" s="26"/>
      <c r="F998" s="7" t="s">
        <v>643</v>
      </c>
      <c r="G998" s="22"/>
    </row>
    <row r="999" spans="1:7" ht="20.25" hidden="1" customHeight="1">
      <c r="A999" s="102">
        <v>10941</v>
      </c>
      <c r="B999" s="102">
        <v>14941</v>
      </c>
      <c r="C999" s="102">
        <f t="shared" si="15"/>
        <v>10941</v>
      </c>
      <c r="D999" s="102" t="s">
        <v>498</v>
      </c>
      <c r="E999" s="26"/>
      <c r="F999" s="7" t="s">
        <v>643</v>
      </c>
      <c r="G999" s="22"/>
    </row>
    <row r="1000" spans="1:7" ht="20.25" hidden="1" customHeight="1">
      <c r="A1000" s="102">
        <v>10942</v>
      </c>
      <c r="B1000" s="102">
        <v>14942</v>
      </c>
      <c r="C1000" s="102">
        <f t="shared" si="15"/>
        <v>10942</v>
      </c>
      <c r="D1000" s="102" t="s">
        <v>498</v>
      </c>
      <c r="E1000" s="236"/>
      <c r="F1000" s="7" t="s">
        <v>643</v>
      </c>
      <c r="G1000" s="22"/>
    </row>
    <row r="1001" spans="1:7" ht="20.25" hidden="1" customHeight="1">
      <c r="A1001" s="102">
        <v>10943</v>
      </c>
      <c r="B1001" s="102">
        <v>14943</v>
      </c>
      <c r="C1001" s="102">
        <f t="shared" si="15"/>
        <v>10943</v>
      </c>
      <c r="D1001" s="102" t="s">
        <v>498</v>
      </c>
      <c r="E1001" s="236"/>
      <c r="F1001" s="7" t="s">
        <v>643</v>
      </c>
      <c r="G1001" s="22"/>
    </row>
    <row r="1002" spans="1:7" ht="20.25" hidden="1" customHeight="1">
      <c r="A1002" s="102">
        <v>10944</v>
      </c>
      <c r="B1002" s="102">
        <v>14944</v>
      </c>
      <c r="C1002" s="102">
        <f t="shared" si="15"/>
        <v>10944</v>
      </c>
      <c r="D1002" s="102" t="s">
        <v>498</v>
      </c>
      <c r="E1002" s="236"/>
      <c r="F1002" s="7" t="s">
        <v>643</v>
      </c>
      <c r="G1002" s="22"/>
    </row>
    <row r="1003" spans="1:7" ht="20.25" hidden="1" customHeight="1">
      <c r="A1003" s="102">
        <v>10945</v>
      </c>
      <c r="B1003" s="102">
        <v>14945</v>
      </c>
      <c r="C1003" s="102">
        <f t="shared" si="15"/>
        <v>10945</v>
      </c>
      <c r="D1003" s="102" t="s">
        <v>498</v>
      </c>
      <c r="E1003" s="236"/>
      <c r="F1003" s="7" t="s">
        <v>643</v>
      </c>
      <c r="G1003" s="22"/>
    </row>
    <row r="1004" spans="1:7" ht="20.25" hidden="1" customHeight="1">
      <c r="A1004" s="102">
        <v>10946</v>
      </c>
      <c r="B1004" s="102">
        <v>14946</v>
      </c>
      <c r="C1004" s="102">
        <f t="shared" si="15"/>
        <v>10946</v>
      </c>
      <c r="D1004" s="102" t="s">
        <v>498</v>
      </c>
      <c r="E1004" s="236"/>
      <c r="F1004" s="7" t="s">
        <v>643</v>
      </c>
      <c r="G1004" s="22"/>
    </row>
    <row r="1005" spans="1:7" ht="20.25" hidden="1" customHeight="1">
      <c r="A1005" s="102">
        <v>10947</v>
      </c>
      <c r="B1005" s="102">
        <v>14947</v>
      </c>
      <c r="C1005" s="102">
        <f t="shared" si="15"/>
        <v>10947</v>
      </c>
      <c r="D1005" s="102" t="s">
        <v>498</v>
      </c>
      <c r="E1005" s="236" t="s">
        <v>2695</v>
      </c>
      <c r="F1005" s="10"/>
      <c r="G1005" s="22"/>
    </row>
    <row r="1006" spans="1:7" ht="20.25" hidden="1" customHeight="1">
      <c r="A1006" s="102">
        <v>10948</v>
      </c>
      <c r="B1006" s="102">
        <v>14948</v>
      </c>
      <c r="C1006" s="102">
        <f t="shared" si="15"/>
        <v>10948</v>
      </c>
      <c r="D1006" s="102" t="s">
        <v>498</v>
      </c>
      <c r="E1006" s="236" t="s">
        <v>2385</v>
      </c>
      <c r="F1006" s="10"/>
      <c r="G1006" s="22"/>
    </row>
    <row r="1007" spans="1:7" ht="20.25" hidden="1" customHeight="1">
      <c r="A1007" s="102">
        <v>10949</v>
      </c>
      <c r="B1007" s="102">
        <v>14949</v>
      </c>
      <c r="C1007" s="102">
        <f t="shared" si="15"/>
        <v>10949</v>
      </c>
      <c r="D1007" s="102" t="s">
        <v>498</v>
      </c>
      <c r="E1007" s="236"/>
      <c r="F1007" s="7" t="s">
        <v>643</v>
      </c>
      <c r="G1007" s="22"/>
    </row>
    <row r="1008" spans="1:7" ht="20.25" hidden="1" customHeight="1">
      <c r="A1008" s="102">
        <v>10950</v>
      </c>
      <c r="B1008" s="102">
        <v>14950</v>
      </c>
      <c r="C1008" s="102">
        <f t="shared" si="15"/>
        <v>10950</v>
      </c>
      <c r="D1008" s="102" t="s">
        <v>498</v>
      </c>
      <c r="E1008" s="26"/>
      <c r="F1008" s="7" t="s">
        <v>643</v>
      </c>
      <c r="G1008" s="22"/>
    </row>
    <row r="1009" spans="1:7" ht="20.25" hidden="1" customHeight="1">
      <c r="A1009" s="102">
        <v>10951</v>
      </c>
      <c r="B1009" s="102">
        <v>14951</v>
      </c>
      <c r="C1009" s="102">
        <f t="shared" si="15"/>
        <v>10951</v>
      </c>
      <c r="D1009" s="102" t="s">
        <v>498</v>
      </c>
      <c r="E1009" s="26" t="s">
        <v>2696</v>
      </c>
      <c r="F1009" s="10"/>
      <c r="G1009" s="22"/>
    </row>
    <row r="1010" spans="1:7" ht="20.25" hidden="1" customHeight="1">
      <c r="A1010" s="102">
        <v>10952</v>
      </c>
      <c r="B1010" s="102">
        <v>14952</v>
      </c>
      <c r="C1010" s="102">
        <f t="shared" si="15"/>
        <v>20952</v>
      </c>
      <c r="D1010" s="102" t="s">
        <v>498</v>
      </c>
      <c r="E1010" s="26" t="s">
        <v>2697</v>
      </c>
      <c r="F1010" s="10"/>
      <c r="G1010" s="22"/>
    </row>
    <row r="1011" spans="1:7" ht="20.25" hidden="1" customHeight="1">
      <c r="A1011" s="102">
        <v>10953</v>
      </c>
      <c r="B1011" s="102">
        <v>14953</v>
      </c>
      <c r="C1011" s="102">
        <f t="shared" si="15"/>
        <v>20953</v>
      </c>
      <c r="D1011" s="102" t="s">
        <v>498</v>
      </c>
      <c r="E1011" s="26" t="s">
        <v>2698</v>
      </c>
      <c r="F1011" s="10"/>
      <c r="G1011" s="22"/>
    </row>
    <row r="1012" spans="1:7" ht="20.25" hidden="1" customHeight="1">
      <c r="A1012" s="102">
        <v>10954</v>
      </c>
      <c r="B1012" s="102">
        <v>14954</v>
      </c>
      <c r="C1012" s="102">
        <f t="shared" si="15"/>
        <v>20954</v>
      </c>
      <c r="D1012" s="102" t="s">
        <v>498</v>
      </c>
      <c r="E1012" s="26" t="s">
        <v>2699</v>
      </c>
      <c r="F1012" s="10"/>
      <c r="G1012" s="22"/>
    </row>
    <row r="1013" spans="1:7" ht="20.25" hidden="1" customHeight="1">
      <c r="A1013" s="102">
        <v>10955</v>
      </c>
      <c r="B1013" s="102">
        <v>14955</v>
      </c>
      <c r="C1013" s="102">
        <f t="shared" si="15"/>
        <v>20955</v>
      </c>
      <c r="D1013" s="102" t="s">
        <v>498</v>
      </c>
      <c r="E1013" s="26" t="s">
        <v>2700</v>
      </c>
      <c r="F1013" s="10"/>
      <c r="G1013" s="22"/>
    </row>
    <row r="1014" spans="1:7" ht="20.25" hidden="1" customHeight="1">
      <c r="A1014" s="102">
        <v>10956</v>
      </c>
      <c r="B1014" s="102">
        <v>14956</v>
      </c>
      <c r="C1014" s="102">
        <f t="shared" si="15"/>
        <v>20956</v>
      </c>
      <c r="D1014" s="102" t="s">
        <v>498</v>
      </c>
      <c r="E1014" s="198" t="s">
        <v>2701</v>
      </c>
      <c r="F1014" s="10"/>
      <c r="G1014" s="22"/>
    </row>
    <row r="1015" spans="1:7" ht="20.25" hidden="1" customHeight="1">
      <c r="A1015" s="102">
        <v>10957</v>
      </c>
      <c r="B1015" s="102">
        <v>14957</v>
      </c>
      <c r="C1015" s="102">
        <f t="shared" si="15"/>
        <v>20957</v>
      </c>
      <c r="D1015" s="102" t="s">
        <v>498</v>
      </c>
      <c r="E1015" s="198" t="s">
        <v>2702</v>
      </c>
      <c r="F1015" s="10"/>
      <c r="G1015" s="22"/>
    </row>
    <row r="1016" spans="1:7" ht="20.25" hidden="1" customHeight="1">
      <c r="A1016" s="102">
        <v>10958</v>
      </c>
      <c r="B1016" s="102">
        <v>14958</v>
      </c>
      <c r="C1016" s="102">
        <f t="shared" si="15"/>
        <v>20958</v>
      </c>
      <c r="D1016" s="102" t="s">
        <v>498</v>
      </c>
      <c r="E1016" s="198" t="s">
        <v>2703</v>
      </c>
      <c r="F1016" s="10"/>
      <c r="G1016" s="22"/>
    </row>
    <row r="1017" spans="1:7" ht="20.25" hidden="1" customHeight="1">
      <c r="A1017" s="102">
        <v>10959</v>
      </c>
      <c r="B1017" s="102">
        <v>14959</v>
      </c>
      <c r="C1017" s="102">
        <f t="shared" si="15"/>
        <v>20959</v>
      </c>
      <c r="D1017" s="102" t="s">
        <v>498</v>
      </c>
      <c r="E1017" s="198" t="s">
        <v>2704</v>
      </c>
      <c r="F1017" s="10"/>
      <c r="G1017" s="22"/>
    </row>
    <row r="1018" spans="1:7" ht="20.25" hidden="1" customHeight="1">
      <c r="A1018" s="102">
        <v>10960</v>
      </c>
      <c r="B1018" s="102">
        <v>14960</v>
      </c>
      <c r="C1018" s="102">
        <f t="shared" si="15"/>
        <v>20960</v>
      </c>
      <c r="D1018" s="102" t="s">
        <v>498</v>
      </c>
      <c r="E1018" s="198" t="s">
        <v>2705</v>
      </c>
      <c r="F1018" s="10"/>
      <c r="G1018" s="22"/>
    </row>
    <row r="1019" spans="1:7" ht="20.25" hidden="1" customHeight="1">
      <c r="A1019" s="102">
        <v>10961</v>
      </c>
      <c r="B1019" s="102">
        <v>14961</v>
      </c>
      <c r="C1019" s="102">
        <f t="shared" si="15"/>
        <v>20961</v>
      </c>
      <c r="D1019" s="102" t="s">
        <v>67</v>
      </c>
      <c r="E1019" s="198" t="s">
        <v>2706</v>
      </c>
      <c r="F1019" s="10"/>
      <c r="G1019" s="22"/>
    </row>
    <row r="1020" spans="1:7" ht="20.25" hidden="1" customHeight="1">
      <c r="A1020" s="102">
        <v>10962</v>
      </c>
      <c r="B1020" s="102">
        <v>14962</v>
      </c>
      <c r="C1020" s="102">
        <f t="shared" si="15"/>
        <v>20962</v>
      </c>
      <c r="D1020" s="102" t="s">
        <v>498</v>
      </c>
      <c r="E1020" s="26" t="s">
        <v>2707</v>
      </c>
      <c r="F1020" s="10"/>
      <c r="G1020" s="22"/>
    </row>
    <row r="1021" spans="1:7" ht="20.25" hidden="1" customHeight="1">
      <c r="A1021" s="102">
        <v>10963</v>
      </c>
      <c r="B1021" s="102">
        <v>14963</v>
      </c>
      <c r="C1021" s="102">
        <f t="shared" si="15"/>
        <v>20963</v>
      </c>
      <c r="D1021" s="102" t="s">
        <v>498</v>
      </c>
      <c r="E1021" s="26" t="s">
        <v>2708</v>
      </c>
      <c r="F1021" s="10"/>
      <c r="G1021" s="22"/>
    </row>
    <row r="1022" spans="1:7" ht="20.25" hidden="1" customHeight="1">
      <c r="A1022" s="102">
        <v>10964</v>
      </c>
      <c r="B1022" s="102">
        <v>14964</v>
      </c>
      <c r="C1022" s="102">
        <f t="shared" si="15"/>
        <v>20964</v>
      </c>
      <c r="D1022" s="102" t="s">
        <v>498</v>
      </c>
      <c r="E1022" s="26" t="s">
        <v>2709</v>
      </c>
      <c r="F1022" s="10"/>
      <c r="G1022" s="22"/>
    </row>
    <row r="1023" spans="1:7" ht="20.25" hidden="1" customHeight="1">
      <c r="A1023" s="102">
        <v>10965</v>
      </c>
      <c r="B1023" s="102">
        <v>14965</v>
      </c>
      <c r="C1023" s="102">
        <f t="shared" si="15"/>
        <v>20965</v>
      </c>
      <c r="D1023" s="102" t="s">
        <v>498</v>
      </c>
      <c r="E1023" s="26" t="s">
        <v>2710</v>
      </c>
      <c r="F1023" s="10"/>
      <c r="G1023" s="22"/>
    </row>
    <row r="1024" spans="1:7" ht="20.25" hidden="1" customHeight="1">
      <c r="A1024" s="102">
        <v>10966</v>
      </c>
      <c r="B1024" s="102">
        <v>14966</v>
      </c>
      <c r="C1024" s="102">
        <f t="shared" si="15"/>
        <v>20966</v>
      </c>
      <c r="D1024" s="102" t="s">
        <v>67</v>
      </c>
      <c r="E1024" s="26" t="s">
        <v>2711</v>
      </c>
      <c r="F1024" s="10"/>
      <c r="G1024" s="22"/>
    </row>
    <row r="1025" spans="1:7" ht="20.25" hidden="1" customHeight="1">
      <c r="A1025" s="102">
        <v>10967</v>
      </c>
      <c r="B1025" s="102">
        <v>14967</v>
      </c>
      <c r="C1025" s="102">
        <f t="shared" si="15"/>
        <v>10967</v>
      </c>
      <c r="D1025" s="102" t="s">
        <v>498</v>
      </c>
      <c r="E1025" s="26"/>
      <c r="F1025" s="7" t="s">
        <v>643</v>
      </c>
      <c r="G1025" s="22"/>
    </row>
    <row r="1026" spans="1:7" ht="20.25" hidden="1" customHeight="1">
      <c r="A1026" s="102">
        <v>10968</v>
      </c>
      <c r="B1026" s="102">
        <v>14968</v>
      </c>
      <c r="C1026" s="102">
        <f t="shared" si="15"/>
        <v>10968</v>
      </c>
      <c r="D1026" s="102" t="s">
        <v>498</v>
      </c>
      <c r="E1026" s="26"/>
      <c r="F1026" s="7" t="s">
        <v>643</v>
      </c>
      <c r="G1026" s="22"/>
    </row>
    <row r="1027" spans="1:7" ht="20.25" hidden="1" customHeight="1">
      <c r="A1027" s="102">
        <v>10969</v>
      </c>
      <c r="B1027" s="102">
        <v>14969</v>
      </c>
      <c r="C1027" s="102">
        <f t="shared" ref="C1027:C1091" si="16">IF(ISERROR(FIND("B_Epic",E1027)),A1027,A1027+10000)</f>
        <v>10969</v>
      </c>
      <c r="D1027" s="102" t="s">
        <v>498</v>
      </c>
      <c r="E1027" s="26"/>
      <c r="F1027" s="7" t="s">
        <v>643</v>
      </c>
      <c r="G1027" s="22"/>
    </row>
    <row r="1028" spans="1:7" ht="20.25" hidden="1" customHeight="1">
      <c r="A1028" s="102">
        <v>10970</v>
      </c>
      <c r="B1028" s="102">
        <v>14970</v>
      </c>
      <c r="C1028" s="102">
        <f t="shared" si="16"/>
        <v>10970</v>
      </c>
      <c r="D1028" s="102" t="s">
        <v>498</v>
      </c>
      <c r="E1028" s="191" t="s">
        <v>2712</v>
      </c>
      <c r="F1028" s="7" t="s">
        <v>1113</v>
      </c>
      <c r="G1028" s="22"/>
    </row>
    <row r="1029" spans="1:7" ht="20.25" hidden="1" customHeight="1">
      <c r="A1029" s="102">
        <v>10971</v>
      </c>
      <c r="B1029" s="102">
        <v>14971</v>
      </c>
      <c r="C1029" s="102">
        <f t="shared" si="16"/>
        <v>10971</v>
      </c>
      <c r="D1029" s="102" t="s">
        <v>498</v>
      </c>
      <c r="E1029" s="26"/>
      <c r="F1029" s="7" t="s">
        <v>643</v>
      </c>
      <c r="G1029" s="22"/>
    </row>
    <row r="1030" spans="1:7" ht="20.25" hidden="1" customHeight="1">
      <c r="A1030" s="102">
        <v>10972</v>
      </c>
      <c r="B1030" s="102">
        <v>14972</v>
      </c>
      <c r="C1030" s="102">
        <f t="shared" si="16"/>
        <v>10972</v>
      </c>
      <c r="D1030" s="102" t="s">
        <v>498</v>
      </c>
      <c r="E1030" s="26"/>
      <c r="F1030" s="7" t="s">
        <v>643</v>
      </c>
      <c r="G1030" s="22"/>
    </row>
    <row r="1031" spans="1:7" ht="20.25" hidden="1" customHeight="1">
      <c r="A1031" s="102">
        <v>10973</v>
      </c>
      <c r="B1031" s="102">
        <v>14973</v>
      </c>
      <c r="C1031" s="102">
        <f t="shared" si="16"/>
        <v>10973</v>
      </c>
      <c r="D1031" s="102" t="s">
        <v>498</v>
      </c>
      <c r="E1031" s="26"/>
      <c r="F1031" s="7" t="s">
        <v>643</v>
      </c>
      <c r="G1031" s="22"/>
    </row>
    <row r="1032" spans="1:7" ht="20.25" hidden="1" customHeight="1">
      <c r="A1032" s="102">
        <v>10974</v>
      </c>
      <c r="B1032" s="102">
        <v>14974</v>
      </c>
      <c r="C1032" s="102">
        <f t="shared" si="16"/>
        <v>10974</v>
      </c>
      <c r="D1032" s="102" t="s">
        <v>498</v>
      </c>
      <c r="E1032" s="26"/>
      <c r="F1032" s="7" t="s">
        <v>643</v>
      </c>
      <c r="G1032" s="22"/>
    </row>
    <row r="1033" spans="1:7" ht="20.25" hidden="1" customHeight="1">
      <c r="A1033" s="102">
        <v>10975</v>
      </c>
      <c r="B1033" s="102">
        <v>14975</v>
      </c>
      <c r="C1033" s="102">
        <f t="shared" si="16"/>
        <v>10975</v>
      </c>
      <c r="D1033" s="102" t="s">
        <v>498</v>
      </c>
      <c r="E1033" s="26"/>
      <c r="F1033" s="7" t="s">
        <v>643</v>
      </c>
      <c r="G1033" s="22"/>
    </row>
    <row r="1034" spans="1:7" ht="20.25" hidden="1" customHeight="1">
      <c r="A1034" s="102">
        <v>10976</v>
      </c>
      <c r="B1034" s="102">
        <v>14976</v>
      </c>
      <c r="C1034" s="102">
        <f t="shared" si="16"/>
        <v>10976</v>
      </c>
      <c r="D1034" s="102" t="s">
        <v>498</v>
      </c>
      <c r="E1034" s="26"/>
      <c r="F1034" s="7" t="s">
        <v>643</v>
      </c>
      <c r="G1034" s="22"/>
    </row>
    <row r="1035" spans="1:7" ht="20.25" hidden="1" customHeight="1">
      <c r="A1035" s="102">
        <v>10977</v>
      </c>
      <c r="B1035" s="102">
        <v>14977</v>
      </c>
      <c r="C1035" s="102">
        <f t="shared" si="16"/>
        <v>10977</v>
      </c>
      <c r="D1035" s="102" t="s">
        <v>498</v>
      </c>
      <c r="E1035" s="26"/>
      <c r="F1035" s="7" t="s">
        <v>643</v>
      </c>
      <c r="G1035" s="22"/>
    </row>
    <row r="1036" spans="1:7" ht="20.25" hidden="1" customHeight="1">
      <c r="A1036" s="102">
        <v>10978</v>
      </c>
      <c r="B1036" s="102">
        <v>14978</v>
      </c>
      <c r="C1036" s="102">
        <f t="shared" si="16"/>
        <v>10978</v>
      </c>
      <c r="D1036" s="102" t="s">
        <v>498</v>
      </c>
      <c r="E1036" s="26"/>
      <c r="F1036" s="7" t="s">
        <v>643</v>
      </c>
      <c r="G1036" s="22"/>
    </row>
    <row r="1037" spans="1:7" ht="20.25" hidden="1" customHeight="1">
      <c r="A1037" s="102">
        <v>10979</v>
      </c>
      <c r="B1037" s="102">
        <v>14979</v>
      </c>
      <c r="C1037" s="102">
        <f t="shared" si="16"/>
        <v>10979</v>
      </c>
      <c r="D1037" s="102" t="s">
        <v>498</v>
      </c>
      <c r="F1037" s="7" t="s">
        <v>643</v>
      </c>
      <c r="G1037" s="22"/>
    </row>
    <row r="1038" spans="1:7" ht="20.25" hidden="1" customHeight="1">
      <c r="A1038" s="102">
        <v>10980</v>
      </c>
      <c r="B1038" s="102">
        <v>14980</v>
      </c>
      <c r="C1038" s="102">
        <f t="shared" si="16"/>
        <v>10980</v>
      </c>
      <c r="D1038" s="102" t="s">
        <v>67</v>
      </c>
      <c r="E1038" s="26" t="s">
        <v>2713</v>
      </c>
      <c r="F1038" s="10"/>
      <c r="G1038" s="22"/>
    </row>
    <row r="1039" spans="1:7" ht="20.25" hidden="1" customHeight="1">
      <c r="A1039" s="102">
        <v>10980</v>
      </c>
      <c r="B1039" s="102">
        <v>14980</v>
      </c>
      <c r="C1039" s="102">
        <f t="shared" si="16"/>
        <v>10980</v>
      </c>
      <c r="D1039" s="102" t="s">
        <v>498</v>
      </c>
      <c r="E1039" s="26" t="s">
        <v>2714</v>
      </c>
      <c r="F1039" s="10"/>
      <c r="G1039" s="22"/>
    </row>
    <row r="1040" spans="1:7" ht="20.25" hidden="1" customHeight="1">
      <c r="A1040" s="102">
        <v>10981</v>
      </c>
      <c r="B1040" s="102">
        <v>14981</v>
      </c>
      <c r="C1040" s="102">
        <f t="shared" si="16"/>
        <v>10981</v>
      </c>
      <c r="D1040" s="102" t="s">
        <v>498</v>
      </c>
      <c r="E1040" s="26" t="s">
        <v>2715</v>
      </c>
      <c r="F1040" s="10"/>
      <c r="G1040" s="22"/>
    </row>
    <row r="1041" spans="1:7" ht="20.25" hidden="1" customHeight="1">
      <c r="A1041" s="102">
        <v>10982</v>
      </c>
      <c r="B1041" s="102">
        <v>14982</v>
      </c>
      <c r="C1041" s="102">
        <f t="shared" si="16"/>
        <v>10982</v>
      </c>
      <c r="D1041" s="102" t="s">
        <v>498</v>
      </c>
      <c r="E1041" s="26"/>
      <c r="F1041" s="7" t="s">
        <v>643</v>
      </c>
      <c r="G1041" s="22"/>
    </row>
    <row r="1042" spans="1:7" ht="20.25" hidden="1" customHeight="1">
      <c r="A1042" s="102">
        <v>10983</v>
      </c>
      <c r="B1042" s="102">
        <v>14983</v>
      </c>
      <c r="C1042" s="102">
        <f t="shared" si="16"/>
        <v>20983</v>
      </c>
      <c r="D1042" s="102" t="s">
        <v>498</v>
      </c>
      <c r="E1042" s="26" t="s">
        <v>2716</v>
      </c>
      <c r="F1042" s="10"/>
      <c r="G1042" s="22"/>
    </row>
    <row r="1043" spans="1:7" ht="20.25" hidden="1" customHeight="1">
      <c r="A1043" s="102">
        <v>10984</v>
      </c>
      <c r="B1043" s="102">
        <v>14984</v>
      </c>
      <c r="C1043" s="102">
        <f t="shared" si="16"/>
        <v>10984</v>
      </c>
      <c r="D1043" s="102" t="s">
        <v>498</v>
      </c>
      <c r="E1043" s="26" t="s">
        <v>2717</v>
      </c>
      <c r="F1043" s="5" t="s">
        <v>1113</v>
      </c>
      <c r="G1043" s="22"/>
    </row>
    <row r="1044" spans="1:7" ht="20.25" hidden="1" customHeight="1">
      <c r="A1044" s="102">
        <v>10985</v>
      </c>
      <c r="B1044" s="102">
        <v>14985</v>
      </c>
      <c r="C1044" s="102">
        <f t="shared" si="16"/>
        <v>20985</v>
      </c>
      <c r="D1044" s="102" t="s">
        <v>498</v>
      </c>
      <c r="E1044" s="26" t="s">
        <v>2718</v>
      </c>
      <c r="F1044" s="10"/>
      <c r="G1044" s="22"/>
    </row>
    <row r="1045" spans="1:7" ht="20.25" hidden="1" customHeight="1">
      <c r="A1045" s="102">
        <v>10986</v>
      </c>
      <c r="B1045" s="102">
        <v>14986</v>
      </c>
      <c r="C1045" s="102">
        <f t="shared" si="16"/>
        <v>20986</v>
      </c>
      <c r="D1045" s="102" t="s">
        <v>498</v>
      </c>
      <c r="E1045" s="26" t="s">
        <v>2719</v>
      </c>
      <c r="F1045" s="10"/>
      <c r="G1045" s="22"/>
    </row>
    <row r="1046" spans="1:7" ht="20.25" hidden="1" customHeight="1">
      <c r="A1046" s="102">
        <v>10987</v>
      </c>
      <c r="B1046" s="102">
        <v>14987</v>
      </c>
      <c r="C1046" s="102">
        <f t="shared" si="16"/>
        <v>20987</v>
      </c>
      <c r="D1046" s="102" t="s">
        <v>498</v>
      </c>
      <c r="E1046" s="26" t="s">
        <v>2720</v>
      </c>
      <c r="F1046" s="10"/>
      <c r="G1046" s="22"/>
    </row>
    <row r="1047" spans="1:7" ht="20.25" hidden="1" customHeight="1">
      <c r="A1047" s="102">
        <v>10988</v>
      </c>
      <c r="B1047" s="102">
        <v>14988</v>
      </c>
      <c r="C1047" s="102">
        <f t="shared" si="16"/>
        <v>20988</v>
      </c>
      <c r="D1047" s="102" t="s">
        <v>498</v>
      </c>
      <c r="E1047" s="26" t="s">
        <v>2721</v>
      </c>
      <c r="F1047" s="10"/>
      <c r="G1047" s="22"/>
    </row>
    <row r="1048" spans="1:7" ht="20.25" hidden="1" customHeight="1">
      <c r="A1048" s="102">
        <v>10989</v>
      </c>
      <c r="B1048" s="102">
        <v>14989</v>
      </c>
      <c r="C1048" s="102">
        <f t="shared" si="16"/>
        <v>20989</v>
      </c>
      <c r="D1048" s="102" t="s">
        <v>498</v>
      </c>
      <c r="E1048" s="26" t="s">
        <v>2722</v>
      </c>
      <c r="F1048" s="10"/>
      <c r="G1048" s="22"/>
    </row>
    <row r="1049" spans="1:7" ht="20.25" hidden="1" customHeight="1">
      <c r="A1049" s="102">
        <v>10990</v>
      </c>
      <c r="B1049" s="102">
        <v>14990</v>
      </c>
      <c r="C1049" s="102">
        <f t="shared" si="16"/>
        <v>10990</v>
      </c>
      <c r="D1049" s="102" t="s">
        <v>498</v>
      </c>
      <c r="E1049" s="26"/>
      <c r="F1049" s="7" t="s">
        <v>643</v>
      </c>
      <c r="G1049" s="22"/>
    </row>
    <row r="1050" spans="1:7" ht="20.25" hidden="1" customHeight="1">
      <c r="A1050" s="102">
        <v>10991</v>
      </c>
      <c r="B1050" s="102">
        <v>14991</v>
      </c>
      <c r="C1050" s="102">
        <f t="shared" si="16"/>
        <v>10991</v>
      </c>
      <c r="D1050" s="102" t="s">
        <v>498</v>
      </c>
      <c r="E1050" s="26"/>
      <c r="F1050" s="7" t="s">
        <v>643</v>
      </c>
      <c r="G1050" s="22"/>
    </row>
    <row r="1051" spans="1:7" ht="20.25" hidden="1" customHeight="1">
      <c r="A1051" s="102">
        <v>10992</v>
      </c>
      <c r="B1051" s="102">
        <v>14992</v>
      </c>
      <c r="C1051" s="102">
        <f t="shared" si="16"/>
        <v>10992</v>
      </c>
      <c r="D1051" s="102" t="s">
        <v>498</v>
      </c>
      <c r="E1051" s="26"/>
      <c r="F1051" s="7" t="s">
        <v>643</v>
      </c>
    </row>
    <row r="1052" spans="1:7" ht="20.25" hidden="1" customHeight="1">
      <c r="A1052" s="102">
        <v>10993</v>
      </c>
      <c r="B1052" s="102">
        <v>14993</v>
      </c>
      <c r="C1052" s="102">
        <f t="shared" si="16"/>
        <v>10993</v>
      </c>
      <c r="D1052" s="102" t="s">
        <v>498</v>
      </c>
      <c r="E1052" s="26"/>
      <c r="F1052" s="7" t="s">
        <v>643</v>
      </c>
    </row>
    <row r="1053" spans="1:7" ht="20.25" hidden="1" customHeight="1">
      <c r="A1053" s="102">
        <v>10994</v>
      </c>
      <c r="B1053" s="102">
        <v>14994</v>
      </c>
      <c r="C1053" s="102">
        <f t="shared" si="16"/>
        <v>10994</v>
      </c>
      <c r="D1053" s="102" t="s">
        <v>498</v>
      </c>
      <c r="E1053" s="26"/>
      <c r="F1053" s="7" t="s">
        <v>643</v>
      </c>
      <c r="G1053" s="22"/>
    </row>
    <row r="1054" spans="1:7" ht="20.25" hidden="1" customHeight="1">
      <c r="A1054" s="102">
        <v>10995</v>
      </c>
      <c r="B1054" s="102">
        <v>14995</v>
      </c>
      <c r="C1054" s="102">
        <f t="shared" si="16"/>
        <v>10995</v>
      </c>
      <c r="D1054" s="102" t="s">
        <v>498</v>
      </c>
      <c r="E1054" s="26"/>
      <c r="F1054" s="7" t="s">
        <v>643</v>
      </c>
      <c r="G1054" s="22"/>
    </row>
    <row r="1055" spans="1:7" ht="20.25" hidden="1" customHeight="1">
      <c r="A1055" s="102">
        <v>10996</v>
      </c>
      <c r="B1055" s="102">
        <v>14996</v>
      </c>
      <c r="C1055" s="102">
        <f t="shared" si="16"/>
        <v>10996</v>
      </c>
      <c r="D1055" s="102" t="s">
        <v>498</v>
      </c>
      <c r="E1055" s="26"/>
      <c r="F1055" s="7" t="s">
        <v>643</v>
      </c>
      <c r="G1055" s="22"/>
    </row>
    <row r="1056" spans="1:7" ht="20.25" hidden="1" customHeight="1">
      <c r="A1056" s="102">
        <v>10997</v>
      </c>
      <c r="B1056" s="102">
        <v>14997</v>
      </c>
      <c r="C1056" s="102">
        <f t="shared" si="16"/>
        <v>10997</v>
      </c>
      <c r="D1056" s="102" t="s">
        <v>498</v>
      </c>
      <c r="E1056" s="26" t="s">
        <v>2723</v>
      </c>
      <c r="F1056" s="10"/>
      <c r="G1056" s="22"/>
    </row>
    <row r="1057" spans="1:7" ht="20.25" hidden="1" customHeight="1">
      <c r="A1057" s="102">
        <v>10998</v>
      </c>
      <c r="B1057" s="102">
        <v>14998</v>
      </c>
      <c r="C1057" s="102">
        <f t="shared" si="16"/>
        <v>10998</v>
      </c>
      <c r="D1057" s="102" t="s">
        <v>498</v>
      </c>
      <c r="E1057" s="26"/>
      <c r="F1057" s="7" t="s">
        <v>643</v>
      </c>
      <c r="G1057" s="22"/>
    </row>
    <row r="1058" spans="1:7" ht="20.25" hidden="1" customHeight="1">
      <c r="A1058" s="102">
        <v>10999</v>
      </c>
      <c r="B1058" s="102">
        <v>14999</v>
      </c>
      <c r="C1058" s="102">
        <f t="shared" si="16"/>
        <v>10999</v>
      </c>
      <c r="D1058" s="102" t="s">
        <v>67</v>
      </c>
      <c r="E1058" s="26" t="s">
        <v>2724</v>
      </c>
      <c r="F1058" s="10"/>
      <c r="G1058" s="22"/>
    </row>
    <row r="1059" spans="1:7" ht="20.25" hidden="1" customHeight="1">
      <c r="A1059" s="102">
        <v>11000</v>
      </c>
      <c r="B1059" s="102">
        <v>15000</v>
      </c>
      <c r="C1059" s="102">
        <f t="shared" si="16"/>
        <v>11000</v>
      </c>
      <c r="D1059" s="102" t="s">
        <v>67</v>
      </c>
      <c r="E1059" s="26" t="s">
        <v>2725</v>
      </c>
      <c r="F1059" s="10"/>
      <c r="G1059" s="22"/>
    </row>
    <row r="1060" spans="1:7" ht="20.25" hidden="1" customHeight="1">
      <c r="A1060" s="102">
        <v>11000</v>
      </c>
      <c r="B1060" s="102">
        <v>15000</v>
      </c>
      <c r="C1060" s="102">
        <f t="shared" si="16"/>
        <v>11000</v>
      </c>
      <c r="D1060" s="102" t="s">
        <v>67</v>
      </c>
      <c r="E1060" s="26" t="s">
        <v>2726</v>
      </c>
      <c r="F1060" s="10"/>
      <c r="G1060" s="22"/>
    </row>
    <row r="1061" spans="1:7" ht="20.25" hidden="1" customHeight="1">
      <c r="A1061" s="102">
        <v>11001</v>
      </c>
      <c r="B1061" s="102">
        <v>15001</v>
      </c>
      <c r="C1061" s="102">
        <f t="shared" si="16"/>
        <v>21001</v>
      </c>
      <c r="D1061" s="102" t="s">
        <v>67</v>
      </c>
      <c r="E1061" s="26" t="s">
        <v>2727</v>
      </c>
      <c r="F1061" s="10"/>
      <c r="G1061" s="22"/>
    </row>
    <row r="1062" spans="1:7" ht="20.25" hidden="1" customHeight="1">
      <c r="A1062" s="102">
        <v>11001</v>
      </c>
      <c r="B1062" s="102">
        <v>15001</v>
      </c>
      <c r="C1062" s="102">
        <f t="shared" si="16"/>
        <v>11001</v>
      </c>
      <c r="D1062" s="102" t="s">
        <v>67</v>
      </c>
      <c r="E1062" s="26" t="s">
        <v>2728</v>
      </c>
      <c r="F1062" s="10"/>
      <c r="G1062" s="22"/>
    </row>
    <row r="1063" spans="1:7" ht="20.25" hidden="1" customHeight="1">
      <c r="A1063" s="102">
        <v>10075</v>
      </c>
      <c r="B1063" s="102">
        <v>15004</v>
      </c>
      <c r="C1063" s="102">
        <f t="shared" si="16"/>
        <v>10075</v>
      </c>
      <c r="D1063" s="102" t="s">
        <v>498</v>
      </c>
      <c r="E1063" s="187" t="s">
        <v>2729</v>
      </c>
      <c r="F1063" s="7" t="s">
        <v>2730</v>
      </c>
      <c r="G1063" s="22"/>
    </row>
    <row r="1064" spans="1:7" ht="20.25" hidden="1" customHeight="1">
      <c r="A1064" s="102">
        <v>15076</v>
      </c>
      <c r="B1064" s="102">
        <v>15077</v>
      </c>
      <c r="C1064" s="102">
        <f t="shared" si="16"/>
        <v>15076</v>
      </c>
      <c r="D1064" s="102" t="s">
        <v>498</v>
      </c>
      <c r="E1064" s="26" t="s">
        <v>2731</v>
      </c>
      <c r="F1064" s="7" t="s">
        <v>2732</v>
      </c>
      <c r="G1064" s="22"/>
    </row>
    <row r="1065" spans="1:7" ht="20.25" hidden="1" customHeight="1">
      <c r="A1065" s="102">
        <v>11080</v>
      </c>
      <c r="B1065" s="102">
        <v>15080</v>
      </c>
      <c r="C1065" s="102">
        <f t="shared" si="16"/>
        <v>11080</v>
      </c>
      <c r="D1065" s="102" t="s">
        <v>498</v>
      </c>
      <c r="E1065" s="26" t="s">
        <v>2733</v>
      </c>
      <c r="F1065" s="10"/>
      <c r="G1065" s="22"/>
    </row>
    <row r="1066" spans="1:7" ht="20.25" hidden="1" customHeight="1">
      <c r="A1066" s="102">
        <v>11081</v>
      </c>
      <c r="B1066" s="102">
        <v>15081</v>
      </c>
      <c r="C1066" s="102">
        <f t="shared" si="16"/>
        <v>11081</v>
      </c>
      <c r="D1066" s="102" t="s">
        <v>498</v>
      </c>
      <c r="E1066" s="26" t="s">
        <v>2734</v>
      </c>
      <c r="F1066" s="10"/>
      <c r="G1066" s="22"/>
    </row>
    <row r="1067" spans="1:7" ht="20.25" hidden="1" customHeight="1">
      <c r="A1067" s="102">
        <v>11253</v>
      </c>
      <c r="B1067" s="102">
        <v>15253</v>
      </c>
      <c r="C1067" s="102">
        <f t="shared" si="16"/>
        <v>11253</v>
      </c>
      <c r="D1067" s="102" t="s">
        <v>498</v>
      </c>
      <c r="E1067" s="26" t="s">
        <v>2735</v>
      </c>
      <c r="F1067" s="7"/>
      <c r="G1067" s="22"/>
    </row>
    <row r="1068" spans="1:7" ht="20.25" hidden="1" customHeight="1">
      <c r="A1068" s="102">
        <v>11318</v>
      </c>
      <c r="B1068" s="102">
        <v>15318</v>
      </c>
      <c r="C1068" s="102">
        <f t="shared" si="16"/>
        <v>11318</v>
      </c>
      <c r="D1068" s="102" t="s">
        <v>498</v>
      </c>
      <c r="E1068" s="26" t="s">
        <v>2736</v>
      </c>
      <c r="F1068" s="7"/>
      <c r="G1068" s="22"/>
    </row>
    <row r="1069" spans="1:7" ht="20.25" hidden="1" customHeight="1">
      <c r="A1069" s="102">
        <v>11506</v>
      </c>
      <c r="B1069" s="102">
        <v>15506</v>
      </c>
      <c r="C1069" s="102">
        <f t="shared" si="16"/>
        <v>11506</v>
      </c>
      <c r="D1069" s="102" t="s">
        <v>498</v>
      </c>
      <c r="E1069" s="26" t="s">
        <v>2737</v>
      </c>
      <c r="F1069" s="7"/>
      <c r="G1069" s="22"/>
    </row>
    <row r="1070" spans="1:7" ht="20.25" hidden="1" customHeight="1">
      <c r="A1070" s="102">
        <v>11829</v>
      </c>
      <c r="B1070" s="102">
        <v>15829</v>
      </c>
      <c r="C1070" s="102">
        <f t="shared" si="16"/>
        <v>11829</v>
      </c>
      <c r="D1070" s="102" t="s">
        <v>498</v>
      </c>
      <c r="E1070" s="26" t="s">
        <v>1258</v>
      </c>
      <c r="F1070" s="7"/>
      <c r="G1070" s="22"/>
    </row>
    <row r="1071" spans="1:7" ht="20.25" hidden="1" customHeight="1">
      <c r="A1071" s="102">
        <v>15864</v>
      </c>
      <c r="B1071" s="102">
        <v>15860</v>
      </c>
      <c r="C1071" s="102">
        <f t="shared" si="16"/>
        <v>15864</v>
      </c>
      <c r="D1071" s="102" t="s">
        <v>67</v>
      </c>
      <c r="E1071" s="26" t="s">
        <v>2738</v>
      </c>
      <c r="F1071" s="7"/>
      <c r="G1071" s="22"/>
    </row>
    <row r="1072" spans="1:7" ht="20.25" hidden="1" customHeight="1">
      <c r="A1072" s="102">
        <v>11917</v>
      </c>
      <c r="B1072" s="102">
        <v>15917</v>
      </c>
      <c r="C1072" s="102">
        <f t="shared" si="16"/>
        <v>11917</v>
      </c>
      <c r="D1072" s="102" t="s">
        <v>498</v>
      </c>
      <c r="E1072" s="26" t="s">
        <v>2739</v>
      </c>
      <c r="F1072" s="7"/>
      <c r="G1072" s="22"/>
    </row>
    <row r="1073" spans="1:7" ht="20.25" hidden="1" customHeight="1">
      <c r="A1073" s="102">
        <v>11928</v>
      </c>
      <c r="B1073" s="102">
        <v>15928</v>
      </c>
      <c r="C1073" s="102">
        <f t="shared" si="16"/>
        <v>11928</v>
      </c>
      <c r="D1073" s="102" t="s">
        <v>498</v>
      </c>
      <c r="E1073" s="26" t="s">
        <v>2740</v>
      </c>
      <c r="F1073" s="7"/>
      <c r="G1073" s="22"/>
    </row>
    <row r="1074" spans="1:7" ht="20.25" hidden="1" customHeight="1">
      <c r="A1074" s="102">
        <v>11929</v>
      </c>
      <c r="B1074" s="102">
        <v>15929</v>
      </c>
      <c r="C1074" s="102">
        <f t="shared" si="16"/>
        <v>11929</v>
      </c>
      <c r="D1074" s="102" t="s">
        <v>498</v>
      </c>
      <c r="E1074" s="26" t="s">
        <v>2741</v>
      </c>
      <c r="F1074" s="7"/>
      <c r="G1074" s="22"/>
    </row>
    <row r="1075" spans="1:7" ht="20.25" hidden="1" customHeight="1">
      <c r="A1075" s="102">
        <v>11955</v>
      </c>
      <c r="B1075" s="102">
        <v>15955</v>
      </c>
      <c r="C1075" s="102">
        <f t="shared" si="16"/>
        <v>11955</v>
      </c>
      <c r="D1075" s="102" t="s">
        <v>498</v>
      </c>
      <c r="E1075" s="26" t="s">
        <v>2742</v>
      </c>
      <c r="F1075" s="7"/>
      <c r="G1075" s="22"/>
    </row>
    <row r="1076" spans="1:7" ht="20.25" hidden="1" customHeight="1">
      <c r="A1076" s="102">
        <v>12030</v>
      </c>
      <c r="B1076" s="102">
        <v>16030</v>
      </c>
      <c r="C1076" s="102">
        <f t="shared" si="16"/>
        <v>12030</v>
      </c>
      <c r="D1076" s="102" t="s">
        <v>67</v>
      </c>
      <c r="E1076" s="26" t="s">
        <v>2743</v>
      </c>
      <c r="F1076" s="7"/>
      <c r="G1076" s="7"/>
    </row>
    <row r="1077" spans="1:7" ht="20.25" hidden="1" customHeight="1">
      <c r="A1077" s="102">
        <v>16640</v>
      </c>
      <c r="B1077" s="102">
        <v>16640</v>
      </c>
      <c r="C1077" s="102">
        <v>16640</v>
      </c>
      <c r="D1077" s="102" t="s">
        <v>498</v>
      </c>
      <c r="E1077" s="26" t="s">
        <v>2744</v>
      </c>
      <c r="F1077" s="7"/>
      <c r="G1077" s="7"/>
    </row>
    <row r="1078" spans="1:7" ht="20.25" hidden="1" customHeight="1">
      <c r="A1078" s="102">
        <v>16489</v>
      </c>
      <c r="B1078" s="102">
        <v>16489</v>
      </c>
      <c r="C1078" s="102">
        <f t="shared" si="16"/>
        <v>16489</v>
      </c>
      <c r="D1078" s="102" t="s">
        <v>498</v>
      </c>
      <c r="E1078" s="26" t="s">
        <v>499</v>
      </c>
      <c r="F1078" s="7"/>
      <c r="G1078" s="22"/>
    </row>
    <row r="1079" spans="1:7" ht="20.25" hidden="1" customHeight="1">
      <c r="A1079" s="102">
        <v>12501</v>
      </c>
      <c r="B1079" s="102">
        <v>16501</v>
      </c>
      <c r="C1079" s="102">
        <f t="shared" si="16"/>
        <v>12501</v>
      </c>
      <c r="D1079" s="102" t="s">
        <v>498</v>
      </c>
      <c r="E1079" s="26" t="s">
        <v>2745</v>
      </c>
      <c r="F1079" s="7"/>
      <c r="G1079" s="22"/>
    </row>
    <row r="1080" spans="1:7" ht="20.25" hidden="1" customHeight="1">
      <c r="A1080" s="102">
        <v>12502</v>
      </c>
      <c r="B1080" s="102">
        <v>16502</v>
      </c>
      <c r="C1080" s="102">
        <f t="shared" si="16"/>
        <v>12502</v>
      </c>
      <c r="D1080" s="102" t="s">
        <v>498</v>
      </c>
      <c r="E1080" s="26" t="s">
        <v>2746</v>
      </c>
      <c r="F1080" s="7"/>
      <c r="G1080" s="22"/>
    </row>
    <row r="1081" spans="1:7" ht="20.25" hidden="1" customHeight="1">
      <c r="A1081" s="102">
        <v>12503</v>
      </c>
      <c r="B1081" s="102">
        <v>16503</v>
      </c>
      <c r="C1081" s="102">
        <f t="shared" si="16"/>
        <v>12503</v>
      </c>
      <c r="D1081" s="102" t="s">
        <v>498</v>
      </c>
      <c r="E1081" s="26" t="s">
        <v>2747</v>
      </c>
      <c r="F1081" s="7"/>
      <c r="G1081" s="22"/>
    </row>
    <row r="1082" spans="1:7" ht="20.25" hidden="1" customHeight="1">
      <c r="A1082" s="102">
        <v>12504</v>
      </c>
      <c r="B1082" s="102">
        <v>16504</v>
      </c>
      <c r="C1082" s="102">
        <f t="shared" si="16"/>
        <v>12504</v>
      </c>
      <c r="D1082" s="102" t="s">
        <v>498</v>
      </c>
      <c r="E1082" s="26" t="s">
        <v>2748</v>
      </c>
      <c r="F1082" s="7"/>
      <c r="G1082" s="22"/>
    </row>
    <row r="1083" spans="1:7" ht="20.25" hidden="1" customHeight="1">
      <c r="A1083" s="199">
        <v>17005</v>
      </c>
      <c r="B1083" s="199">
        <v>17007</v>
      </c>
      <c r="C1083" s="102">
        <f t="shared" si="16"/>
        <v>17005</v>
      </c>
      <c r="D1083" s="102" t="s">
        <v>67</v>
      </c>
      <c r="E1083" s="26" t="s">
        <v>2749</v>
      </c>
      <c r="F1083" s="10"/>
      <c r="G1083" s="22"/>
    </row>
    <row r="1084" spans="1:7" ht="20.25" hidden="1" customHeight="1">
      <c r="A1084" s="102">
        <v>17789</v>
      </c>
      <c r="B1084" s="102">
        <v>17790</v>
      </c>
      <c r="C1084" s="102">
        <f t="shared" si="16"/>
        <v>17789</v>
      </c>
      <c r="D1084" s="102" t="s">
        <v>498</v>
      </c>
      <c r="E1084" s="187" t="s">
        <v>2750</v>
      </c>
      <c r="F1084" s="7" t="s">
        <v>1992</v>
      </c>
      <c r="G1084" s="22"/>
    </row>
    <row r="1085" spans="1:7" ht="20.25" hidden="1" customHeight="1">
      <c r="A1085" s="102">
        <v>18049</v>
      </c>
      <c r="B1085" s="102">
        <v>18052</v>
      </c>
      <c r="C1085" s="102">
        <f t="shared" si="16"/>
        <v>18049</v>
      </c>
      <c r="D1085" s="102" t="s">
        <v>498</v>
      </c>
      <c r="E1085" s="26" t="s">
        <v>2751</v>
      </c>
      <c r="F1085" s="7" t="s">
        <v>1992</v>
      </c>
      <c r="G1085" s="22"/>
    </row>
    <row r="1086" spans="1:7" ht="20.25" hidden="1" customHeight="1">
      <c r="A1086" s="102">
        <v>18050</v>
      </c>
      <c r="B1086" s="102">
        <v>18053</v>
      </c>
      <c r="C1086" s="102">
        <f t="shared" si="16"/>
        <v>18050</v>
      </c>
      <c r="D1086" s="102" t="s">
        <v>498</v>
      </c>
      <c r="E1086" s="26" t="s">
        <v>2752</v>
      </c>
      <c r="F1086" s="7" t="s">
        <v>1992</v>
      </c>
      <c r="G1086" s="22"/>
    </row>
    <row r="1087" spans="1:7" ht="20.25" hidden="1" customHeight="1">
      <c r="A1087" s="102">
        <v>18051</v>
      </c>
      <c r="B1087" s="102">
        <v>18054</v>
      </c>
      <c r="C1087" s="102">
        <f t="shared" si="16"/>
        <v>18051</v>
      </c>
      <c r="D1087" s="102" t="s">
        <v>498</v>
      </c>
      <c r="E1087" s="26" t="s">
        <v>2753</v>
      </c>
      <c r="F1087" s="7" t="s">
        <v>1992</v>
      </c>
      <c r="G1087" s="22"/>
    </row>
    <row r="1088" spans="1:7" ht="20.25" hidden="1" customHeight="1">
      <c r="A1088" s="102">
        <v>18065</v>
      </c>
      <c r="B1088" s="102">
        <v>18066</v>
      </c>
      <c r="C1088" s="102">
        <f t="shared" si="16"/>
        <v>18065</v>
      </c>
      <c r="D1088" s="102" t="s">
        <v>498</v>
      </c>
      <c r="E1088" s="187" t="s">
        <v>2754</v>
      </c>
      <c r="F1088" s="7"/>
      <c r="G1088" s="22"/>
    </row>
    <row r="1089" spans="1:7" ht="20.25" hidden="1" customHeight="1">
      <c r="A1089" s="102">
        <v>18785</v>
      </c>
      <c r="B1089" s="102">
        <v>18785</v>
      </c>
      <c r="C1089" s="102">
        <f t="shared" si="16"/>
        <v>18785</v>
      </c>
      <c r="D1089" s="102" t="s">
        <v>67</v>
      </c>
      <c r="E1089" s="187" t="s">
        <v>2755</v>
      </c>
      <c r="F1089" s="7"/>
      <c r="G1089" s="22"/>
    </row>
    <row r="1090" spans="1:7" ht="20.25" hidden="1" customHeight="1">
      <c r="A1090" s="102">
        <v>10188</v>
      </c>
      <c r="B1090" s="102">
        <v>19188</v>
      </c>
      <c r="C1090" s="102">
        <f t="shared" si="16"/>
        <v>10188</v>
      </c>
      <c r="D1090" s="102" t="s">
        <v>67</v>
      </c>
      <c r="E1090" s="188" t="s">
        <v>2756</v>
      </c>
      <c r="F1090" s="5" t="s">
        <v>2757</v>
      </c>
      <c r="G1090" s="22"/>
    </row>
    <row r="1091" spans="1:7" ht="20.25" hidden="1" customHeight="1">
      <c r="A1091" s="102">
        <v>19450</v>
      </c>
      <c r="B1091" s="102">
        <v>19454</v>
      </c>
      <c r="C1091" s="102">
        <f t="shared" si="16"/>
        <v>19450</v>
      </c>
      <c r="D1091" s="102" t="s">
        <v>498</v>
      </c>
      <c r="E1091" s="26" t="s">
        <v>2758</v>
      </c>
      <c r="F1091" s="7"/>
      <c r="G1091" s="22"/>
    </row>
    <row r="1092" spans="1:7" ht="20.25" hidden="1" customHeight="1">
      <c r="A1092" s="102">
        <v>19451</v>
      </c>
      <c r="B1092" s="102">
        <v>19455</v>
      </c>
      <c r="C1092" s="102">
        <f t="shared" ref="C1092:C1155" si="17">IF(ISERROR(FIND("B_Epic",E1092)),A1092,A1092+10000)</f>
        <v>19451</v>
      </c>
      <c r="D1092" s="102" t="s">
        <v>498</v>
      </c>
      <c r="E1092" s="26" t="s">
        <v>2759</v>
      </c>
      <c r="F1092" s="7" t="s">
        <v>1992</v>
      </c>
      <c r="G1092" s="22"/>
    </row>
    <row r="1093" spans="1:7" ht="20.25" hidden="1" customHeight="1">
      <c r="A1093" s="102">
        <v>19452</v>
      </c>
      <c r="B1093" s="102">
        <v>19456</v>
      </c>
      <c r="C1093" s="102">
        <f t="shared" si="17"/>
        <v>19452</v>
      </c>
      <c r="D1093" s="102" t="s">
        <v>498</v>
      </c>
      <c r="E1093" s="26" t="s">
        <v>2760</v>
      </c>
      <c r="F1093" s="7" t="s">
        <v>1992</v>
      </c>
      <c r="G1093" s="22"/>
    </row>
    <row r="1094" spans="1:7" ht="20.25" hidden="1" customHeight="1">
      <c r="A1094" s="102">
        <v>19453</v>
      </c>
      <c r="B1094" s="102">
        <v>19457</v>
      </c>
      <c r="C1094" s="102">
        <f t="shared" si="17"/>
        <v>19453</v>
      </c>
      <c r="D1094" s="102" t="s">
        <v>498</v>
      </c>
      <c r="E1094" s="26" t="s">
        <v>2761</v>
      </c>
      <c r="F1094" s="7" t="s">
        <v>1992</v>
      </c>
      <c r="G1094" s="22"/>
    </row>
    <row r="1095" spans="1:7" ht="20.25" hidden="1" customHeight="1">
      <c r="A1095" s="102">
        <v>19458</v>
      </c>
      <c r="B1095" s="102">
        <v>19461</v>
      </c>
      <c r="C1095" s="102">
        <f t="shared" si="17"/>
        <v>19458</v>
      </c>
      <c r="D1095" s="102" t="s">
        <v>498</v>
      </c>
      <c r="E1095" s="26" t="s">
        <v>2762</v>
      </c>
      <c r="F1095" s="7" t="s">
        <v>1992</v>
      </c>
      <c r="G1095" s="22"/>
    </row>
    <row r="1096" spans="1:7" ht="20.25" hidden="1" customHeight="1">
      <c r="A1096" s="102">
        <v>19459</v>
      </c>
      <c r="B1096" s="102">
        <v>19462</v>
      </c>
      <c r="C1096" s="102">
        <f t="shared" si="17"/>
        <v>19459</v>
      </c>
      <c r="D1096" s="102" t="s">
        <v>498</v>
      </c>
      <c r="E1096" s="26" t="s">
        <v>2763</v>
      </c>
      <c r="F1096" s="7" t="s">
        <v>1992</v>
      </c>
      <c r="G1096" s="22"/>
    </row>
    <row r="1097" spans="1:7" ht="20.25" hidden="1" customHeight="1">
      <c r="A1097" s="102">
        <v>19460</v>
      </c>
      <c r="B1097" s="102">
        <v>19463</v>
      </c>
      <c r="C1097" s="102">
        <f t="shared" si="17"/>
        <v>19460</v>
      </c>
      <c r="D1097" s="102" t="s">
        <v>498</v>
      </c>
      <c r="E1097" s="26" t="s">
        <v>2764</v>
      </c>
      <c r="F1097" s="7" t="s">
        <v>1992</v>
      </c>
      <c r="G1097" s="22" t="s">
        <v>2018</v>
      </c>
    </row>
    <row r="1098" spans="1:7" ht="20.25" hidden="1" customHeight="1">
      <c r="A1098" s="102">
        <v>20202</v>
      </c>
      <c r="B1098" s="102">
        <v>20203</v>
      </c>
      <c r="C1098" s="102">
        <f t="shared" si="17"/>
        <v>20202</v>
      </c>
      <c r="D1098" s="102" t="s">
        <v>498</v>
      </c>
      <c r="E1098" s="26" t="s">
        <v>2765</v>
      </c>
      <c r="F1098" s="7"/>
      <c r="G1098" s="22"/>
    </row>
    <row r="1099" spans="1:7" ht="20.25" hidden="1" customHeight="1">
      <c r="A1099" s="102">
        <v>21181</v>
      </c>
      <c r="B1099" s="102">
        <v>21182</v>
      </c>
      <c r="C1099" s="102">
        <f t="shared" si="17"/>
        <v>21181</v>
      </c>
      <c r="D1099" s="102" t="s">
        <v>67</v>
      </c>
      <c r="E1099" s="26" t="s">
        <v>2766</v>
      </c>
      <c r="F1099" s="7"/>
      <c r="G1099" s="22"/>
    </row>
    <row r="1100" spans="1:7" ht="20.25" hidden="1" customHeight="1">
      <c r="A1100" s="102">
        <v>21136</v>
      </c>
      <c r="B1100" s="102">
        <v>22136</v>
      </c>
      <c r="C1100" s="102">
        <f t="shared" si="17"/>
        <v>21136</v>
      </c>
      <c r="D1100" s="102" t="s">
        <v>67</v>
      </c>
      <c r="E1100" s="26" t="s">
        <v>2767</v>
      </c>
      <c r="F1100" s="7"/>
      <c r="G1100" s="22"/>
    </row>
    <row r="1101" spans="1:7" ht="20.25" hidden="1" customHeight="1">
      <c r="A1101" s="102">
        <v>22504</v>
      </c>
      <c r="B1101" s="102">
        <v>22504</v>
      </c>
      <c r="C1101" s="102">
        <f t="shared" si="17"/>
        <v>22504</v>
      </c>
      <c r="D1101" s="102" t="s">
        <v>498</v>
      </c>
      <c r="E1101" s="26" t="s">
        <v>2768</v>
      </c>
      <c r="F1101" s="5"/>
      <c r="G1101" s="22" t="s">
        <v>2769</v>
      </c>
    </row>
    <row r="1102" spans="1:7" ht="20.25" hidden="1" customHeight="1">
      <c r="A1102" s="102">
        <v>24541</v>
      </c>
      <c r="B1102" s="102">
        <v>24549</v>
      </c>
      <c r="C1102" s="102">
        <f t="shared" si="17"/>
        <v>24541</v>
      </c>
      <c r="D1102" s="102" t="s">
        <v>498</v>
      </c>
      <c r="E1102" s="26" t="s">
        <v>2770</v>
      </c>
      <c r="F1102" s="7"/>
      <c r="G1102" s="22"/>
    </row>
    <row r="1103" spans="1:7" ht="20.25" hidden="1" customHeight="1">
      <c r="A1103" s="102">
        <v>24542</v>
      </c>
      <c r="B1103" s="102">
        <v>24550</v>
      </c>
      <c r="C1103" s="102">
        <f t="shared" si="17"/>
        <v>24542</v>
      </c>
      <c r="D1103" s="102" t="s">
        <v>498</v>
      </c>
      <c r="E1103" s="26" t="s">
        <v>2771</v>
      </c>
      <c r="F1103" s="7"/>
      <c r="G1103" s="22"/>
    </row>
    <row r="1104" spans="1:7" ht="20.25" hidden="1" customHeight="1">
      <c r="A1104" s="102">
        <v>24543</v>
      </c>
      <c r="B1104" s="102">
        <v>24551</v>
      </c>
      <c r="C1104" s="102">
        <f t="shared" si="17"/>
        <v>24543</v>
      </c>
      <c r="D1104" s="102" t="s">
        <v>498</v>
      </c>
      <c r="E1104" s="26" t="s">
        <v>2772</v>
      </c>
      <c r="F1104" s="7"/>
      <c r="G1104" s="22"/>
    </row>
    <row r="1105" spans="1:7" ht="20.25" hidden="1" customHeight="1">
      <c r="A1105" s="102">
        <v>24544</v>
      </c>
      <c r="B1105" s="102">
        <v>24552</v>
      </c>
      <c r="C1105" s="102">
        <f t="shared" si="17"/>
        <v>24544</v>
      </c>
      <c r="D1105" s="102" t="s">
        <v>498</v>
      </c>
      <c r="E1105" s="26" t="s">
        <v>2773</v>
      </c>
      <c r="F1105" s="7"/>
      <c r="G1105" s="22"/>
    </row>
    <row r="1106" spans="1:7" ht="20.25" hidden="1" customHeight="1">
      <c r="A1106" s="102">
        <v>24545</v>
      </c>
      <c r="B1106" s="102">
        <v>24553</v>
      </c>
      <c r="C1106" s="102">
        <f t="shared" si="17"/>
        <v>24545</v>
      </c>
      <c r="D1106" s="102" t="s">
        <v>498</v>
      </c>
      <c r="E1106" s="26" t="s">
        <v>2774</v>
      </c>
      <c r="F1106" s="7"/>
      <c r="G1106" s="22"/>
    </row>
    <row r="1107" spans="1:7" ht="20.25" hidden="1" customHeight="1">
      <c r="A1107" s="102">
        <v>24546</v>
      </c>
      <c r="B1107" s="102">
        <v>24554</v>
      </c>
      <c r="C1107" s="102">
        <f t="shared" si="17"/>
        <v>24546</v>
      </c>
      <c r="D1107" s="102" t="s">
        <v>498</v>
      </c>
      <c r="E1107" s="26" t="s">
        <v>2775</v>
      </c>
      <c r="F1107" s="7"/>
      <c r="G1107" s="22"/>
    </row>
    <row r="1108" spans="1:7" ht="20.25" hidden="1" customHeight="1">
      <c r="A1108" s="102">
        <v>24547</v>
      </c>
      <c r="B1108" s="102">
        <v>24555</v>
      </c>
      <c r="C1108" s="102">
        <f t="shared" si="17"/>
        <v>24547</v>
      </c>
      <c r="D1108" s="102" t="s">
        <v>498</v>
      </c>
      <c r="E1108" s="26" t="s">
        <v>2776</v>
      </c>
      <c r="F1108" s="7"/>
      <c r="G1108" s="22"/>
    </row>
    <row r="1109" spans="1:7" ht="20.25" hidden="1" customHeight="1">
      <c r="A1109" s="102">
        <v>24548</v>
      </c>
      <c r="B1109" s="102">
        <v>24556</v>
      </c>
      <c r="C1109" s="102">
        <f t="shared" si="17"/>
        <v>24548</v>
      </c>
      <c r="D1109" s="102" t="s">
        <v>498</v>
      </c>
      <c r="E1109" s="26" t="s">
        <v>2777</v>
      </c>
      <c r="F1109" s="7"/>
      <c r="G1109" s="22"/>
    </row>
    <row r="1110" spans="1:7" ht="20.25" hidden="1" customHeight="1">
      <c r="A1110" s="102">
        <v>24592</v>
      </c>
      <c r="B1110" s="102">
        <v>24593</v>
      </c>
      <c r="C1110" s="102">
        <f t="shared" si="17"/>
        <v>24592</v>
      </c>
      <c r="D1110" s="102" t="s">
        <v>498</v>
      </c>
      <c r="E1110" s="26" t="s">
        <v>2778</v>
      </c>
      <c r="F1110" s="7" t="s">
        <v>1113</v>
      </c>
      <c r="G1110" s="22"/>
    </row>
    <row r="1111" spans="1:7" ht="20.25" hidden="1" customHeight="1">
      <c r="A1111" s="102">
        <v>26537</v>
      </c>
      <c r="B1111" s="102">
        <v>26536</v>
      </c>
      <c r="C1111" s="102">
        <f t="shared" si="17"/>
        <v>26537</v>
      </c>
      <c r="D1111" s="102" t="s">
        <v>498</v>
      </c>
      <c r="E1111" s="26" t="s">
        <v>2779</v>
      </c>
      <c r="F1111" s="7" t="s">
        <v>1992</v>
      </c>
      <c r="G1111" s="22"/>
    </row>
    <row r="1112" spans="1:7" ht="20.25" hidden="1" customHeight="1">
      <c r="A1112" s="102">
        <v>28230</v>
      </c>
      <c r="B1112" s="102">
        <v>28232</v>
      </c>
      <c r="C1112" s="102">
        <f t="shared" si="17"/>
        <v>28230</v>
      </c>
      <c r="D1112" s="102" t="s">
        <v>498</v>
      </c>
      <c r="E1112" s="26" t="s">
        <v>2780</v>
      </c>
      <c r="F1112" s="7"/>
      <c r="G1112" s="22"/>
    </row>
    <row r="1113" spans="1:7" ht="20.25" hidden="1" customHeight="1">
      <c r="A1113" s="102">
        <v>28100</v>
      </c>
      <c r="B1113" s="102">
        <v>28600</v>
      </c>
      <c r="C1113" s="102">
        <f t="shared" si="17"/>
        <v>28100</v>
      </c>
      <c r="D1113" s="102" t="s">
        <v>498</v>
      </c>
      <c r="E1113" s="26" t="s">
        <v>2781</v>
      </c>
      <c r="F1113" s="7"/>
      <c r="G1113" s="22" t="s">
        <v>2782</v>
      </c>
    </row>
    <row r="1114" spans="1:7" ht="20.25" hidden="1" customHeight="1">
      <c r="A1114" s="102">
        <v>28101</v>
      </c>
      <c r="B1114" s="102">
        <v>28601</v>
      </c>
      <c r="C1114" s="102">
        <f t="shared" si="17"/>
        <v>28101</v>
      </c>
      <c r="D1114" s="102" t="s">
        <v>498</v>
      </c>
      <c r="E1114" s="26" t="s">
        <v>2783</v>
      </c>
      <c r="F1114" s="7"/>
      <c r="G1114" s="22" t="s">
        <v>2782</v>
      </c>
    </row>
    <row r="1115" spans="1:7" ht="20.25" hidden="1" customHeight="1">
      <c r="A1115" s="102">
        <v>20096</v>
      </c>
      <c r="B1115" s="102">
        <v>30096</v>
      </c>
      <c r="C1115" s="102">
        <f t="shared" si="17"/>
        <v>20096</v>
      </c>
      <c r="D1115" s="102" t="s">
        <v>498</v>
      </c>
      <c r="E1115" s="186" t="s">
        <v>2784</v>
      </c>
      <c r="F1115" s="7" t="s">
        <v>1992</v>
      </c>
      <c r="G1115" s="22"/>
    </row>
    <row r="1116" spans="1:7" ht="20.25" hidden="1" customHeight="1">
      <c r="A1116" s="102">
        <v>31499</v>
      </c>
      <c r="B1116" s="102">
        <v>32281</v>
      </c>
      <c r="C1116" s="102">
        <f t="shared" si="17"/>
        <v>31499</v>
      </c>
      <c r="D1116" s="102" t="s">
        <v>22</v>
      </c>
      <c r="E1116" s="186" t="s">
        <v>1926</v>
      </c>
      <c r="F1116" s="7" t="s">
        <v>1927</v>
      </c>
      <c r="G1116" s="22"/>
    </row>
    <row r="1117" spans="1:7" ht="20.25" hidden="1" customHeight="1">
      <c r="A1117" s="102">
        <v>31499</v>
      </c>
      <c r="B1117" s="102">
        <v>32281</v>
      </c>
      <c r="C1117" s="102">
        <f t="shared" si="17"/>
        <v>31499</v>
      </c>
      <c r="D1117" s="102" t="s">
        <v>22</v>
      </c>
      <c r="E1117" s="26" t="s">
        <v>1926</v>
      </c>
      <c r="F1117" s="7" t="s">
        <v>1927</v>
      </c>
      <c r="G1117" s="22"/>
    </row>
    <row r="1118" spans="1:7" ht="20.25" hidden="1" customHeight="1">
      <c r="A1118" s="102">
        <v>31509</v>
      </c>
      <c r="B1118" s="102">
        <v>32509</v>
      </c>
      <c r="C1118" s="102">
        <f t="shared" si="17"/>
        <v>31509</v>
      </c>
      <c r="D1118" s="102" t="s">
        <v>498</v>
      </c>
      <c r="E1118" s="186" t="s">
        <v>1444</v>
      </c>
      <c r="F1118" s="7"/>
      <c r="G1118" s="22"/>
    </row>
    <row r="1119" spans="1:7" ht="20.25" customHeight="1">
      <c r="A1119" s="102">
        <v>31510</v>
      </c>
      <c r="B1119" s="102">
        <v>32510</v>
      </c>
      <c r="C1119" s="102">
        <f t="shared" si="17"/>
        <v>31510</v>
      </c>
      <c r="D1119" s="102" t="s">
        <v>549</v>
      </c>
      <c r="E1119" s="186" t="s">
        <v>1446</v>
      </c>
      <c r="F1119" s="7"/>
      <c r="G1119" s="22"/>
    </row>
    <row r="1120" spans="1:7" ht="20.25" hidden="1" customHeight="1">
      <c r="A1120" s="102">
        <v>31323</v>
      </c>
      <c r="B1120" s="102">
        <v>35323</v>
      </c>
      <c r="C1120" s="102">
        <f t="shared" si="17"/>
        <v>31323</v>
      </c>
      <c r="D1120" s="102" t="s">
        <v>498</v>
      </c>
      <c r="E1120" s="187" t="s">
        <v>2785</v>
      </c>
      <c r="F1120" s="7"/>
      <c r="G1120" s="22"/>
    </row>
    <row r="1121" spans="1:7" ht="20.25" hidden="1" customHeight="1">
      <c r="A1121" s="102">
        <v>31377</v>
      </c>
      <c r="B1121" s="102">
        <v>35377</v>
      </c>
      <c r="C1121" s="102">
        <f t="shared" si="17"/>
        <v>31377</v>
      </c>
      <c r="D1121" s="102" t="s">
        <v>498</v>
      </c>
      <c r="E1121" s="187" t="s">
        <v>2786</v>
      </c>
      <c r="F1121" s="7"/>
      <c r="G1121" s="22"/>
    </row>
    <row r="1122" spans="1:7" ht="20.25" hidden="1" customHeight="1">
      <c r="A1122" s="102">
        <v>31378</v>
      </c>
      <c r="B1122" s="102">
        <v>35378</v>
      </c>
      <c r="C1122" s="102">
        <f t="shared" si="17"/>
        <v>31378</v>
      </c>
      <c r="D1122" s="102" t="s">
        <v>498</v>
      </c>
      <c r="E1122" s="187" t="s">
        <v>2787</v>
      </c>
      <c r="F1122" s="7"/>
      <c r="G1122" s="22"/>
    </row>
    <row r="1123" spans="1:7" ht="20.25" hidden="1" customHeight="1">
      <c r="A1123" s="102">
        <v>31476</v>
      </c>
      <c r="B1123" s="102">
        <v>35476</v>
      </c>
      <c r="C1123" s="102">
        <f t="shared" si="17"/>
        <v>31476</v>
      </c>
      <c r="D1123" s="102" t="s">
        <v>498</v>
      </c>
      <c r="E1123" s="187" t="s">
        <v>2788</v>
      </c>
      <c r="F1123" s="7" t="s">
        <v>2789</v>
      </c>
      <c r="G1123" s="22"/>
    </row>
    <row r="1124" spans="1:7" ht="20.25" hidden="1" customHeight="1">
      <c r="A1124" s="102">
        <v>32000</v>
      </c>
      <c r="B1124" s="102">
        <v>36000</v>
      </c>
      <c r="C1124" s="102">
        <f t="shared" si="17"/>
        <v>32000</v>
      </c>
      <c r="D1124" s="102" t="s">
        <v>498</v>
      </c>
      <c r="E1124" s="26" t="s">
        <v>2790</v>
      </c>
      <c r="F1124" s="7"/>
      <c r="G1124" s="22" t="s">
        <v>2791</v>
      </c>
    </row>
    <row r="1125" spans="1:7" ht="20.25" hidden="1" customHeight="1">
      <c r="A1125" s="102">
        <v>32001</v>
      </c>
      <c r="B1125" s="102">
        <v>36001</v>
      </c>
      <c r="C1125" s="102">
        <f t="shared" si="17"/>
        <v>32001</v>
      </c>
      <c r="D1125" s="102" t="s">
        <v>498</v>
      </c>
      <c r="E1125" s="26" t="s">
        <v>2792</v>
      </c>
      <c r="F1125" s="7"/>
      <c r="G1125" s="17" t="s">
        <v>697</v>
      </c>
    </row>
    <row r="1126" spans="1:7" ht="20.25" hidden="1" customHeight="1">
      <c r="A1126" s="102">
        <v>32002</v>
      </c>
      <c r="B1126" s="102">
        <v>36002</v>
      </c>
      <c r="C1126" s="102">
        <f t="shared" si="17"/>
        <v>32002</v>
      </c>
      <c r="D1126" s="102" t="s">
        <v>498</v>
      </c>
      <c r="E1126" s="26" t="s">
        <v>2793</v>
      </c>
      <c r="F1126" s="7"/>
      <c r="G1126" s="17" t="s">
        <v>697</v>
      </c>
    </row>
    <row r="1127" spans="1:7" ht="20.25" hidden="1" customHeight="1">
      <c r="A1127" s="102">
        <v>32003</v>
      </c>
      <c r="B1127" s="102">
        <v>36003</v>
      </c>
      <c r="C1127" s="102">
        <f t="shared" si="17"/>
        <v>32003</v>
      </c>
      <c r="D1127" s="102" t="s">
        <v>498</v>
      </c>
      <c r="E1127" s="26" t="s">
        <v>2794</v>
      </c>
      <c r="F1127" s="7"/>
      <c r="G1127" s="17" t="s">
        <v>697</v>
      </c>
    </row>
    <row r="1128" spans="1:7" ht="20.25" hidden="1" customHeight="1">
      <c r="A1128" s="102">
        <v>32004</v>
      </c>
      <c r="B1128" s="102">
        <v>36004</v>
      </c>
      <c r="C1128" s="102">
        <f t="shared" si="17"/>
        <v>32004</v>
      </c>
      <c r="D1128" s="102" t="s">
        <v>498</v>
      </c>
      <c r="E1128" s="26" t="s">
        <v>2795</v>
      </c>
      <c r="F1128" s="7"/>
      <c r="G1128" s="22" t="s">
        <v>2622</v>
      </c>
    </row>
    <row r="1129" spans="1:7" ht="20.25" hidden="1" customHeight="1">
      <c r="A1129" s="102">
        <v>32005</v>
      </c>
      <c r="B1129" s="102">
        <v>36005</v>
      </c>
      <c r="C1129" s="102">
        <f t="shared" si="17"/>
        <v>32005</v>
      </c>
      <c r="D1129" s="102" t="s">
        <v>498</v>
      </c>
      <c r="E1129" s="26" t="s">
        <v>2796</v>
      </c>
      <c r="F1129" s="7"/>
      <c r="G1129" s="22" t="s">
        <v>2622</v>
      </c>
    </row>
    <row r="1130" spans="1:7" ht="20.25" hidden="1" customHeight="1">
      <c r="A1130" s="102">
        <v>32006</v>
      </c>
      <c r="B1130" s="102">
        <v>36006</v>
      </c>
      <c r="C1130" s="102">
        <f t="shared" si="17"/>
        <v>32006</v>
      </c>
      <c r="D1130" s="102" t="s">
        <v>498</v>
      </c>
      <c r="E1130" s="26" t="s">
        <v>2797</v>
      </c>
      <c r="F1130" s="7"/>
      <c r="G1130" s="22" t="s">
        <v>2622</v>
      </c>
    </row>
    <row r="1131" spans="1:7" ht="20.25" hidden="1" customHeight="1">
      <c r="A1131" s="102">
        <v>32007</v>
      </c>
      <c r="B1131" s="102">
        <v>36007</v>
      </c>
      <c r="C1131" s="102">
        <f t="shared" si="17"/>
        <v>32007</v>
      </c>
      <c r="D1131" s="102" t="s">
        <v>498</v>
      </c>
      <c r="E1131" s="26" t="s">
        <v>2798</v>
      </c>
      <c r="F1131" s="7"/>
      <c r="G1131" s="22" t="s">
        <v>728</v>
      </c>
    </row>
    <row r="1132" spans="1:7" ht="20.25" hidden="1" customHeight="1">
      <c r="A1132" s="102">
        <v>32007</v>
      </c>
      <c r="B1132" s="102">
        <v>36007</v>
      </c>
      <c r="C1132" s="102">
        <f t="shared" si="17"/>
        <v>32007</v>
      </c>
      <c r="D1132" s="102" t="s">
        <v>67</v>
      </c>
      <c r="E1132" s="26" t="s">
        <v>2799</v>
      </c>
      <c r="F1132" s="7"/>
      <c r="G1132" s="22" t="s">
        <v>728</v>
      </c>
    </row>
    <row r="1133" spans="1:7" ht="20.25" hidden="1" customHeight="1">
      <c r="A1133" s="102">
        <v>32008</v>
      </c>
      <c r="B1133" s="102">
        <v>36008</v>
      </c>
      <c r="C1133" s="102">
        <f t="shared" si="17"/>
        <v>32008</v>
      </c>
      <c r="D1133" s="102" t="s">
        <v>498</v>
      </c>
      <c r="E1133" s="26" t="s">
        <v>2800</v>
      </c>
      <c r="F1133" s="7"/>
      <c r="G1133" s="22" t="s">
        <v>2791</v>
      </c>
    </row>
    <row r="1134" spans="1:7" ht="20.25" hidden="1" customHeight="1">
      <c r="A1134" s="102">
        <v>32009</v>
      </c>
      <c r="B1134" s="102">
        <v>36009</v>
      </c>
      <c r="C1134" s="102">
        <f t="shared" si="17"/>
        <v>32009</v>
      </c>
      <c r="D1134" s="102" t="s">
        <v>498</v>
      </c>
      <c r="E1134" s="26" t="s">
        <v>2801</v>
      </c>
      <c r="F1134" s="7"/>
      <c r="G1134" s="22" t="s">
        <v>2791</v>
      </c>
    </row>
    <row r="1135" spans="1:7" ht="20.25" hidden="1" customHeight="1">
      <c r="A1135" s="102">
        <v>32010</v>
      </c>
      <c r="B1135" s="102">
        <v>36010</v>
      </c>
      <c r="C1135" s="102">
        <f t="shared" si="17"/>
        <v>32010</v>
      </c>
      <c r="D1135" s="102" t="s">
        <v>498</v>
      </c>
      <c r="E1135" s="26" t="s">
        <v>2802</v>
      </c>
      <c r="F1135" s="7"/>
      <c r="G1135" s="22" t="s">
        <v>2791</v>
      </c>
    </row>
    <row r="1136" spans="1:7" ht="20.25" hidden="1" customHeight="1">
      <c r="A1136" s="102">
        <v>32011</v>
      </c>
      <c r="B1136" s="102">
        <v>36011</v>
      </c>
      <c r="C1136" s="102">
        <f t="shared" si="17"/>
        <v>32011</v>
      </c>
      <c r="D1136" s="102" t="s">
        <v>498</v>
      </c>
      <c r="E1136" s="26" t="s">
        <v>2803</v>
      </c>
      <c r="F1136" s="7"/>
      <c r="G1136" s="22" t="s">
        <v>2791</v>
      </c>
    </row>
    <row r="1137" spans="1:7" ht="20.25" hidden="1" customHeight="1">
      <c r="A1137" s="102">
        <v>32012</v>
      </c>
      <c r="B1137" s="102">
        <v>36012</v>
      </c>
      <c r="C1137" s="102">
        <f t="shared" si="17"/>
        <v>32012</v>
      </c>
      <c r="D1137" s="102" t="s">
        <v>498</v>
      </c>
      <c r="E1137" s="26" t="s">
        <v>2804</v>
      </c>
      <c r="F1137" s="7"/>
      <c r="G1137" s="22"/>
    </row>
    <row r="1138" spans="1:7" ht="20.25" hidden="1" customHeight="1">
      <c r="A1138" s="102">
        <v>32013</v>
      </c>
      <c r="B1138" s="102">
        <v>36013</v>
      </c>
      <c r="C1138" s="102">
        <f t="shared" si="17"/>
        <v>32013</v>
      </c>
      <c r="D1138" s="102" t="s">
        <v>498</v>
      </c>
      <c r="E1138" s="26" t="s">
        <v>2805</v>
      </c>
      <c r="F1138" s="7"/>
      <c r="G1138" s="22"/>
    </row>
    <row r="1139" spans="1:7" ht="20.25" hidden="1" customHeight="1">
      <c r="A1139" s="102">
        <v>32014</v>
      </c>
      <c r="B1139" s="102">
        <v>36014</v>
      </c>
      <c r="C1139" s="102">
        <f t="shared" si="17"/>
        <v>32014</v>
      </c>
      <c r="D1139" s="102" t="s">
        <v>498</v>
      </c>
      <c r="E1139" s="26" t="s">
        <v>2806</v>
      </c>
      <c r="F1139" s="7"/>
      <c r="G1139" s="22"/>
    </row>
    <row r="1140" spans="1:7" ht="20.25" hidden="1" customHeight="1">
      <c r="A1140" s="102">
        <v>32015</v>
      </c>
      <c r="B1140" s="102">
        <v>36015</v>
      </c>
      <c r="C1140" s="102">
        <f t="shared" si="17"/>
        <v>32015</v>
      </c>
      <c r="D1140" s="102" t="s">
        <v>498</v>
      </c>
      <c r="E1140" s="26" t="s">
        <v>2807</v>
      </c>
      <c r="F1140" s="7"/>
      <c r="G1140" s="22"/>
    </row>
    <row r="1141" spans="1:7" ht="20.25" hidden="1" customHeight="1">
      <c r="A1141" s="102">
        <v>32016</v>
      </c>
      <c r="B1141" s="102">
        <v>36016</v>
      </c>
      <c r="C1141" s="102">
        <f t="shared" si="17"/>
        <v>32016</v>
      </c>
      <c r="D1141" s="102" t="s">
        <v>498</v>
      </c>
      <c r="E1141" s="26" t="s">
        <v>2808</v>
      </c>
      <c r="F1141" s="7"/>
      <c r="G1141" s="22"/>
    </row>
    <row r="1142" spans="1:7" ht="20.25" hidden="1" customHeight="1">
      <c r="A1142" s="102">
        <v>32017</v>
      </c>
      <c r="B1142" s="102">
        <v>36017</v>
      </c>
      <c r="C1142" s="102">
        <f t="shared" si="17"/>
        <v>32017</v>
      </c>
      <c r="D1142" s="102" t="s">
        <v>498</v>
      </c>
      <c r="E1142" s="26" t="s">
        <v>2809</v>
      </c>
      <c r="F1142" s="7"/>
      <c r="G1142" s="22"/>
    </row>
    <row r="1143" spans="1:7" ht="20.25" hidden="1" customHeight="1">
      <c r="A1143" s="102">
        <v>32018</v>
      </c>
      <c r="B1143" s="102">
        <v>36018</v>
      </c>
      <c r="C1143" s="102">
        <f t="shared" si="17"/>
        <v>32018</v>
      </c>
      <c r="D1143" s="102" t="s">
        <v>498</v>
      </c>
      <c r="E1143" s="26" t="s">
        <v>2810</v>
      </c>
      <c r="F1143" s="7" t="s">
        <v>2811</v>
      </c>
      <c r="G1143" s="22"/>
    </row>
    <row r="1144" spans="1:7" ht="20.25" hidden="1" customHeight="1">
      <c r="A1144" s="102">
        <v>32019</v>
      </c>
      <c r="B1144" s="102">
        <v>36019</v>
      </c>
      <c r="C1144" s="102">
        <f t="shared" si="17"/>
        <v>32019</v>
      </c>
      <c r="D1144" s="102" t="s">
        <v>498</v>
      </c>
      <c r="E1144" s="26" t="s">
        <v>2812</v>
      </c>
      <c r="F1144" s="7" t="s">
        <v>2811</v>
      </c>
      <c r="G1144" s="22"/>
    </row>
    <row r="1145" spans="1:7" ht="20.25" hidden="1" customHeight="1">
      <c r="A1145" s="102">
        <v>32020</v>
      </c>
      <c r="B1145" s="102">
        <v>36020</v>
      </c>
      <c r="C1145" s="102">
        <f t="shared" si="17"/>
        <v>32020</v>
      </c>
      <c r="D1145" s="102" t="s">
        <v>498</v>
      </c>
      <c r="E1145" s="26" t="s">
        <v>2813</v>
      </c>
      <c r="F1145" s="7" t="s">
        <v>2811</v>
      </c>
      <c r="G1145" s="22"/>
    </row>
    <row r="1146" spans="1:7" ht="20.25" hidden="1" customHeight="1">
      <c r="A1146" s="102">
        <v>32021</v>
      </c>
      <c r="B1146" s="102">
        <v>36021</v>
      </c>
      <c r="C1146" s="102">
        <f t="shared" si="17"/>
        <v>32021</v>
      </c>
      <c r="D1146" s="102" t="s">
        <v>498</v>
      </c>
      <c r="E1146" s="26" t="s">
        <v>2814</v>
      </c>
      <c r="F1146" s="7"/>
      <c r="G1146" s="22" t="s">
        <v>697</v>
      </c>
    </row>
    <row r="1147" spans="1:7" ht="20.25" hidden="1" customHeight="1">
      <c r="A1147" s="102">
        <v>32022</v>
      </c>
      <c r="B1147" s="102">
        <v>36022</v>
      </c>
      <c r="C1147" s="102">
        <f t="shared" si="17"/>
        <v>32022</v>
      </c>
      <c r="D1147" s="102" t="s">
        <v>498</v>
      </c>
      <c r="E1147" s="26" t="s">
        <v>2815</v>
      </c>
      <c r="F1147" s="7" t="s">
        <v>2816</v>
      </c>
      <c r="G1147" s="22"/>
    </row>
    <row r="1148" spans="1:7" ht="20.25" hidden="1" customHeight="1">
      <c r="A1148" s="102">
        <v>32023</v>
      </c>
      <c r="B1148" s="102">
        <v>36023</v>
      </c>
      <c r="C1148" s="102">
        <f t="shared" si="17"/>
        <v>32023</v>
      </c>
      <c r="D1148" s="102" t="s">
        <v>498</v>
      </c>
      <c r="E1148" s="26" t="s">
        <v>2817</v>
      </c>
      <c r="F1148" s="7"/>
      <c r="G1148" s="22"/>
    </row>
    <row r="1149" spans="1:7" ht="20.25" hidden="1" customHeight="1">
      <c r="A1149" s="102">
        <v>32024</v>
      </c>
      <c r="B1149" s="102">
        <v>36024</v>
      </c>
      <c r="C1149" s="102">
        <f t="shared" si="17"/>
        <v>32024</v>
      </c>
      <c r="D1149" s="102" t="s">
        <v>498</v>
      </c>
      <c r="E1149" s="26" t="s">
        <v>2818</v>
      </c>
      <c r="F1149" s="7" t="s">
        <v>2816</v>
      </c>
      <c r="G1149" s="22"/>
    </row>
    <row r="1150" spans="1:7" ht="20.25" hidden="1" customHeight="1">
      <c r="A1150" s="102">
        <v>32025</v>
      </c>
      <c r="B1150" s="102">
        <v>36025</v>
      </c>
      <c r="C1150" s="102">
        <f t="shared" si="17"/>
        <v>32025</v>
      </c>
      <c r="D1150" s="102" t="s">
        <v>498</v>
      </c>
      <c r="E1150" s="26" t="s">
        <v>2819</v>
      </c>
      <c r="F1150" s="7"/>
      <c r="G1150" s="22" t="s">
        <v>948</v>
      </c>
    </row>
    <row r="1151" spans="1:7" ht="20.25" hidden="1" customHeight="1">
      <c r="A1151" s="102">
        <v>32026</v>
      </c>
      <c r="B1151" s="102">
        <v>36026</v>
      </c>
      <c r="C1151" s="102">
        <f t="shared" si="17"/>
        <v>32026</v>
      </c>
      <c r="D1151" s="102" t="s">
        <v>498</v>
      </c>
      <c r="E1151" s="26" t="s">
        <v>2820</v>
      </c>
      <c r="F1151" s="7"/>
      <c r="G1151" s="22"/>
    </row>
    <row r="1152" spans="1:7" ht="20.25" hidden="1" customHeight="1">
      <c r="A1152" s="102">
        <v>32027</v>
      </c>
      <c r="B1152" s="102">
        <v>36027</v>
      </c>
      <c r="C1152" s="102">
        <f t="shared" si="17"/>
        <v>32027</v>
      </c>
      <c r="D1152" s="102" t="s">
        <v>498</v>
      </c>
      <c r="E1152" s="26" t="s">
        <v>2821</v>
      </c>
      <c r="F1152" s="7"/>
      <c r="G1152" s="22"/>
    </row>
    <row r="1153" spans="1:7" ht="20.25" hidden="1" customHeight="1">
      <c r="A1153" s="102">
        <v>32028</v>
      </c>
      <c r="B1153" s="102">
        <v>36028</v>
      </c>
      <c r="C1153" s="102">
        <f t="shared" si="17"/>
        <v>32028</v>
      </c>
      <c r="D1153" s="102" t="s">
        <v>498</v>
      </c>
      <c r="E1153" s="26" t="s">
        <v>2822</v>
      </c>
      <c r="F1153" s="7" t="s">
        <v>2823</v>
      </c>
      <c r="G1153" s="22" t="s">
        <v>2447</v>
      </c>
    </row>
    <row r="1154" spans="1:7" ht="20.25" hidden="1" customHeight="1">
      <c r="A1154" s="102">
        <v>32029</v>
      </c>
      <c r="B1154" s="102">
        <v>36029</v>
      </c>
      <c r="C1154" s="102">
        <f t="shared" si="17"/>
        <v>32029</v>
      </c>
      <c r="D1154" s="102" t="s">
        <v>498</v>
      </c>
      <c r="E1154" s="5" t="s">
        <v>2824</v>
      </c>
      <c r="F1154" s="7"/>
      <c r="G1154" s="22" t="s">
        <v>147</v>
      </c>
    </row>
    <row r="1155" spans="1:7" ht="20.25" hidden="1" customHeight="1">
      <c r="A1155" s="102">
        <v>32030</v>
      </c>
      <c r="B1155" s="102">
        <v>36030</v>
      </c>
      <c r="C1155" s="102">
        <f t="shared" si="17"/>
        <v>32030</v>
      </c>
      <c r="D1155" s="102" t="s">
        <v>498</v>
      </c>
      <c r="E1155" s="26" t="s">
        <v>2825</v>
      </c>
      <c r="F1155" s="7" t="s">
        <v>2826</v>
      </c>
      <c r="G1155" s="22" t="s">
        <v>2447</v>
      </c>
    </row>
    <row r="1156" spans="1:7" ht="20.25" hidden="1" customHeight="1">
      <c r="A1156" s="102">
        <v>32031</v>
      </c>
      <c r="B1156" s="102">
        <v>36031</v>
      </c>
      <c r="C1156" s="102">
        <f t="shared" ref="C1156:C1219" si="18">IF(ISERROR(FIND("B_Epic",E1156)),A1156,A1156+10000)</f>
        <v>32031</v>
      </c>
      <c r="D1156" s="102" t="s">
        <v>498</v>
      </c>
      <c r="E1156" s="26" t="s">
        <v>2827</v>
      </c>
      <c r="F1156" s="7"/>
      <c r="G1156" s="22" t="s">
        <v>147</v>
      </c>
    </row>
    <row r="1157" spans="1:7" ht="20.25" hidden="1" customHeight="1">
      <c r="A1157" s="102">
        <v>32032</v>
      </c>
      <c r="B1157" s="102">
        <v>36032</v>
      </c>
      <c r="C1157" s="102">
        <f t="shared" si="18"/>
        <v>32032</v>
      </c>
      <c r="D1157" s="102" t="s">
        <v>498</v>
      </c>
      <c r="E1157" s="26" t="s">
        <v>2828</v>
      </c>
      <c r="F1157" s="7" t="s">
        <v>2829</v>
      </c>
      <c r="G1157" s="22" t="s">
        <v>2447</v>
      </c>
    </row>
    <row r="1158" spans="1:7" ht="20.25" hidden="1" customHeight="1">
      <c r="A1158" s="102">
        <v>32033</v>
      </c>
      <c r="B1158" s="102">
        <v>36033</v>
      </c>
      <c r="C1158" s="102">
        <f t="shared" si="18"/>
        <v>32033</v>
      </c>
      <c r="D1158" s="102" t="s">
        <v>498</v>
      </c>
      <c r="E1158" s="26" t="s">
        <v>2830</v>
      </c>
      <c r="F1158" s="7"/>
      <c r="G1158" s="22"/>
    </row>
    <row r="1159" spans="1:7" ht="20.25" hidden="1" customHeight="1">
      <c r="A1159" s="102">
        <v>32034</v>
      </c>
      <c r="B1159" s="102">
        <v>36034</v>
      </c>
      <c r="C1159" s="102">
        <f t="shared" si="18"/>
        <v>32034</v>
      </c>
      <c r="D1159" s="102" t="s">
        <v>498</v>
      </c>
      <c r="E1159" s="26" t="s">
        <v>2831</v>
      </c>
      <c r="F1159" s="7"/>
      <c r="G1159" s="22" t="s">
        <v>2447</v>
      </c>
    </row>
    <row r="1160" spans="1:7" ht="20.25" hidden="1" customHeight="1">
      <c r="A1160" s="102">
        <v>32035</v>
      </c>
      <c r="B1160" s="102">
        <v>36035</v>
      </c>
      <c r="C1160" s="102">
        <f t="shared" si="18"/>
        <v>32035</v>
      </c>
      <c r="D1160" s="102" t="s">
        <v>498</v>
      </c>
      <c r="E1160" s="26" t="s">
        <v>2832</v>
      </c>
      <c r="F1160" s="7"/>
      <c r="G1160" s="22" t="s">
        <v>2447</v>
      </c>
    </row>
    <row r="1161" spans="1:7" ht="20.25" hidden="1" customHeight="1">
      <c r="A1161" s="102">
        <v>32036</v>
      </c>
      <c r="B1161" s="102">
        <v>36036</v>
      </c>
      <c r="C1161" s="102">
        <f t="shared" si="18"/>
        <v>32036</v>
      </c>
      <c r="D1161" s="102" t="s">
        <v>498</v>
      </c>
      <c r="E1161" s="26" t="s">
        <v>2833</v>
      </c>
      <c r="F1161" s="7"/>
      <c r="G1161" s="22" t="s">
        <v>2447</v>
      </c>
    </row>
    <row r="1162" spans="1:7" ht="20.25" hidden="1" customHeight="1">
      <c r="A1162" s="102">
        <v>32037</v>
      </c>
      <c r="B1162" s="102">
        <v>36037</v>
      </c>
      <c r="C1162" s="102">
        <f t="shared" si="18"/>
        <v>42037</v>
      </c>
      <c r="D1162" s="102" t="s">
        <v>498</v>
      </c>
      <c r="E1162" s="26" t="s">
        <v>2834</v>
      </c>
      <c r="F1162" s="7"/>
      <c r="G1162" s="22" t="s">
        <v>2835</v>
      </c>
    </row>
    <row r="1163" spans="1:7" ht="20.25" hidden="1" customHeight="1">
      <c r="A1163" s="102">
        <v>32038</v>
      </c>
      <c r="B1163" s="102">
        <v>36038</v>
      </c>
      <c r="C1163" s="102">
        <f t="shared" si="18"/>
        <v>32038</v>
      </c>
      <c r="D1163" s="102" t="s">
        <v>498</v>
      </c>
      <c r="E1163" s="26" t="s">
        <v>2836</v>
      </c>
      <c r="F1163" s="7"/>
      <c r="G1163" s="22" t="s">
        <v>2835</v>
      </c>
    </row>
    <row r="1164" spans="1:7" ht="20.25" hidden="1" customHeight="1">
      <c r="A1164" s="102">
        <v>32039</v>
      </c>
      <c r="B1164" s="102">
        <v>36039</v>
      </c>
      <c r="C1164" s="102">
        <f t="shared" si="18"/>
        <v>32039</v>
      </c>
      <c r="D1164" s="102" t="s">
        <v>498</v>
      </c>
      <c r="E1164" s="26" t="s">
        <v>2837</v>
      </c>
      <c r="F1164" s="7"/>
      <c r="G1164" s="22" t="s">
        <v>2835</v>
      </c>
    </row>
    <row r="1165" spans="1:7" ht="20.25" hidden="1" customHeight="1">
      <c r="A1165" s="102">
        <v>32040</v>
      </c>
      <c r="B1165" s="102">
        <v>36040</v>
      </c>
      <c r="C1165" s="102">
        <f t="shared" si="18"/>
        <v>42040</v>
      </c>
      <c r="D1165" s="102" t="s">
        <v>498</v>
      </c>
      <c r="E1165" s="26" t="s">
        <v>2838</v>
      </c>
      <c r="F1165" s="7"/>
      <c r="G1165" s="22" t="s">
        <v>2839</v>
      </c>
    </row>
    <row r="1166" spans="1:7" ht="20.25" hidden="1" customHeight="1">
      <c r="A1166" s="102">
        <v>32041</v>
      </c>
      <c r="B1166" s="102">
        <v>36041</v>
      </c>
      <c r="C1166" s="102">
        <f t="shared" si="18"/>
        <v>32041</v>
      </c>
      <c r="D1166" s="102" t="s">
        <v>498</v>
      </c>
      <c r="E1166" s="26" t="s">
        <v>2840</v>
      </c>
      <c r="F1166" s="7"/>
      <c r="G1166" s="22" t="s">
        <v>2839</v>
      </c>
    </row>
    <row r="1167" spans="1:7" ht="20.25" hidden="1" customHeight="1">
      <c r="A1167" s="102">
        <v>32042</v>
      </c>
      <c r="B1167" s="102">
        <v>36042</v>
      </c>
      <c r="C1167" s="102">
        <f t="shared" si="18"/>
        <v>32042</v>
      </c>
      <c r="D1167" s="102" t="s">
        <v>498</v>
      </c>
      <c r="E1167" s="26" t="s">
        <v>2841</v>
      </c>
      <c r="F1167" s="7"/>
      <c r="G1167" s="22" t="s">
        <v>2839</v>
      </c>
    </row>
    <row r="1168" spans="1:7" ht="20.25" hidden="1" customHeight="1">
      <c r="A1168" s="102">
        <v>32043</v>
      </c>
      <c r="B1168" s="102">
        <v>36043</v>
      </c>
      <c r="C1168" s="102">
        <f t="shared" si="18"/>
        <v>32043</v>
      </c>
      <c r="D1168" s="102" t="s">
        <v>498</v>
      </c>
      <c r="E1168" s="26" t="s">
        <v>2842</v>
      </c>
      <c r="F1168" s="7"/>
      <c r="G1168" s="22" t="s">
        <v>2447</v>
      </c>
    </row>
    <row r="1169" spans="1:7" ht="20.25" hidden="1" customHeight="1">
      <c r="A1169" s="102">
        <v>32044</v>
      </c>
      <c r="B1169" s="102">
        <v>36044</v>
      </c>
      <c r="C1169" s="102">
        <f t="shared" si="18"/>
        <v>32044</v>
      </c>
      <c r="D1169" s="102" t="s">
        <v>498</v>
      </c>
      <c r="E1169" s="26" t="s">
        <v>2843</v>
      </c>
      <c r="F1169" s="7"/>
      <c r="G1169" s="22"/>
    </row>
    <row r="1170" spans="1:7" ht="20.25" hidden="1" customHeight="1">
      <c r="A1170" s="102">
        <v>32045</v>
      </c>
      <c r="B1170" s="102">
        <v>36045</v>
      </c>
      <c r="C1170" s="102">
        <f t="shared" si="18"/>
        <v>32045</v>
      </c>
      <c r="D1170" s="102" t="s">
        <v>498</v>
      </c>
      <c r="E1170" s="26" t="s">
        <v>2844</v>
      </c>
      <c r="F1170" s="7"/>
      <c r="G1170" s="22"/>
    </row>
    <row r="1171" spans="1:7" ht="20.25" hidden="1" customHeight="1">
      <c r="A1171" s="102">
        <v>32046</v>
      </c>
      <c r="B1171" s="102">
        <v>36046</v>
      </c>
      <c r="C1171" s="102">
        <f t="shared" si="18"/>
        <v>32046</v>
      </c>
      <c r="D1171" s="102" t="s">
        <v>498</v>
      </c>
      <c r="E1171" s="115" t="s">
        <v>2845</v>
      </c>
      <c r="F1171" s="7"/>
      <c r="G1171" s="163">
        <v>98484203</v>
      </c>
    </row>
    <row r="1172" spans="1:7" ht="20.25" hidden="1" customHeight="1">
      <c r="A1172" s="102">
        <v>32047</v>
      </c>
      <c r="B1172" s="102">
        <v>36047</v>
      </c>
      <c r="C1172" s="102">
        <f t="shared" si="18"/>
        <v>32047</v>
      </c>
      <c r="D1172" s="102" t="s">
        <v>498</v>
      </c>
      <c r="E1172" s="26" t="s">
        <v>2846</v>
      </c>
      <c r="F1172" s="7"/>
      <c r="G1172" s="163" t="s">
        <v>948</v>
      </c>
    </row>
    <row r="1173" spans="1:7" ht="20.25" hidden="1" customHeight="1">
      <c r="A1173" s="102">
        <v>32048</v>
      </c>
      <c r="B1173" s="102">
        <v>36048</v>
      </c>
      <c r="C1173" s="102">
        <f t="shared" si="18"/>
        <v>32048</v>
      </c>
      <c r="D1173" s="102" t="s">
        <v>498</v>
      </c>
      <c r="E1173" s="26" t="s">
        <v>2847</v>
      </c>
      <c r="F1173" s="15" t="s">
        <v>2848</v>
      </c>
      <c r="G1173" s="22" t="s">
        <v>2849</v>
      </c>
    </row>
    <row r="1174" spans="1:7" ht="20.25" hidden="1" customHeight="1">
      <c r="A1174" s="102">
        <v>32049</v>
      </c>
      <c r="B1174" s="102">
        <v>36049</v>
      </c>
      <c r="C1174" s="102">
        <f t="shared" si="18"/>
        <v>32049</v>
      </c>
      <c r="D1174" s="102" t="s">
        <v>498</v>
      </c>
      <c r="E1174" s="26" t="s">
        <v>2662</v>
      </c>
      <c r="F1174" s="7"/>
      <c r="G1174" s="22"/>
    </row>
    <row r="1175" spans="1:7" ht="20.25" hidden="1" customHeight="1">
      <c r="A1175" s="102">
        <v>32050</v>
      </c>
      <c r="B1175" s="102">
        <v>36050</v>
      </c>
      <c r="C1175" s="102">
        <f t="shared" si="18"/>
        <v>32050</v>
      </c>
      <c r="D1175" s="102" t="s">
        <v>498</v>
      </c>
      <c r="E1175" s="26" t="s">
        <v>2850</v>
      </c>
      <c r="F1175" s="7"/>
      <c r="G1175" s="22" t="s">
        <v>2791</v>
      </c>
    </row>
    <row r="1176" spans="1:7" ht="20.25" hidden="1" customHeight="1">
      <c r="A1176" s="102">
        <v>32051</v>
      </c>
      <c r="B1176" s="102">
        <v>36051</v>
      </c>
      <c r="C1176" s="102">
        <f t="shared" si="18"/>
        <v>32051</v>
      </c>
      <c r="D1176" s="102" t="s">
        <v>498</v>
      </c>
      <c r="E1176" s="26" t="s">
        <v>2851</v>
      </c>
      <c r="F1176" s="7"/>
      <c r="G1176" s="22" t="s">
        <v>2447</v>
      </c>
    </row>
    <row r="1177" spans="1:7" ht="20.25" hidden="1" customHeight="1">
      <c r="A1177" s="102">
        <v>32052</v>
      </c>
      <c r="B1177" s="102">
        <v>36052</v>
      </c>
      <c r="C1177" s="102">
        <f t="shared" si="18"/>
        <v>32052</v>
      </c>
      <c r="D1177" s="102" t="s">
        <v>498</v>
      </c>
      <c r="E1177" s="26" t="s">
        <v>2852</v>
      </c>
      <c r="F1177" s="7"/>
      <c r="G1177" s="22" t="s">
        <v>2447</v>
      </c>
    </row>
    <row r="1178" spans="1:7" ht="15" hidden="1">
      <c r="A1178" s="102">
        <v>32053</v>
      </c>
      <c r="B1178" s="102">
        <v>36053</v>
      </c>
      <c r="C1178" s="102">
        <f t="shared" si="18"/>
        <v>32053</v>
      </c>
      <c r="D1178" s="102" t="s">
        <v>498</v>
      </c>
      <c r="E1178" s="26" t="s">
        <v>2853</v>
      </c>
      <c r="F1178" s="7"/>
      <c r="G1178" s="22" t="s">
        <v>2447</v>
      </c>
    </row>
    <row r="1179" spans="1:7" ht="20.25" hidden="1" customHeight="1">
      <c r="A1179" s="102">
        <v>32054</v>
      </c>
      <c r="B1179" s="102">
        <v>36054</v>
      </c>
      <c r="C1179" s="102">
        <f t="shared" si="18"/>
        <v>32054</v>
      </c>
      <c r="D1179" s="102" t="s">
        <v>498</v>
      </c>
      <c r="E1179" s="26" t="s">
        <v>2854</v>
      </c>
      <c r="F1179" s="7"/>
      <c r="G1179" s="22" t="s">
        <v>2447</v>
      </c>
    </row>
    <row r="1180" spans="1:7" ht="20.25" hidden="1" customHeight="1">
      <c r="A1180" s="102">
        <v>32055</v>
      </c>
      <c r="B1180" s="102">
        <v>36055</v>
      </c>
      <c r="C1180" s="102">
        <f t="shared" si="18"/>
        <v>42055</v>
      </c>
      <c r="D1180" s="102" t="s">
        <v>498</v>
      </c>
      <c r="E1180" s="26" t="s">
        <v>2855</v>
      </c>
      <c r="F1180" s="7"/>
      <c r="G1180" s="22" t="s">
        <v>2856</v>
      </c>
    </row>
    <row r="1181" spans="1:7" ht="20.25" hidden="1" customHeight="1">
      <c r="A1181" s="102">
        <v>32056</v>
      </c>
      <c r="B1181" s="102">
        <v>36056</v>
      </c>
      <c r="C1181" s="102">
        <f t="shared" si="18"/>
        <v>32056</v>
      </c>
      <c r="D1181" s="102" t="s">
        <v>498</v>
      </c>
      <c r="E1181" s="26" t="s">
        <v>2857</v>
      </c>
      <c r="F1181" s="7"/>
      <c r="G1181" s="22" t="s">
        <v>948</v>
      </c>
    </row>
    <row r="1182" spans="1:7" ht="20.25" hidden="1" customHeight="1">
      <c r="A1182" s="102">
        <v>32057</v>
      </c>
      <c r="B1182" s="102">
        <v>36057</v>
      </c>
      <c r="C1182" s="102">
        <f t="shared" si="18"/>
        <v>32057</v>
      </c>
      <c r="D1182" s="102" t="s">
        <v>498</v>
      </c>
      <c r="E1182" s="26" t="s">
        <v>2858</v>
      </c>
      <c r="F1182" s="7"/>
      <c r="G1182" s="22" t="s">
        <v>948</v>
      </c>
    </row>
    <row r="1183" spans="1:7" ht="20.25" hidden="1" customHeight="1">
      <c r="A1183" s="102">
        <v>32058</v>
      </c>
      <c r="B1183" s="102">
        <v>36058</v>
      </c>
      <c r="C1183" s="102">
        <f t="shared" si="18"/>
        <v>32058</v>
      </c>
      <c r="D1183" s="102" t="s">
        <v>498</v>
      </c>
      <c r="E1183" s="26" t="s">
        <v>2859</v>
      </c>
      <c r="F1183" s="7"/>
      <c r="G1183" s="22" t="s">
        <v>948</v>
      </c>
    </row>
    <row r="1184" spans="1:7" ht="20.25" hidden="1" customHeight="1">
      <c r="A1184" s="102">
        <v>32059</v>
      </c>
      <c r="B1184" s="102">
        <v>36059</v>
      </c>
      <c r="C1184" s="102">
        <f t="shared" si="18"/>
        <v>32059</v>
      </c>
      <c r="D1184" s="102" t="s">
        <v>498</v>
      </c>
      <c r="E1184" s="26" t="s">
        <v>2860</v>
      </c>
      <c r="F1184" s="7"/>
      <c r="G1184" s="239" t="s">
        <v>2861</v>
      </c>
    </row>
    <row r="1185" spans="1:7" ht="20.25" hidden="1" customHeight="1">
      <c r="A1185" s="102">
        <v>32060</v>
      </c>
      <c r="B1185" s="102">
        <v>36060</v>
      </c>
      <c r="C1185" s="102">
        <f t="shared" si="18"/>
        <v>32060</v>
      </c>
      <c r="D1185" s="102" t="s">
        <v>498</v>
      </c>
      <c r="E1185" s="26" t="s">
        <v>2862</v>
      </c>
      <c r="F1185" s="7"/>
      <c r="G1185" s="239" t="s">
        <v>2861</v>
      </c>
    </row>
    <row r="1186" spans="1:7" ht="20.25" hidden="1" customHeight="1">
      <c r="A1186" s="102">
        <v>32061</v>
      </c>
      <c r="B1186" s="102">
        <v>36061</v>
      </c>
      <c r="C1186" s="102">
        <f t="shared" si="18"/>
        <v>32061</v>
      </c>
      <c r="D1186" s="102" t="s">
        <v>498</v>
      </c>
      <c r="E1186" s="26" t="s">
        <v>2863</v>
      </c>
      <c r="F1186" s="7"/>
      <c r="G1186" s="22" t="s">
        <v>2120</v>
      </c>
    </row>
    <row r="1187" spans="1:7" ht="20.25" hidden="1" customHeight="1">
      <c r="A1187" s="102">
        <v>32062</v>
      </c>
      <c r="B1187" s="102">
        <v>36062</v>
      </c>
      <c r="C1187" s="102">
        <f t="shared" si="18"/>
        <v>32062</v>
      </c>
      <c r="D1187" s="102" t="s">
        <v>498</v>
      </c>
      <c r="E1187" s="26" t="s">
        <v>2864</v>
      </c>
      <c r="F1187" s="7"/>
      <c r="G1187" s="22" t="s">
        <v>2120</v>
      </c>
    </row>
    <row r="1188" spans="1:7" ht="20.25" hidden="1" customHeight="1">
      <c r="A1188" s="102">
        <v>32063</v>
      </c>
      <c r="B1188" s="102">
        <v>36063</v>
      </c>
      <c r="C1188" s="102">
        <f t="shared" si="18"/>
        <v>32063</v>
      </c>
      <c r="D1188" s="102" t="s">
        <v>498</v>
      </c>
      <c r="E1188" s="26" t="s">
        <v>2865</v>
      </c>
      <c r="F1188" s="7"/>
      <c r="G1188" s="22" t="s">
        <v>2120</v>
      </c>
    </row>
    <row r="1189" spans="1:7" ht="20.25" hidden="1" customHeight="1">
      <c r="A1189" s="102">
        <v>32064</v>
      </c>
      <c r="B1189" s="102">
        <v>36064</v>
      </c>
      <c r="C1189" s="102">
        <f t="shared" si="18"/>
        <v>32064</v>
      </c>
      <c r="D1189" s="102" t="s">
        <v>498</v>
      </c>
      <c r="E1189" s="26" t="s">
        <v>2866</v>
      </c>
      <c r="F1189" s="7"/>
      <c r="G1189" s="22" t="s">
        <v>2120</v>
      </c>
    </row>
    <row r="1190" spans="1:7" ht="20.25" hidden="1" customHeight="1">
      <c r="A1190" s="102">
        <v>32065</v>
      </c>
      <c r="B1190" s="102">
        <v>36065</v>
      </c>
      <c r="C1190" s="102">
        <f t="shared" si="18"/>
        <v>32065</v>
      </c>
      <c r="D1190" s="102" t="s">
        <v>498</v>
      </c>
      <c r="E1190" s="240" t="s">
        <v>2867</v>
      </c>
      <c r="F1190" s="7"/>
      <c r="G1190" s="22" t="s">
        <v>2120</v>
      </c>
    </row>
    <row r="1191" spans="1:7" ht="20.25" hidden="1" customHeight="1">
      <c r="A1191" s="102">
        <v>32066</v>
      </c>
      <c r="B1191" s="102">
        <v>36066</v>
      </c>
      <c r="C1191" s="102">
        <f t="shared" si="18"/>
        <v>32066</v>
      </c>
      <c r="D1191" s="102" t="s">
        <v>498</v>
      </c>
      <c r="E1191" s="26" t="s">
        <v>2868</v>
      </c>
      <c r="F1191" s="7"/>
      <c r="G1191" s="22" t="s">
        <v>2120</v>
      </c>
    </row>
    <row r="1192" spans="1:7" ht="20.25" hidden="1" customHeight="1">
      <c r="A1192" s="102">
        <v>32067</v>
      </c>
      <c r="B1192" s="102">
        <v>36067</v>
      </c>
      <c r="C1192" s="102">
        <f t="shared" si="18"/>
        <v>32067</v>
      </c>
      <c r="D1192" s="102" t="s">
        <v>498</v>
      </c>
      <c r="E1192" s="26" t="s">
        <v>2869</v>
      </c>
      <c r="F1192" s="7"/>
      <c r="G1192" s="22" t="s">
        <v>2120</v>
      </c>
    </row>
    <row r="1193" spans="1:7" ht="20.25" hidden="1" customHeight="1">
      <c r="A1193" s="102">
        <v>32068</v>
      </c>
      <c r="B1193" s="102">
        <v>36068</v>
      </c>
      <c r="C1193" s="102">
        <f t="shared" si="18"/>
        <v>32068</v>
      </c>
      <c r="D1193" s="102" t="s">
        <v>498</v>
      </c>
      <c r="E1193" s="26" t="s">
        <v>2870</v>
      </c>
      <c r="F1193" s="7"/>
      <c r="G1193" s="22" t="s">
        <v>2120</v>
      </c>
    </row>
    <row r="1194" spans="1:7" ht="20.25" hidden="1" customHeight="1">
      <c r="A1194" s="102">
        <v>32069</v>
      </c>
      <c r="B1194" s="102">
        <v>36069</v>
      </c>
      <c r="C1194" s="102">
        <f t="shared" si="18"/>
        <v>32069</v>
      </c>
      <c r="D1194" s="102" t="s">
        <v>498</v>
      </c>
      <c r="E1194" s="26" t="s">
        <v>2871</v>
      </c>
      <c r="F1194" s="7"/>
      <c r="G1194" s="22" t="s">
        <v>2872</v>
      </c>
    </row>
    <row r="1195" spans="1:7" ht="20.25" hidden="1" customHeight="1">
      <c r="A1195" s="102">
        <v>32070</v>
      </c>
      <c r="B1195" s="102">
        <v>36070</v>
      </c>
      <c r="C1195" s="102">
        <f t="shared" si="18"/>
        <v>32070</v>
      </c>
      <c r="D1195" s="102" t="s">
        <v>498</v>
      </c>
      <c r="E1195" s="26" t="s">
        <v>2873</v>
      </c>
      <c r="F1195" s="7" t="s">
        <v>948</v>
      </c>
      <c r="G1195" s="22"/>
    </row>
    <row r="1196" spans="1:7" ht="20.25" hidden="1" customHeight="1">
      <c r="A1196" s="102">
        <v>32071</v>
      </c>
      <c r="B1196" s="102">
        <v>36071</v>
      </c>
      <c r="C1196" s="102">
        <f t="shared" si="18"/>
        <v>32071</v>
      </c>
      <c r="D1196" s="102" t="s">
        <v>498</v>
      </c>
      <c r="E1196" s="26" t="s">
        <v>2874</v>
      </c>
      <c r="F1196" s="7" t="s">
        <v>948</v>
      </c>
      <c r="G1196" s="22"/>
    </row>
    <row r="1197" spans="1:7" ht="20.25" hidden="1" customHeight="1">
      <c r="A1197" s="102">
        <v>32072</v>
      </c>
      <c r="B1197" s="102">
        <v>36072</v>
      </c>
      <c r="C1197" s="102">
        <f t="shared" si="18"/>
        <v>32072</v>
      </c>
      <c r="D1197" s="102" t="s">
        <v>498</v>
      </c>
      <c r="E1197" s="162" t="s">
        <v>2875</v>
      </c>
      <c r="F1197" s="7"/>
      <c r="G1197" s="22" t="s">
        <v>948</v>
      </c>
    </row>
    <row r="1198" spans="1:7" ht="20.25" hidden="1" customHeight="1">
      <c r="A1198" s="102">
        <v>32073</v>
      </c>
      <c r="B1198" s="102">
        <v>36073</v>
      </c>
      <c r="C1198" s="102">
        <f t="shared" si="18"/>
        <v>32073</v>
      </c>
      <c r="D1198" s="102" t="s">
        <v>498</v>
      </c>
      <c r="E1198" s="240" t="s">
        <v>2876</v>
      </c>
      <c r="F1198" s="7"/>
      <c r="G1198" s="22" t="s">
        <v>948</v>
      </c>
    </row>
    <row r="1199" spans="1:7" ht="20.25" hidden="1" customHeight="1">
      <c r="A1199" s="102">
        <v>32074</v>
      </c>
      <c r="B1199" s="102">
        <v>36074</v>
      </c>
      <c r="C1199" s="102">
        <f t="shared" si="18"/>
        <v>32074</v>
      </c>
      <c r="D1199" s="102" t="s">
        <v>498</v>
      </c>
      <c r="E1199" s="240" t="s">
        <v>2877</v>
      </c>
      <c r="F1199" s="7"/>
      <c r="G1199" s="22" t="s">
        <v>948</v>
      </c>
    </row>
    <row r="1200" spans="1:7" ht="20.25" hidden="1" customHeight="1">
      <c r="A1200" s="102">
        <v>32075</v>
      </c>
      <c r="B1200" s="102">
        <v>36075</v>
      </c>
      <c r="C1200" s="102">
        <f t="shared" si="18"/>
        <v>32075</v>
      </c>
      <c r="D1200" s="102" t="s">
        <v>498</v>
      </c>
      <c r="E1200" s="26" t="s">
        <v>2878</v>
      </c>
      <c r="F1200" s="7" t="s">
        <v>1113</v>
      </c>
      <c r="G1200" s="22"/>
    </row>
    <row r="1201" spans="1:7" ht="20.25" hidden="1" customHeight="1">
      <c r="A1201" s="102">
        <v>32076</v>
      </c>
      <c r="B1201" s="102">
        <v>36076</v>
      </c>
      <c r="C1201" s="102">
        <f t="shared" si="18"/>
        <v>32076</v>
      </c>
      <c r="D1201" s="102" t="s">
        <v>498</v>
      </c>
      <c r="E1201" s="26" t="s">
        <v>2879</v>
      </c>
      <c r="F1201" s="7" t="s">
        <v>1113</v>
      </c>
      <c r="G1201" s="22"/>
    </row>
    <row r="1202" spans="1:7" ht="20.25" hidden="1" customHeight="1">
      <c r="A1202" s="102">
        <v>32077</v>
      </c>
      <c r="B1202" s="102">
        <v>36077</v>
      </c>
      <c r="C1202" s="102">
        <f t="shared" si="18"/>
        <v>32077</v>
      </c>
      <c r="D1202" s="102" t="s">
        <v>498</v>
      </c>
      <c r="E1202" s="26" t="s">
        <v>2880</v>
      </c>
      <c r="F1202" s="7"/>
      <c r="G1202" s="22" t="s">
        <v>2881</v>
      </c>
    </row>
    <row r="1203" spans="1:7" ht="20.25" hidden="1" customHeight="1">
      <c r="A1203" s="102">
        <v>32078</v>
      </c>
      <c r="B1203" s="102">
        <v>36078</v>
      </c>
      <c r="C1203" s="102">
        <f t="shared" si="18"/>
        <v>42078</v>
      </c>
      <c r="D1203" s="102" t="s">
        <v>498</v>
      </c>
      <c r="E1203" s="26" t="s">
        <v>2882</v>
      </c>
      <c r="F1203" s="7"/>
      <c r="G1203" s="22" t="s">
        <v>2120</v>
      </c>
    </row>
    <row r="1204" spans="1:7" ht="20.25" hidden="1" customHeight="1">
      <c r="A1204" s="102">
        <v>32079</v>
      </c>
      <c r="B1204" s="102">
        <v>36079</v>
      </c>
      <c r="C1204" s="102">
        <f t="shared" si="18"/>
        <v>32079</v>
      </c>
      <c r="D1204" s="102" t="s">
        <v>498</v>
      </c>
      <c r="E1204" s="26" t="s">
        <v>2883</v>
      </c>
      <c r="F1204" s="7"/>
      <c r="G1204" s="22"/>
    </row>
    <row r="1205" spans="1:7" ht="20.25" hidden="1" customHeight="1">
      <c r="A1205" s="102">
        <v>32080</v>
      </c>
      <c r="B1205" s="102">
        <v>36080</v>
      </c>
      <c r="C1205" s="102">
        <f t="shared" si="18"/>
        <v>32080</v>
      </c>
      <c r="D1205" s="102" t="s">
        <v>498</v>
      </c>
      <c r="E1205" s="26" t="s">
        <v>2884</v>
      </c>
      <c r="F1205" s="7"/>
      <c r="G1205" s="22" t="s">
        <v>2120</v>
      </c>
    </row>
    <row r="1206" spans="1:7" ht="20.25" hidden="1" customHeight="1">
      <c r="A1206" s="102">
        <v>32081</v>
      </c>
      <c r="B1206" s="102">
        <v>36081</v>
      </c>
      <c r="C1206" s="102">
        <f t="shared" si="18"/>
        <v>32081</v>
      </c>
      <c r="D1206" s="102" t="s">
        <v>498</v>
      </c>
      <c r="E1206" s="26" t="s">
        <v>2885</v>
      </c>
      <c r="F1206" s="7"/>
      <c r="G1206" s="22" t="s">
        <v>2120</v>
      </c>
    </row>
    <row r="1207" spans="1:7" ht="20.25" hidden="1" customHeight="1">
      <c r="A1207" s="102">
        <v>32082</v>
      </c>
      <c r="B1207" s="102">
        <v>36082</v>
      </c>
      <c r="C1207" s="102">
        <f t="shared" si="18"/>
        <v>32082</v>
      </c>
      <c r="D1207" s="102" t="s">
        <v>498</v>
      </c>
      <c r="E1207" s="26" t="s">
        <v>2886</v>
      </c>
      <c r="F1207" s="7"/>
      <c r="G1207" s="22" t="s">
        <v>2120</v>
      </c>
    </row>
    <row r="1208" spans="1:7" ht="20.25" hidden="1" customHeight="1">
      <c r="A1208" s="102">
        <v>32083</v>
      </c>
      <c r="B1208" s="102">
        <v>36083</v>
      </c>
      <c r="C1208" s="102">
        <f t="shared" si="18"/>
        <v>32083</v>
      </c>
      <c r="D1208" s="102" t="s">
        <v>498</v>
      </c>
      <c r="E1208" s="26" t="s">
        <v>2887</v>
      </c>
      <c r="F1208" s="7"/>
      <c r="G1208" s="22"/>
    </row>
    <row r="1209" spans="1:7" ht="20.25" hidden="1" customHeight="1">
      <c r="A1209" s="102">
        <v>32084</v>
      </c>
      <c r="B1209" s="102">
        <v>36084</v>
      </c>
      <c r="C1209" s="102">
        <f t="shared" si="18"/>
        <v>32084</v>
      </c>
      <c r="D1209" s="102" t="s">
        <v>498</v>
      </c>
      <c r="E1209" s="26" t="s">
        <v>2888</v>
      </c>
      <c r="F1209" s="7"/>
      <c r="G1209" s="22"/>
    </row>
    <row r="1210" spans="1:7" ht="20.25" hidden="1" customHeight="1">
      <c r="A1210" s="102">
        <v>32085</v>
      </c>
      <c r="B1210" s="102">
        <v>36085</v>
      </c>
      <c r="C1210" s="102">
        <f t="shared" si="18"/>
        <v>32085</v>
      </c>
      <c r="D1210" s="102" t="s">
        <v>498</v>
      </c>
      <c r="E1210" s="26" t="s">
        <v>2889</v>
      </c>
      <c r="F1210" s="7"/>
      <c r="G1210" s="22"/>
    </row>
    <row r="1211" spans="1:7" ht="20.25" hidden="1" customHeight="1">
      <c r="A1211" s="102">
        <v>32086</v>
      </c>
      <c r="B1211" s="102">
        <v>36086</v>
      </c>
      <c r="C1211" s="102">
        <f t="shared" si="18"/>
        <v>32086</v>
      </c>
      <c r="D1211" s="102" t="s">
        <v>498</v>
      </c>
      <c r="E1211" s="26" t="s">
        <v>2890</v>
      </c>
      <c r="F1211" s="7"/>
      <c r="G1211" s="22"/>
    </row>
    <row r="1212" spans="1:7" ht="20.25" hidden="1" customHeight="1">
      <c r="A1212" s="102">
        <v>32087</v>
      </c>
      <c r="B1212" s="102">
        <v>36087</v>
      </c>
      <c r="C1212" s="102">
        <f t="shared" si="18"/>
        <v>32087</v>
      </c>
      <c r="D1212" s="102" t="s">
        <v>498</v>
      </c>
      <c r="E1212" s="26" t="s">
        <v>2891</v>
      </c>
      <c r="F1212" s="7"/>
      <c r="G1212" s="22" t="s">
        <v>1007</v>
      </c>
    </row>
    <row r="1213" spans="1:7" ht="20.25" hidden="1" customHeight="1">
      <c r="A1213" s="102">
        <v>32088</v>
      </c>
      <c r="B1213" s="102">
        <v>36088</v>
      </c>
      <c r="C1213" s="102">
        <f t="shared" si="18"/>
        <v>32088</v>
      </c>
      <c r="D1213" s="102" t="s">
        <v>498</v>
      </c>
      <c r="E1213" s="26" t="s">
        <v>2892</v>
      </c>
      <c r="F1213" s="7"/>
      <c r="G1213" s="17" t="s">
        <v>1158</v>
      </c>
    </row>
    <row r="1214" spans="1:7" ht="20.25" hidden="1" customHeight="1">
      <c r="A1214" s="102">
        <v>32089</v>
      </c>
      <c r="B1214" s="102">
        <v>36089</v>
      </c>
      <c r="C1214" s="102">
        <f t="shared" si="18"/>
        <v>32089</v>
      </c>
      <c r="D1214" s="102" t="s">
        <v>498</v>
      </c>
      <c r="E1214" s="26" t="s">
        <v>2893</v>
      </c>
      <c r="F1214" s="7"/>
      <c r="G1214" s="22"/>
    </row>
    <row r="1215" spans="1:7" ht="20.25" hidden="1" customHeight="1">
      <c r="A1215" s="102">
        <v>32090</v>
      </c>
      <c r="B1215" s="102">
        <v>36090</v>
      </c>
      <c r="C1215" s="102">
        <f t="shared" si="18"/>
        <v>32090</v>
      </c>
      <c r="D1215" s="102" t="s">
        <v>498</v>
      </c>
      <c r="E1215" s="26" t="s">
        <v>2894</v>
      </c>
      <c r="F1215" s="7"/>
      <c r="G1215" s="22"/>
    </row>
    <row r="1216" spans="1:7" ht="20.25" hidden="1" customHeight="1">
      <c r="A1216" s="102">
        <v>32091</v>
      </c>
      <c r="B1216" s="102">
        <v>36091</v>
      </c>
      <c r="C1216" s="102">
        <f t="shared" si="18"/>
        <v>32091</v>
      </c>
      <c r="D1216" s="102" t="s">
        <v>498</v>
      </c>
      <c r="E1216" s="26" t="s">
        <v>2895</v>
      </c>
      <c r="F1216" s="7"/>
      <c r="G1216" s="9">
        <v>43986100</v>
      </c>
    </row>
    <row r="1217" spans="1:7" ht="20.25" hidden="1" customHeight="1">
      <c r="A1217" s="102">
        <v>32092</v>
      </c>
      <c r="B1217" s="102">
        <v>36092</v>
      </c>
      <c r="C1217" s="102">
        <f t="shared" si="18"/>
        <v>32092</v>
      </c>
      <c r="D1217" s="102" t="s">
        <v>498</v>
      </c>
      <c r="E1217" s="26" t="s">
        <v>2896</v>
      </c>
      <c r="F1217" s="7"/>
      <c r="G1217" s="9">
        <v>62386159</v>
      </c>
    </row>
    <row r="1218" spans="1:7" ht="20.25" hidden="1" customHeight="1">
      <c r="A1218" s="102">
        <v>32093</v>
      </c>
      <c r="B1218" s="102">
        <v>36093</v>
      </c>
      <c r="C1218" s="102">
        <f t="shared" si="18"/>
        <v>32093</v>
      </c>
      <c r="D1218" s="102" t="s">
        <v>498</v>
      </c>
      <c r="E1218" s="26" t="s">
        <v>2897</v>
      </c>
      <c r="F1218" s="7"/>
      <c r="G1218" s="18" t="s">
        <v>2861</v>
      </c>
    </row>
    <row r="1219" spans="1:7" ht="20.25" hidden="1" customHeight="1">
      <c r="A1219" s="102">
        <v>32094</v>
      </c>
      <c r="B1219" s="102">
        <v>36094</v>
      </c>
      <c r="C1219" s="102">
        <f t="shared" si="18"/>
        <v>32094</v>
      </c>
      <c r="D1219" s="102" t="s">
        <v>498</v>
      </c>
      <c r="E1219" s="26" t="s">
        <v>2898</v>
      </c>
      <c r="F1219" s="7"/>
      <c r="G1219" s="22" t="s">
        <v>2861</v>
      </c>
    </row>
    <row r="1220" spans="1:7" ht="20.25" hidden="1" customHeight="1">
      <c r="A1220" s="102">
        <v>32095</v>
      </c>
      <c r="B1220" s="102">
        <v>36095</v>
      </c>
      <c r="C1220" s="102">
        <f t="shared" ref="C1220:C1283" si="19">IF(ISERROR(FIND("B_Epic",E1220)),A1220,A1220+10000)</f>
        <v>32095</v>
      </c>
      <c r="D1220" s="102" t="s">
        <v>498</v>
      </c>
      <c r="E1220" s="26" t="s">
        <v>2899</v>
      </c>
      <c r="F1220" s="7"/>
      <c r="G1220" s="22" t="s">
        <v>948</v>
      </c>
    </row>
    <row r="1221" spans="1:7" ht="20.25" hidden="1" customHeight="1">
      <c r="A1221" s="102">
        <v>32096</v>
      </c>
      <c r="B1221" s="102">
        <v>36096</v>
      </c>
      <c r="C1221" s="102">
        <f t="shared" si="19"/>
        <v>32096</v>
      </c>
      <c r="D1221" s="102" t="s">
        <v>498</v>
      </c>
      <c r="E1221" s="26" t="s">
        <v>2900</v>
      </c>
      <c r="F1221" s="7"/>
      <c r="G1221" s="22" t="s">
        <v>948</v>
      </c>
    </row>
    <row r="1222" spans="1:7" ht="20.25" hidden="1" customHeight="1">
      <c r="A1222" s="102">
        <v>32097</v>
      </c>
      <c r="B1222" s="102">
        <v>36097</v>
      </c>
      <c r="C1222" s="102">
        <f t="shared" si="19"/>
        <v>42097</v>
      </c>
      <c r="D1222" s="102" t="s">
        <v>498</v>
      </c>
      <c r="E1222" s="26" t="s">
        <v>2901</v>
      </c>
      <c r="F1222" s="7"/>
      <c r="G1222" s="9">
        <v>62386159</v>
      </c>
    </row>
    <row r="1223" spans="1:7" ht="20.25" hidden="1" customHeight="1">
      <c r="A1223" s="102">
        <v>32098</v>
      </c>
      <c r="B1223" s="102">
        <v>36098</v>
      </c>
      <c r="C1223" s="102">
        <f t="shared" si="19"/>
        <v>32098</v>
      </c>
      <c r="D1223" s="102" t="s">
        <v>498</v>
      </c>
      <c r="E1223" s="26" t="s">
        <v>2902</v>
      </c>
      <c r="F1223" s="7" t="s">
        <v>948</v>
      </c>
      <c r="G1223" s="22"/>
    </row>
    <row r="1224" spans="1:7" ht="20.25" hidden="1" customHeight="1">
      <c r="A1224" s="102">
        <v>32099</v>
      </c>
      <c r="B1224" s="102">
        <v>36099</v>
      </c>
      <c r="C1224" s="102">
        <f t="shared" si="19"/>
        <v>32099</v>
      </c>
      <c r="D1224" s="102" t="s">
        <v>498</v>
      </c>
      <c r="E1224" s="26" t="s">
        <v>2903</v>
      </c>
      <c r="F1224" s="7" t="s">
        <v>948</v>
      </c>
      <c r="G1224" s="22"/>
    </row>
    <row r="1225" spans="1:7" ht="20.25" hidden="1" customHeight="1">
      <c r="A1225" s="102">
        <v>32100</v>
      </c>
      <c r="B1225" s="102">
        <v>36100</v>
      </c>
      <c r="C1225" s="102">
        <f t="shared" si="19"/>
        <v>32100</v>
      </c>
      <c r="D1225" s="102" t="s">
        <v>498</v>
      </c>
      <c r="E1225" s="26" t="s">
        <v>2904</v>
      </c>
      <c r="F1225" s="7"/>
      <c r="G1225" s="22"/>
    </row>
    <row r="1226" spans="1:7" ht="20.25" hidden="1" customHeight="1">
      <c r="A1226" s="102">
        <v>32101</v>
      </c>
      <c r="B1226" s="102">
        <v>36101</v>
      </c>
      <c r="C1226" s="102">
        <f t="shared" si="19"/>
        <v>32101</v>
      </c>
      <c r="D1226" s="102" t="s">
        <v>498</v>
      </c>
      <c r="E1226" s="26" t="s">
        <v>2905</v>
      </c>
      <c r="F1226" s="7"/>
      <c r="G1226" s="22"/>
    </row>
    <row r="1227" spans="1:7" ht="20.25" hidden="1" customHeight="1">
      <c r="A1227" s="102">
        <v>32102</v>
      </c>
      <c r="B1227" s="102">
        <v>36102</v>
      </c>
      <c r="C1227" s="102">
        <f t="shared" si="19"/>
        <v>32102</v>
      </c>
      <c r="D1227" s="102" t="s">
        <v>498</v>
      </c>
      <c r="E1227" s="26" t="s">
        <v>2906</v>
      </c>
      <c r="F1227" s="7"/>
    </row>
    <row r="1228" spans="1:7" ht="20.25" hidden="1" customHeight="1">
      <c r="A1228" s="102">
        <v>32103</v>
      </c>
      <c r="B1228" s="102">
        <v>36103</v>
      </c>
      <c r="C1228" s="102">
        <f t="shared" si="19"/>
        <v>32103</v>
      </c>
      <c r="D1228" s="102" t="s">
        <v>498</v>
      </c>
      <c r="E1228" s="26" t="s">
        <v>2907</v>
      </c>
      <c r="F1228" s="7"/>
      <c r="G1228" s="22"/>
    </row>
    <row r="1229" spans="1:7" ht="20.25" hidden="1" customHeight="1">
      <c r="A1229" s="102">
        <v>32104</v>
      </c>
      <c r="B1229" s="102">
        <v>36104</v>
      </c>
      <c r="C1229" s="102">
        <f t="shared" si="19"/>
        <v>32104</v>
      </c>
      <c r="D1229" s="102" t="s">
        <v>498</v>
      </c>
      <c r="E1229" s="26"/>
      <c r="F1229" s="7"/>
      <c r="G1229" s="22"/>
    </row>
    <row r="1230" spans="1:7" ht="20.25" hidden="1" customHeight="1">
      <c r="A1230" s="102">
        <v>32105</v>
      </c>
      <c r="B1230" s="102">
        <v>36105</v>
      </c>
      <c r="C1230" s="102">
        <f t="shared" si="19"/>
        <v>32105</v>
      </c>
      <c r="D1230" s="102" t="s">
        <v>498</v>
      </c>
      <c r="E1230" s="26"/>
      <c r="F1230" s="7"/>
      <c r="G1230" s="22"/>
    </row>
    <row r="1231" spans="1:7" ht="20.25" hidden="1" customHeight="1">
      <c r="A1231" s="102">
        <v>32106</v>
      </c>
      <c r="B1231" s="102">
        <v>36106</v>
      </c>
      <c r="C1231" s="102">
        <f t="shared" si="19"/>
        <v>32106</v>
      </c>
      <c r="D1231" s="102" t="s">
        <v>498</v>
      </c>
      <c r="E1231" s="26"/>
      <c r="F1231" s="7"/>
      <c r="G1231" s="22"/>
    </row>
    <row r="1232" spans="1:7" ht="20.25" hidden="1" customHeight="1">
      <c r="A1232" s="102">
        <v>32107</v>
      </c>
      <c r="B1232" s="102">
        <v>36107</v>
      </c>
      <c r="C1232" s="102">
        <f t="shared" si="19"/>
        <v>32107</v>
      </c>
      <c r="D1232" s="102" t="s">
        <v>498</v>
      </c>
      <c r="E1232" s="26" t="s">
        <v>2908</v>
      </c>
      <c r="F1232" s="7"/>
      <c r="G1232" s="22" t="s">
        <v>2447</v>
      </c>
    </row>
    <row r="1233" spans="1:7" ht="20.25" hidden="1" customHeight="1">
      <c r="A1233" s="102">
        <v>32108</v>
      </c>
      <c r="B1233" s="102">
        <v>36108</v>
      </c>
      <c r="C1233" s="102">
        <f t="shared" si="19"/>
        <v>32108</v>
      </c>
      <c r="D1233" s="102" t="s">
        <v>498</v>
      </c>
      <c r="E1233" s="26"/>
      <c r="F1233" s="7"/>
      <c r="G1233" s="22"/>
    </row>
    <row r="1234" spans="1:7" ht="20.25" hidden="1" customHeight="1">
      <c r="A1234" s="102">
        <v>32109</v>
      </c>
      <c r="B1234" s="102">
        <v>36109</v>
      </c>
      <c r="C1234" s="102">
        <f t="shared" si="19"/>
        <v>32109</v>
      </c>
      <c r="D1234" s="102" t="s">
        <v>498</v>
      </c>
      <c r="E1234" s="26"/>
      <c r="F1234" s="7"/>
      <c r="G1234" s="22"/>
    </row>
    <row r="1235" spans="1:7" ht="20.25" hidden="1" customHeight="1">
      <c r="A1235" s="102">
        <v>32110</v>
      </c>
      <c r="B1235" s="102">
        <v>36110</v>
      </c>
      <c r="C1235" s="102">
        <f t="shared" si="19"/>
        <v>32110</v>
      </c>
      <c r="D1235" s="102" t="s">
        <v>498</v>
      </c>
      <c r="E1235" s="26"/>
      <c r="F1235" s="7"/>
      <c r="G1235" s="22"/>
    </row>
    <row r="1236" spans="1:7" ht="20.25" hidden="1" customHeight="1">
      <c r="A1236" s="102">
        <v>32111</v>
      </c>
      <c r="B1236" s="102">
        <v>36111</v>
      </c>
      <c r="C1236" s="102">
        <f t="shared" si="19"/>
        <v>32111</v>
      </c>
      <c r="D1236" s="102" t="s">
        <v>498</v>
      </c>
      <c r="E1236" s="26"/>
      <c r="F1236" s="7"/>
      <c r="G1236" s="22"/>
    </row>
    <row r="1237" spans="1:7" ht="20.25" hidden="1" customHeight="1">
      <c r="A1237" s="102">
        <v>32112</v>
      </c>
      <c r="B1237" s="102">
        <v>36112</v>
      </c>
      <c r="C1237" s="102">
        <f t="shared" si="19"/>
        <v>32112</v>
      </c>
      <c r="D1237" s="102" t="s">
        <v>498</v>
      </c>
      <c r="E1237" s="26"/>
      <c r="F1237" s="7"/>
      <c r="G1237" s="22"/>
    </row>
    <row r="1238" spans="1:7" ht="20.25" hidden="1" customHeight="1">
      <c r="A1238" s="102">
        <v>32113</v>
      </c>
      <c r="B1238" s="102">
        <v>36113</v>
      </c>
      <c r="C1238" s="102">
        <f t="shared" si="19"/>
        <v>32113</v>
      </c>
      <c r="D1238" s="102" t="s">
        <v>498</v>
      </c>
      <c r="E1238" s="26"/>
      <c r="F1238" s="7"/>
      <c r="G1238" s="22"/>
    </row>
    <row r="1239" spans="1:7" ht="20.25" hidden="1" customHeight="1">
      <c r="A1239" s="102">
        <v>32114</v>
      </c>
      <c r="B1239" s="102">
        <v>36114</v>
      </c>
      <c r="C1239" s="102">
        <f t="shared" si="19"/>
        <v>32114</v>
      </c>
      <c r="D1239" s="102" t="s">
        <v>498</v>
      </c>
      <c r="E1239" s="26"/>
      <c r="F1239" s="7"/>
      <c r="G1239" s="22"/>
    </row>
    <row r="1240" spans="1:7" ht="20.25" hidden="1" customHeight="1">
      <c r="A1240" s="102">
        <v>32115</v>
      </c>
      <c r="B1240" s="102">
        <v>36115</v>
      </c>
      <c r="C1240" s="102">
        <f t="shared" si="19"/>
        <v>32115</v>
      </c>
      <c r="D1240" s="102" t="s">
        <v>498</v>
      </c>
      <c r="E1240" s="26"/>
      <c r="F1240" s="7"/>
      <c r="G1240" s="22"/>
    </row>
    <row r="1241" spans="1:7" ht="20.25" hidden="1" customHeight="1">
      <c r="A1241" s="102">
        <v>32116</v>
      </c>
      <c r="B1241" s="102">
        <v>36116</v>
      </c>
      <c r="C1241" s="102">
        <f t="shared" si="19"/>
        <v>32116</v>
      </c>
      <c r="D1241" s="102" t="s">
        <v>498</v>
      </c>
      <c r="E1241" s="26"/>
      <c r="F1241" s="7"/>
      <c r="G1241" s="22"/>
    </row>
    <row r="1242" spans="1:7" ht="20.25" hidden="1" customHeight="1">
      <c r="A1242" s="102">
        <v>32117</v>
      </c>
      <c r="B1242" s="102">
        <v>36117</v>
      </c>
      <c r="C1242" s="102">
        <f t="shared" si="19"/>
        <v>32117</v>
      </c>
      <c r="D1242" s="102" t="s">
        <v>498</v>
      </c>
      <c r="E1242" s="26"/>
      <c r="F1242" s="7"/>
      <c r="G1242" s="22"/>
    </row>
    <row r="1243" spans="1:7" ht="20.25" hidden="1" customHeight="1">
      <c r="A1243" s="102">
        <v>32118</v>
      </c>
      <c r="B1243" s="102">
        <v>36118</v>
      </c>
      <c r="C1243" s="102">
        <f t="shared" si="19"/>
        <v>32118</v>
      </c>
      <c r="D1243" s="102" t="s">
        <v>498</v>
      </c>
      <c r="E1243" s="26"/>
      <c r="F1243" s="7"/>
      <c r="G1243" s="22"/>
    </row>
    <row r="1244" spans="1:7" ht="20.25" hidden="1" customHeight="1">
      <c r="A1244" s="102">
        <v>32119</v>
      </c>
      <c r="B1244" s="102">
        <v>36119</v>
      </c>
      <c r="C1244" s="102">
        <f t="shared" si="19"/>
        <v>32119</v>
      </c>
      <c r="D1244" s="102" t="s">
        <v>498</v>
      </c>
      <c r="E1244" s="26"/>
      <c r="F1244" s="7"/>
      <c r="G1244" s="22"/>
    </row>
    <row r="1245" spans="1:7" ht="20.25" hidden="1" customHeight="1">
      <c r="A1245" s="102">
        <v>32120</v>
      </c>
      <c r="B1245" s="102">
        <v>36120</v>
      </c>
      <c r="C1245" s="102">
        <f t="shared" si="19"/>
        <v>32120</v>
      </c>
      <c r="D1245" s="102" t="s">
        <v>498</v>
      </c>
      <c r="E1245" s="26" t="s">
        <v>2909</v>
      </c>
      <c r="F1245" s="7"/>
      <c r="G1245" s="22" t="s">
        <v>2861</v>
      </c>
    </row>
    <row r="1246" spans="1:7" ht="20.25" hidden="1" customHeight="1">
      <c r="A1246" s="102">
        <v>32121</v>
      </c>
      <c r="B1246" s="102">
        <v>36121</v>
      </c>
      <c r="C1246" s="102">
        <f t="shared" si="19"/>
        <v>32121</v>
      </c>
      <c r="D1246" s="102" t="s">
        <v>498</v>
      </c>
      <c r="E1246" s="26" t="s">
        <v>2910</v>
      </c>
      <c r="F1246" s="7"/>
      <c r="G1246" s="22" t="s">
        <v>2861</v>
      </c>
    </row>
    <row r="1247" spans="1:7" ht="20.25" hidden="1" customHeight="1">
      <c r="A1247" s="102">
        <v>32122</v>
      </c>
      <c r="B1247" s="102">
        <v>36122</v>
      </c>
      <c r="C1247" s="102">
        <f t="shared" si="19"/>
        <v>32122</v>
      </c>
      <c r="D1247" s="102" t="s">
        <v>498</v>
      </c>
      <c r="E1247" s="200" t="s">
        <v>2911</v>
      </c>
      <c r="F1247" s="7"/>
      <c r="G1247" s="124" t="s">
        <v>596</v>
      </c>
    </row>
    <row r="1248" spans="1:7" ht="20.25" hidden="1" customHeight="1">
      <c r="A1248" s="102">
        <v>32123</v>
      </c>
      <c r="B1248" s="102">
        <v>36123</v>
      </c>
      <c r="C1248" s="102">
        <f t="shared" si="19"/>
        <v>32123</v>
      </c>
      <c r="D1248" s="102" t="s">
        <v>498</v>
      </c>
      <c r="E1248" s="200" t="s">
        <v>2912</v>
      </c>
      <c r="F1248" s="7"/>
      <c r="G1248" s="124" t="s">
        <v>948</v>
      </c>
    </row>
    <row r="1249" spans="1:7" ht="20.25" hidden="1" customHeight="1">
      <c r="A1249" s="102">
        <v>32124</v>
      </c>
      <c r="B1249" s="102">
        <v>36124</v>
      </c>
      <c r="C1249" s="102">
        <f t="shared" si="19"/>
        <v>32124</v>
      </c>
      <c r="D1249" s="102" t="s">
        <v>498</v>
      </c>
      <c r="E1249" s="200" t="s">
        <v>2913</v>
      </c>
      <c r="F1249" s="7"/>
      <c r="G1249" s="124" t="s">
        <v>948</v>
      </c>
    </row>
    <row r="1250" spans="1:7" ht="20.25" hidden="1" customHeight="1">
      <c r="A1250" s="102">
        <v>32125</v>
      </c>
      <c r="B1250" s="102">
        <v>36125</v>
      </c>
      <c r="C1250" s="102">
        <f t="shared" si="19"/>
        <v>32125</v>
      </c>
      <c r="D1250" s="102" t="s">
        <v>498</v>
      </c>
      <c r="E1250" s="26" t="s">
        <v>2914</v>
      </c>
      <c r="F1250" s="7"/>
      <c r="G1250" s="7"/>
    </row>
    <row r="1251" spans="1:7" ht="20.25" hidden="1" customHeight="1">
      <c r="A1251" s="102">
        <v>32126</v>
      </c>
      <c r="B1251" s="102">
        <v>36126</v>
      </c>
      <c r="C1251" s="102">
        <f t="shared" si="19"/>
        <v>32126</v>
      </c>
      <c r="D1251" s="102" t="s">
        <v>498</v>
      </c>
      <c r="E1251" s="26" t="s">
        <v>2915</v>
      </c>
      <c r="F1251" s="7"/>
      <c r="G1251" s="7"/>
    </row>
    <row r="1252" spans="1:7" ht="20.25" hidden="1" customHeight="1">
      <c r="A1252" s="102">
        <v>32127</v>
      </c>
      <c r="B1252" s="102">
        <v>36127</v>
      </c>
      <c r="C1252" s="102">
        <f t="shared" si="19"/>
        <v>42127</v>
      </c>
      <c r="D1252" s="102" t="s">
        <v>498</v>
      </c>
      <c r="E1252" s="26" t="s">
        <v>2916</v>
      </c>
      <c r="F1252" s="7"/>
      <c r="G1252" s="124" t="s">
        <v>2917</v>
      </c>
    </row>
    <row r="1253" spans="1:7" ht="20.25" hidden="1" customHeight="1">
      <c r="A1253" s="102">
        <v>32128</v>
      </c>
      <c r="B1253" s="102">
        <v>36128</v>
      </c>
      <c r="C1253" s="102">
        <f t="shared" si="19"/>
        <v>32128</v>
      </c>
      <c r="D1253" s="102" t="s">
        <v>498</v>
      </c>
      <c r="E1253" s="26" t="s">
        <v>2918</v>
      </c>
      <c r="F1253" s="7"/>
      <c r="G1253" s="22" t="s">
        <v>2120</v>
      </c>
    </row>
    <row r="1254" spans="1:7" ht="20.25" hidden="1" customHeight="1">
      <c r="A1254" s="102">
        <v>32129</v>
      </c>
      <c r="B1254" s="102">
        <v>36129</v>
      </c>
      <c r="C1254" s="102">
        <f t="shared" si="19"/>
        <v>32129</v>
      </c>
      <c r="D1254" s="102" t="s">
        <v>498</v>
      </c>
      <c r="E1254" s="26" t="s">
        <v>2919</v>
      </c>
      <c r="F1254" s="7"/>
      <c r="G1254" s="22" t="s">
        <v>2120</v>
      </c>
    </row>
    <row r="1255" spans="1:7" ht="20.25" hidden="1" customHeight="1">
      <c r="A1255" s="102">
        <v>32130</v>
      </c>
      <c r="B1255" s="102">
        <v>36130</v>
      </c>
      <c r="C1255" s="102">
        <f t="shared" si="19"/>
        <v>32130</v>
      </c>
      <c r="D1255" s="102" t="s">
        <v>498</v>
      </c>
      <c r="E1255" s="26" t="s">
        <v>2920</v>
      </c>
      <c r="F1255" s="7"/>
      <c r="G1255" s="22" t="s">
        <v>2120</v>
      </c>
    </row>
    <row r="1256" spans="1:7" ht="20.25" hidden="1" customHeight="1">
      <c r="A1256" s="102">
        <v>32131</v>
      </c>
      <c r="B1256" s="102">
        <v>36131</v>
      </c>
      <c r="C1256" s="102">
        <f t="shared" si="19"/>
        <v>32131</v>
      </c>
      <c r="D1256" s="102" t="s">
        <v>498</v>
      </c>
      <c r="E1256" s="26" t="s">
        <v>2921</v>
      </c>
      <c r="F1256" s="7"/>
      <c r="G1256" s="22" t="s">
        <v>2120</v>
      </c>
    </row>
    <row r="1257" spans="1:7" ht="20.25" hidden="1" customHeight="1">
      <c r="A1257" s="102">
        <v>32132</v>
      </c>
      <c r="B1257" s="102">
        <v>36132</v>
      </c>
      <c r="C1257" s="102">
        <f t="shared" si="19"/>
        <v>32132</v>
      </c>
      <c r="D1257" s="102" t="s">
        <v>498</v>
      </c>
      <c r="E1257" s="26" t="s">
        <v>2922</v>
      </c>
      <c r="F1257" s="7"/>
      <c r="G1257" s="22" t="s">
        <v>2120</v>
      </c>
    </row>
    <row r="1258" spans="1:7" ht="20.25" hidden="1" customHeight="1">
      <c r="A1258" s="102">
        <v>32133</v>
      </c>
      <c r="B1258" s="102">
        <v>36133</v>
      </c>
      <c r="C1258" s="102">
        <f t="shared" si="19"/>
        <v>32133</v>
      </c>
      <c r="D1258" s="102" t="s">
        <v>498</v>
      </c>
      <c r="E1258" s="26" t="s">
        <v>2923</v>
      </c>
      <c r="F1258" s="7"/>
      <c r="G1258" s="22" t="s">
        <v>2120</v>
      </c>
    </row>
    <row r="1259" spans="1:7" ht="20.25" hidden="1" customHeight="1">
      <c r="A1259" s="102">
        <v>32134</v>
      </c>
      <c r="B1259" s="102">
        <v>36134</v>
      </c>
      <c r="C1259" s="102">
        <f t="shared" si="19"/>
        <v>32134</v>
      </c>
      <c r="D1259" s="102" t="s">
        <v>498</v>
      </c>
      <c r="E1259" s="26" t="s">
        <v>2924</v>
      </c>
      <c r="F1259" s="7"/>
      <c r="G1259" s="22" t="s">
        <v>2120</v>
      </c>
    </row>
    <row r="1260" spans="1:7" ht="20.25" hidden="1" customHeight="1">
      <c r="A1260" s="102">
        <v>32135</v>
      </c>
      <c r="B1260" s="102">
        <v>36135</v>
      </c>
      <c r="C1260" s="102">
        <f t="shared" si="19"/>
        <v>32135</v>
      </c>
      <c r="D1260" s="102" t="s">
        <v>498</v>
      </c>
      <c r="E1260" s="26" t="s">
        <v>2925</v>
      </c>
      <c r="F1260" s="7"/>
      <c r="G1260" s="22" t="s">
        <v>2120</v>
      </c>
    </row>
    <row r="1261" spans="1:7" ht="20.25" hidden="1" customHeight="1">
      <c r="A1261" s="102">
        <v>32136</v>
      </c>
      <c r="B1261" s="102">
        <v>36136</v>
      </c>
      <c r="C1261" s="102">
        <f t="shared" si="19"/>
        <v>32136</v>
      </c>
      <c r="D1261" s="102" t="s">
        <v>498</v>
      </c>
      <c r="E1261" s="26" t="s">
        <v>2926</v>
      </c>
      <c r="F1261" s="7"/>
      <c r="G1261" s="22" t="s">
        <v>2120</v>
      </c>
    </row>
    <row r="1262" spans="1:7" ht="20.25" hidden="1" customHeight="1">
      <c r="A1262" s="102">
        <v>32137</v>
      </c>
      <c r="B1262" s="102">
        <v>36137</v>
      </c>
      <c r="C1262" s="102">
        <f t="shared" si="19"/>
        <v>32137</v>
      </c>
      <c r="D1262" s="102" t="s">
        <v>498</v>
      </c>
      <c r="E1262" s="26" t="s">
        <v>2927</v>
      </c>
      <c r="F1262" s="7"/>
      <c r="G1262" s="22" t="s">
        <v>2120</v>
      </c>
    </row>
    <row r="1263" spans="1:7" ht="20.25" hidden="1" customHeight="1">
      <c r="A1263" s="102">
        <v>32138</v>
      </c>
      <c r="B1263" s="102">
        <v>36138</v>
      </c>
      <c r="C1263" s="102">
        <f t="shared" si="19"/>
        <v>32138</v>
      </c>
      <c r="D1263" s="102" t="s">
        <v>498</v>
      </c>
      <c r="E1263" s="26" t="s">
        <v>2928</v>
      </c>
      <c r="F1263" s="7"/>
      <c r="G1263" s="22" t="s">
        <v>2120</v>
      </c>
    </row>
    <row r="1264" spans="1:7" ht="20.25" hidden="1" customHeight="1">
      <c r="A1264" s="102">
        <v>32139</v>
      </c>
      <c r="B1264" s="102">
        <v>36139</v>
      </c>
      <c r="C1264" s="102">
        <f t="shared" si="19"/>
        <v>32139</v>
      </c>
      <c r="D1264" s="102" t="s">
        <v>498</v>
      </c>
      <c r="E1264" s="26" t="s">
        <v>2929</v>
      </c>
      <c r="F1264" s="7"/>
      <c r="G1264" s="22" t="s">
        <v>2120</v>
      </c>
    </row>
    <row r="1265" spans="1:7" ht="20.25" hidden="1" customHeight="1">
      <c r="A1265" s="102">
        <v>32140</v>
      </c>
      <c r="B1265" s="102">
        <v>36140</v>
      </c>
      <c r="C1265" s="102">
        <f t="shared" si="19"/>
        <v>32140</v>
      </c>
      <c r="D1265" s="102" t="s">
        <v>498</v>
      </c>
      <c r="E1265" s="26" t="s">
        <v>2930</v>
      </c>
      <c r="F1265" s="7"/>
      <c r="G1265" s="22" t="s">
        <v>2120</v>
      </c>
    </row>
    <row r="1266" spans="1:7" ht="20.25" hidden="1" customHeight="1">
      <c r="A1266" s="102">
        <v>32141</v>
      </c>
      <c r="B1266" s="102">
        <v>36141</v>
      </c>
      <c r="C1266" s="102">
        <f t="shared" si="19"/>
        <v>32141</v>
      </c>
      <c r="D1266" s="102" t="s">
        <v>498</v>
      </c>
      <c r="E1266" s="26"/>
      <c r="F1266" s="7"/>
      <c r="G1266" s="34"/>
    </row>
    <row r="1267" spans="1:7" ht="20.25" hidden="1" customHeight="1">
      <c r="A1267" s="102">
        <v>32142</v>
      </c>
      <c r="B1267" s="102">
        <v>36142</v>
      </c>
      <c r="C1267" s="102">
        <f t="shared" si="19"/>
        <v>32142</v>
      </c>
      <c r="D1267" s="102" t="s">
        <v>498</v>
      </c>
      <c r="E1267" s="26"/>
      <c r="F1267" s="7"/>
      <c r="G1267" s="40"/>
    </row>
    <row r="1268" spans="1:7" ht="20.25" hidden="1" customHeight="1">
      <c r="A1268" s="102">
        <v>32143</v>
      </c>
      <c r="B1268" s="102">
        <v>36143</v>
      </c>
      <c r="C1268" s="102">
        <f t="shared" si="19"/>
        <v>32143</v>
      </c>
      <c r="D1268" s="102" t="s">
        <v>498</v>
      </c>
      <c r="E1268" s="26" t="s">
        <v>2931</v>
      </c>
      <c r="F1268" s="7"/>
      <c r="G1268" s="22" t="s">
        <v>697</v>
      </c>
    </row>
    <row r="1269" spans="1:7" ht="20.25" hidden="1" customHeight="1">
      <c r="A1269" s="102">
        <v>32144</v>
      </c>
      <c r="B1269" s="102">
        <v>36144</v>
      </c>
      <c r="C1269" s="102">
        <f t="shared" si="19"/>
        <v>32144</v>
      </c>
      <c r="D1269" s="102" t="s">
        <v>498</v>
      </c>
      <c r="E1269" s="26" t="s">
        <v>2932</v>
      </c>
      <c r="F1269" s="7" t="s">
        <v>948</v>
      </c>
      <c r="G1269" s="22"/>
    </row>
    <row r="1270" spans="1:7" ht="20.25" hidden="1" customHeight="1">
      <c r="A1270" s="102">
        <v>32145</v>
      </c>
      <c r="B1270" s="102">
        <v>36145</v>
      </c>
      <c r="C1270" s="102">
        <f t="shared" si="19"/>
        <v>32145</v>
      </c>
      <c r="D1270" s="102" t="s">
        <v>498</v>
      </c>
      <c r="E1270" s="26" t="s">
        <v>2933</v>
      </c>
      <c r="F1270" s="7" t="s">
        <v>948</v>
      </c>
      <c r="G1270" s="22"/>
    </row>
    <row r="1271" spans="1:7" ht="20.25" hidden="1" customHeight="1">
      <c r="A1271" s="102">
        <v>32146</v>
      </c>
      <c r="B1271" s="102">
        <v>36146</v>
      </c>
      <c r="C1271" s="102">
        <f t="shared" si="19"/>
        <v>32146</v>
      </c>
      <c r="D1271" s="102" t="s">
        <v>498</v>
      </c>
      <c r="E1271" s="26" t="s">
        <v>2934</v>
      </c>
      <c r="F1271" s="7"/>
      <c r="G1271" s="22" t="s">
        <v>2935</v>
      </c>
    </row>
    <row r="1272" spans="1:7" ht="20.25" hidden="1" customHeight="1">
      <c r="A1272" s="102">
        <v>32147</v>
      </c>
      <c r="B1272" s="102">
        <v>36147</v>
      </c>
      <c r="C1272" s="102">
        <f t="shared" si="19"/>
        <v>32147</v>
      </c>
      <c r="D1272" s="102" t="s">
        <v>498</v>
      </c>
      <c r="E1272" s="26" t="s">
        <v>2936</v>
      </c>
      <c r="F1272" s="7"/>
      <c r="G1272" s="22" t="s">
        <v>2935</v>
      </c>
    </row>
    <row r="1273" spans="1:7" ht="20.25" hidden="1" customHeight="1">
      <c r="A1273" s="102">
        <v>32148</v>
      </c>
      <c r="B1273" s="102">
        <v>36148</v>
      </c>
      <c r="C1273" s="102">
        <f t="shared" si="19"/>
        <v>32148</v>
      </c>
      <c r="D1273" s="102" t="s">
        <v>498</v>
      </c>
      <c r="E1273" s="26" t="s">
        <v>2937</v>
      </c>
      <c r="F1273" s="7"/>
      <c r="G1273" s="22" t="s">
        <v>948</v>
      </c>
    </row>
    <row r="1274" spans="1:7" ht="20.25" hidden="1" customHeight="1">
      <c r="A1274" s="102">
        <v>32149</v>
      </c>
      <c r="B1274" s="102">
        <v>36149</v>
      </c>
      <c r="C1274" s="102">
        <f t="shared" si="19"/>
        <v>42149</v>
      </c>
      <c r="D1274" s="102" t="s">
        <v>498</v>
      </c>
      <c r="E1274" s="26" t="s">
        <v>2938</v>
      </c>
      <c r="F1274" s="7"/>
      <c r="G1274" s="22" t="s">
        <v>596</v>
      </c>
    </row>
    <row r="1275" spans="1:7" ht="20.25" hidden="1" customHeight="1">
      <c r="A1275" s="102">
        <v>32150</v>
      </c>
      <c r="B1275" s="102">
        <v>36150</v>
      </c>
      <c r="C1275" s="102">
        <f t="shared" si="19"/>
        <v>32150</v>
      </c>
      <c r="D1275" s="102" t="s">
        <v>498</v>
      </c>
      <c r="E1275" s="26" t="s">
        <v>2939</v>
      </c>
      <c r="F1275" s="7"/>
      <c r="G1275" s="22"/>
    </row>
    <row r="1276" spans="1:7" ht="20.25" hidden="1" customHeight="1">
      <c r="A1276" s="102">
        <v>32151</v>
      </c>
      <c r="B1276" s="102">
        <v>36151</v>
      </c>
      <c r="C1276" s="102">
        <f t="shared" si="19"/>
        <v>32151</v>
      </c>
      <c r="D1276" s="102" t="s">
        <v>498</v>
      </c>
      <c r="E1276" s="26" t="s">
        <v>2940</v>
      </c>
      <c r="F1276" s="7"/>
      <c r="G1276" s="22"/>
    </row>
    <row r="1277" spans="1:7" ht="20.25" hidden="1" customHeight="1">
      <c r="A1277" s="102">
        <v>32152</v>
      </c>
      <c r="B1277" s="102">
        <v>36152</v>
      </c>
      <c r="C1277" s="102">
        <f t="shared" si="19"/>
        <v>32152</v>
      </c>
      <c r="D1277" s="102" t="s">
        <v>498</v>
      </c>
      <c r="E1277" s="26"/>
      <c r="F1277" s="7"/>
      <c r="G1277" s="22" t="s">
        <v>596</v>
      </c>
    </row>
    <row r="1278" spans="1:7" ht="20.25" hidden="1" customHeight="1">
      <c r="A1278" s="102">
        <v>32153</v>
      </c>
      <c r="B1278" s="102">
        <v>36153</v>
      </c>
      <c r="C1278" s="102">
        <f t="shared" si="19"/>
        <v>32153</v>
      </c>
      <c r="D1278" s="102" t="s">
        <v>498</v>
      </c>
      <c r="E1278" s="26" t="s">
        <v>2941</v>
      </c>
      <c r="F1278" s="7"/>
      <c r="G1278" s="22" t="s">
        <v>596</v>
      </c>
    </row>
    <row r="1279" spans="1:7" ht="20.25" hidden="1" customHeight="1">
      <c r="A1279" s="102">
        <v>32154</v>
      </c>
      <c r="B1279" s="102">
        <v>36154</v>
      </c>
      <c r="C1279" s="102">
        <f t="shared" si="19"/>
        <v>32154</v>
      </c>
      <c r="D1279" s="102" t="s">
        <v>498</v>
      </c>
      <c r="E1279" s="26" t="s">
        <v>2942</v>
      </c>
      <c r="F1279" s="7"/>
      <c r="G1279" s="22" t="s">
        <v>596</v>
      </c>
    </row>
    <row r="1280" spans="1:7" ht="20.25" hidden="1" customHeight="1">
      <c r="A1280" s="102">
        <v>32155</v>
      </c>
      <c r="B1280" s="102">
        <v>36155</v>
      </c>
      <c r="C1280" s="102">
        <f t="shared" si="19"/>
        <v>32155</v>
      </c>
      <c r="D1280" s="102" t="s">
        <v>498</v>
      </c>
      <c r="E1280" s="26" t="s">
        <v>2943</v>
      </c>
      <c r="F1280" s="7"/>
      <c r="G1280" s="22" t="s">
        <v>596</v>
      </c>
    </row>
    <row r="1281" spans="1:7" ht="20.25" hidden="1" customHeight="1">
      <c r="A1281" s="102">
        <v>32156</v>
      </c>
      <c r="B1281" s="102">
        <v>36156</v>
      </c>
      <c r="C1281" s="102">
        <f t="shared" si="19"/>
        <v>32156</v>
      </c>
      <c r="D1281" s="102" t="s">
        <v>498</v>
      </c>
      <c r="E1281" s="26" t="s">
        <v>2944</v>
      </c>
      <c r="F1281" s="7"/>
      <c r="G1281" s="22" t="s">
        <v>596</v>
      </c>
    </row>
    <row r="1282" spans="1:7" ht="20.25" hidden="1" customHeight="1">
      <c r="A1282" s="102">
        <v>32157</v>
      </c>
      <c r="B1282" s="102">
        <v>36157</v>
      </c>
      <c r="C1282" s="102">
        <f t="shared" si="19"/>
        <v>32157</v>
      </c>
      <c r="D1282" s="102" t="s">
        <v>498</v>
      </c>
      <c r="E1282" s="26" t="s">
        <v>2945</v>
      </c>
      <c r="F1282" s="7"/>
      <c r="G1282" s="22" t="s">
        <v>596</v>
      </c>
    </row>
    <row r="1283" spans="1:7" ht="20.25" hidden="1" customHeight="1">
      <c r="A1283" s="102">
        <v>32158</v>
      </c>
      <c r="B1283" s="102">
        <v>36158</v>
      </c>
      <c r="C1283" s="102">
        <f t="shared" si="19"/>
        <v>32158</v>
      </c>
      <c r="D1283" s="102" t="s">
        <v>498</v>
      </c>
      <c r="E1283" s="26" t="s">
        <v>2946</v>
      </c>
      <c r="F1283" s="7"/>
      <c r="G1283" s="22"/>
    </row>
    <row r="1284" spans="1:7" ht="20.25" hidden="1" customHeight="1">
      <c r="A1284" s="102">
        <v>32159</v>
      </c>
      <c r="B1284" s="102">
        <v>36159</v>
      </c>
      <c r="C1284" s="102">
        <f t="shared" ref="C1284:C1347" si="20">IF(ISERROR(FIND("B_Epic",E1284)),A1284,A1284+10000)</f>
        <v>32159</v>
      </c>
      <c r="D1284" s="102" t="s">
        <v>498</v>
      </c>
      <c r="E1284" s="26" t="s">
        <v>2947</v>
      </c>
      <c r="F1284" s="7"/>
      <c r="G1284" s="22"/>
    </row>
    <row r="1285" spans="1:7" ht="20.25" hidden="1" customHeight="1">
      <c r="A1285" s="102">
        <v>32160</v>
      </c>
      <c r="B1285" s="102">
        <v>36160</v>
      </c>
      <c r="C1285" s="102">
        <f t="shared" si="20"/>
        <v>32160</v>
      </c>
      <c r="D1285" s="102" t="s">
        <v>498</v>
      </c>
      <c r="E1285" s="26" t="s">
        <v>2948</v>
      </c>
      <c r="F1285" s="7"/>
      <c r="G1285" s="22"/>
    </row>
    <row r="1286" spans="1:7" ht="20.25" hidden="1" customHeight="1">
      <c r="A1286" s="102">
        <v>32161</v>
      </c>
      <c r="B1286" s="102">
        <v>36161</v>
      </c>
      <c r="C1286" s="102">
        <f t="shared" si="20"/>
        <v>32161</v>
      </c>
      <c r="D1286" s="102" t="s">
        <v>498</v>
      </c>
      <c r="E1286" s="26" t="s">
        <v>2949</v>
      </c>
      <c r="F1286" s="7"/>
      <c r="G1286" s="22"/>
    </row>
    <row r="1287" spans="1:7" ht="20.25" hidden="1" customHeight="1">
      <c r="A1287" s="102">
        <v>32162</v>
      </c>
      <c r="B1287" s="102">
        <v>36162</v>
      </c>
      <c r="C1287" s="102">
        <f t="shared" si="20"/>
        <v>32162</v>
      </c>
      <c r="D1287" s="102" t="s">
        <v>498</v>
      </c>
      <c r="E1287" s="26" t="s">
        <v>2950</v>
      </c>
      <c r="F1287" s="7"/>
      <c r="G1287" s="22"/>
    </row>
    <row r="1288" spans="1:7" ht="20.25" hidden="1" customHeight="1">
      <c r="A1288" s="102">
        <v>32163</v>
      </c>
      <c r="B1288" s="102">
        <v>36163</v>
      </c>
      <c r="C1288" s="102">
        <f t="shared" si="20"/>
        <v>32163</v>
      </c>
      <c r="D1288" s="102" t="s">
        <v>498</v>
      </c>
      <c r="E1288" s="26" t="s">
        <v>2951</v>
      </c>
      <c r="F1288" s="7"/>
      <c r="G1288" s="22"/>
    </row>
    <row r="1289" spans="1:7" ht="20.25" hidden="1" customHeight="1">
      <c r="A1289" s="102">
        <v>32164</v>
      </c>
      <c r="B1289" s="102">
        <v>36164</v>
      </c>
      <c r="C1289" s="102">
        <f t="shared" si="20"/>
        <v>32164</v>
      </c>
      <c r="D1289" s="102" t="s">
        <v>498</v>
      </c>
      <c r="E1289" s="26" t="s">
        <v>2952</v>
      </c>
      <c r="F1289" s="7"/>
      <c r="G1289" s="22"/>
    </row>
    <row r="1290" spans="1:7" ht="20.25" hidden="1" customHeight="1">
      <c r="A1290" s="102">
        <v>32165</v>
      </c>
      <c r="B1290" s="102">
        <v>36165</v>
      </c>
      <c r="C1290" s="102">
        <f t="shared" si="20"/>
        <v>32165</v>
      </c>
      <c r="D1290" s="102" t="s">
        <v>498</v>
      </c>
      <c r="E1290" s="26" t="s">
        <v>2953</v>
      </c>
      <c r="F1290" s="7"/>
      <c r="G1290" s="22" t="s">
        <v>948</v>
      </c>
    </row>
    <row r="1291" spans="1:7" ht="20.25" hidden="1" customHeight="1">
      <c r="A1291" s="102">
        <v>32166</v>
      </c>
      <c r="B1291" s="102">
        <v>36166</v>
      </c>
      <c r="C1291" s="102">
        <f t="shared" si="20"/>
        <v>32166</v>
      </c>
      <c r="D1291" s="102" t="s">
        <v>498</v>
      </c>
      <c r="E1291" s="26" t="s">
        <v>2954</v>
      </c>
      <c r="F1291" s="7" t="s">
        <v>2955</v>
      </c>
      <c r="G1291" s="22"/>
    </row>
    <row r="1292" spans="1:7" ht="20.25" hidden="1" customHeight="1">
      <c r="A1292" s="102">
        <v>32167</v>
      </c>
      <c r="B1292" s="102">
        <v>36167</v>
      </c>
      <c r="C1292" s="102">
        <f t="shared" si="20"/>
        <v>32167</v>
      </c>
      <c r="D1292" s="102" t="s">
        <v>498</v>
      </c>
      <c r="E1292" s="196" t="s">
        <v>2956</v>
      </c>
      <c r="F1292" s="7"/>
      <c r="G1292" s="11">
        <v>62386159</v>
      </c>
    </row>
    <row r="1293" spans="1:7" ht="20.25" hidden="1" customHeight="1">
      <c r="A1293" s="102">
        <v>32168</v>
      </c>
      <c r="B1293" s="102">
        <v>36168</v>
      </c>
      <c r="C1293" s="102">
        <f t="shared" si="20"/>
        <v>32168</v>
      </c>
      <c r="D1293" s="102" t="s">
        <v>498</v>
      </c>
      <c r="E1293" s="196" t="s">
        <v>2957</v>
      </c>
      <c r="F1293" s="7"/>
      <c r="G1293" s="22"/>
    </row>
    <row r="1294" spans="1:7" ht="20.25" hidden="1" customHeight="1">
      <c r="A1294" s="102">
        <v>32169</v>
      </c>
      <c r="B1294" s="102">
        <v>36169</v>
      </c>
      <c r="C1294" s="102">
        <f t="shared" si="20"/>
        <v>32169</v>
      </c>
      <c r="D1294" s="102" t="s">
        <v>498</v>
      </c>
      <c r="E1294" s="26" t="s">
        <v>2958</v>
      </c>
      <c r="F1294" s="7" t="s">
        <v>948</v>
      </c>
      <c r="G1294" s="22"/>
    </row>
    <row r="1295" spans="1:7" ht="20.25" hidden="1" customHeight="1">
      <c r="A1295" s="102">
        <v>32170</v>
      </c>
      <c r="B1295" s="102">
        <v>36170</v>
      </c>
      <c r="C1295" s="102">
        <f t="shared" si="20"/>
        <v>42170</v>
      </c>
      <c r="D1295" s="102" t="s">
        <v>498</v>
      </c>
      <c r="E1295" s="26" t="s">
        <v>2959</v>
      </c>
      <c r="F1295" s="7"/>
      <c r="G1295" s="22" t="s">
        <v>1107</v>
      </c>
    </row>
    <row r="1296" spans="1:7" ht="20.25" hidden="1" customHeight="1">
      <c r="A1296" s="102">
        <v>32171</v>
      </c>
      <c r="B1296" s="102">
        <v>36171</v>
      </c>
      <c r="C1296" s="102">
        <f t="shared" si="20"/>
        <v>32171</v>
      </c>
      <c r="D1296" s="102" t="s">
        <v>498</v>
      </c>
      <c r="E1296" s="26"/>
      <c r="F1296" s="7"/>
      <c r="G1296" s="22" t="s">
        <v>1107</v>
      </c>
    </row>
    <row r="1297" spans="1:7" ht="20.25" hidden="1" customHeight="1">
      <c r="A1297" s="102">
        <v>32172</v>
      </c>
      <c r="B1297" s="102">
        <v>36172</v>
      </c>
      <c r="C1297" s="102">
        <f t="shared" si="20"/>
        <v>32172</v>
      </c>
      <c r="D1297" s="102" t="s">
        <v>498</v>
      </c>
      <c r="E1297" s="26" t="s">
        <v>2960</v>
      </c>
      <c r="F1297" s="7"/>
      <c r="G1297" s="18" t="s">
        <v>948</v>
      </c>
    </row>
    <row r="1298" spans="1:7" ht="20.25" hidden="1" customHeight="1">
      <c r="A1298" s="102">
        <v>32173</v>
      </c>
      <c r="B1298" s="102">
        <v>36173</v>
      </c>
      <c r="C1298" s="102">
        <f t="shared" si="20"/>
        <v>32173</v>
      </c>
      <c r="D1298" s="102" t="s">
        <v>498</v>
      </c>
      <c r="E1298" s="26" t="s">
        <v>2961</v>
      </c>
      <c r="F1298" s="7"/>
      <c r="G1298" s="22" t="s">
        <v>948</v>
      </c>
    </row>
    <row r="1299" spans="1:7" ht="20.25" hidden="1" customHeight="1">
      <c r="A1299" s="102">
        <v>32174</v>
      </c>
      <c r="B1299" s="102">
        <v>36174</v>
      </c>
      <c r="C1299" s="102">
        <f t="shared" si="20"/>
        <v>32174</v>
      </c>
      <c r="D1299" s="102" t="s">
        <v>498</v>
      </c>
      <c r="E1299" s="26" t="s">
        <v>2962</v>
      </c>
      <c r="F1299" s="7"/>
      <c r="G1299" s="22" t="s">
        <v>948</v>
      </c>
    </row>
    <row r="1300" spans="1:7" ht="20.25" hidden="1" customHeight="1">
      <c r="A1300" s="102">
        <v>32175</v>
      </c>
      <c r="B1300" s="102">
        <v>36175</v>
      </c>
      <c r="C1300" s="102">
        <f t="shared" si="20"/>
        <v>32175</v>
      </c>
      <c r="D1300" s="102" t="s">
        <v>498</v>
      </c>
      <c r="E1300" s="26" t="s">
        <v>2963</v>
      </c>
      <c r="F1300" s="7"/>
      <c r="G1300" s="22" t="s">
        <v>948</v>
      </c>
    </row>
    <row r="1301" spans="1:7" ht="20.25" hidden="1" customHeight="1">
      <c r="A1301" s="102">
        <v>32176</v>
      </c>
      <c r="B1301" s="102">
        <v>36176</v>
      </c>
      <c r="C1301" s="102">
        <f t="shared" si="20"/>
        <v>32176</v>
      </c>
      <c r="D1301" s="102" t="s">
        <v>498</v>
      </c>
      <c r="E1301" s="26" t="s">
        <v>2964</v>
      </c>
      <c r="F1301" s="7"/>
      <c r="G1301" s="22" t="s">
        <v>948</v>
      </c>
    </row>
    <row r="1302" spans="1:7" ht="20.25" hidden="1" customHeight="1">
      <c r="A1302" s="102">
        <v>32177</v>
      </c>
      <c r="B1302" s="102">
        <v>36177</v>
      </c>
      <c r="C1302" s="102">
        <f t="shared" si="20"/>
        <v>32177</v>
      </c>
      <c r="D1302" s="102" t="s">
        <v>498</v>
      </c>
      <c r="E1302" s="26" t="s">
        <v>2965</v>
      </c>
      <c r="F1302" s="7"/>
      <c r="G1302" s="22" t="s">
        <v>948</v>
      </c>
    </row>
    <row r="1303" spans="1:7" ht="20.25" hidden="1" customHeight="1">
      <c r="A1303" s="102">
        <v>32178</v>
      </c>
      <c r="B1303" s="102">
        <v>36178</v>
      </c>
      <c r="C1303" s="102">
        <f t="shared" si="20"/>
        <v>32178</v>
      </c>
      <c r="D1303" s="102" t="s">
        <v>498</v>
      </c>
      <c r="E1303" s="26" t="s">
        <v>2966</v>
      </c>
      <c r="F1303" s="7"/>
      <c r="G1303" s="22" t="s">
        <v>948</v>
      </c>
    </row>
    <row r="1304" spans="1:7" ht="20.25" hidden="1" customHeight="1">
      <c r="A1304" s="102">
        <v>32179</v>
      </c>
      <c r="B1304" s="102">
        <v>36179</v>
      </c>
      <c r="C1304" s="102">
        <f t="shared" si="20"/>
        <v>32179</v>
      </c>
      <c r="D1304" s="102" t="s">
        <v>498</v>
      </c>
      <c r="E1304" s="201" t="s">
        <v>2967</v>
      </c>
      <c r="F1304" s="7"/>
      <c r="G1304" s="11" t="s">
        <v>697</v>
      </c>
    </row>
    <row r="1305" spans="1:7" ht="20.25" hidden="1" customHeight="1">
      <c r="A1305" s="102">
        <v>32180</v>
      </c>
      <c r="B1305" s="102">
        <v>36180</v>
      </c>
      <c r="C1305" s="102">
        <f t="shared" si="20"/>
        <v>32180</v>
      </c>
      <c r="D1305" s="102" t="s">
        <v>498</v>
      </c>
      <c r="E1305" s="26" t="s">
        <v>2968</v>
      </c>
      <c r="F1305" s="7"/>
      <c r="G1305" s="22" t="s">
        <v>948</v>
      </c>
    </row>
    <row r="1306" spans="1:7" ht="20.25" hidden="1" customHeight="1">
      <c r="A1306" s="102">
        <v>32181</v>
      </c>
      <c r="B1306" s="102">
        <v>36181</v>
      </c>
      <c r="C1306" s="102">
        <f t="shared" si="20"/>
        <v>32181</v>
      </c>
      <c r="D1306" s="102" t="s">
        <v>498</v>
      </c>
      <c r="E1306" s="26" t="s">
        <v>2969</v>
      </c>
      <c r="F1306" s="7" t="s">
        <v>1113</v>
      </c>
      <c r="G1306" s="22"/>
    </row>
    <row r="1307" spans="1:7" ht="20.25" hidden="1" customHeight="1">
      <c r="A1307" s="102">
        <v>32182</v>
      </c>
      <c r="B1307" s="102">
        <v>36182</v>
      </c>
      <c r="C1307" s="102">
        <f t="shared" si="20"/>
        <v>32182</v>
      </c>
      <c r="D1307" s="102" t="s">
        <v>498</v>
      </c>
      <c r="E1307" s="26" t="s">
        <v>2970</v>
      </c>
      <c r="F1307" s="7"/>
      <c r="G1307" s="22" t="s">
        <v>1107</v>
      </c>
    </row>
    <row r="1308" spans="1:7" ht="20.25" hidden="1" customHeight="1">
      <c r="A1308" s="102">
        <v>32183</v>
      </c>
      <c r="B1308" s="102">
        <v>36183</v>
      </c>
      <c r="C1308" s="102">
        <f t="shared" si="20"/>
        <v>32183</v>
      </c>
      <c r="D1308" s="102" t="s">
        <v>498</v>
      </c>
      <c r="E1308" s="26" t="s">
        <v>2971</v>
      </c>
      <c r="F1308" s="7"/>
      <c r="G1308" s="22" t="s">
        <v>1107</v>
      </c>
    </row>
    <row r="1309" spans="1:7" ht="20.25" hidden="1" customHeight="1">
      <c r="A1309" s="102">
        <v>32184</v>
      </c>
      <c r="B1309" s="102">
        <v>36184</v>
      </c>
      <c r="C1309" s="102">
        <f t="shared" si="20"/>
        <v>32184</v>
      </c>
      <c r="D1309" s="102" t="s">
        <v>498</v>
      </c>
      <c r="E1309" s="1" t="s">
        <v>1963</v>
      </c>
      <c r="F1309" s="7" t="s">
        <v>1113</v>
      </c>
    </row>
    <row r="1310" spans="1:7" ht="20.25" hidden="1" customHeight="1">
      <c r="A1310" s="102">
        <v>32185</v>
      </c>
      <c r="B1310" s="102">
        <v>36185</v>
      </c>
      <c r="C1310" s="102">
        <f t="shared" si="20"/>
        <v>32185</v>
      </c>
      <c r="D1310" s="102" t="s">
        <v>498</v>
      </c>
      <c r="E1310" s="26" t="s">
        <v>2972</v>
      </c>
      <c r="F1310" s="7" t="s">
        <v>1113</v>
      </c>
      <c r="G1310" s="22"/>
    </row>
    <row r="1311" spans="1:7" ht="20.25" hidden="1" customHeight="1">
      <c r="A1311" s="102">
        <v>32186</v>
      </c>
      <c r="B1311" s="102">
        <v>36186</v>
      </c>
      <c r="C1311" s="102">
        <f t="shared" si="20"/>
        <v>32186</v>
      </c>
      <c r="D1311" s="102" t="s">
        <v>498</v>
      </c>
      <c r="E1311" s="26" t="s">
        <v>2973</v>
      </c>
      <c r="F1311" s="7" t="s">
        <v>1113</v>
      </c>
      <c r="G1311" s="22"/>
    </row>
    <row r="1312" spans="1:7" ht="20.25" hidden="1" customHeight="1">
      <c r="A1312" s="102">
        <v>32187</v>
      </c>
      <c r="B1312" s="102">
        <v>36187</v>
      </c>
      <c r="C1312" s="102">
        <f t="shared" si="20"/>
        <v>32187</v>
      </c>
      <c r="D1312" s="102" t="s">
        <v>498</v>
      </c>
      <c r="E1312" s="26" t="s">
        <v>2974</v>
      </c>
      <c r="F1312" s="7" t="s">
        <v>1113</v>
      </c>
      <c r="G1312" s="22"/>
    </row>
    <row r="1313" spans="1:7" ht="20.25" hidden="1" customHeight="1">
      <c r="A1313" s="102">
        <v>32188</v>
      </c>
      <c r="B1313" s="102">
        <v>36188</v>
      </c>
      <c r="C1313" s="102">
        <f t="shared" si="20"/>
        <v>32188</v>
      </c>
      <c r="D1313" s="102" t="s">
        <v>498</v>
      </c>
      <c r="E1313" s="26" t="s">
        <v>2975</v>
      </c>
      <c r="F1313" s="7" t="s">
        <v>1113</v>
      </c>
      <c r="G1313" s="22"/>
    </row>
    <row r="1314" spans="1:7" ht="20.25" hidden="1" customHeight="1">
      <c r="A1314" s="102">
        <v>32189</v>
      </c>
      <c r="B1314" s="102">
        <v>36189</v>
      </c>
      <c r="C1314" s="102">
        <f t="shared" si="20"/>
        <v>32189</v>
      </c>
      <c r="D1314" s="102" t="s">
        <v>498</v>
      </c>
      <c r="E1314" s="26" t="s">
        <v>2976</v>
      </c>
      <c r="F1314" s="7" t="s">
        <v>1113</v>
      </c>
      <c r="G1314" s="22"/>
    </row>
    <row r="1315" spans="1:7" ht="20.25" hidden="1" customHeight="1">
      <c r="A1315" s="102">
        <v>32190</v>
      </c>
      <c r="B1315" s="102">
        <v>36190</v>
      </c>
      <c r="C1315" s="102">
        <f t="shared" si="20"/>
        <v>32190</v>
      </c>
      <c r="D1315" s="102" t="s">
        <v>498</v>
      </c>
      <c r="E1315" s="26" t="s">
        <v>2977</v>
      </c>
      <c r="F1315" s="7" t="s">
        <v>1113</v>
      </c>
      <c r="G1315" s="22"/>
    </row>
    <row r="1316" spans="1:7" ht="20.25" hidden="1" customHeight="1">
      <c r="A1316" s="102">
        <v>32191</v>
      </c>
      <c r="B1316" s="102">
        <v>36191</v>
      </c>
      <c r="C1316" s="102">
        <f t="shared" si="20"/>
        <v>32191</v>
      </c>
      <c r="D1316" s="102" t="s">
        <v>498</v>
      </c>
      <c r="E1316" s="26" t="s">
        <v>2978</v>
      </c>
      <c r="F1316" s="7"/>
      <c r="G1316" s="22" t="s">
        <v>2979</v>
      </c>
    </row>
    <row r="1317" spans="1:7" ht="20.25" hidden="1" customHeight="1">
      <c r="A1317" s="102">
        <v>32192</v>
      </c>
      <c r="B1317" s="102">
        <v>36192</v>
      </c>
      <c r="C1317" s="102">
        <f t="shared" si="20"/>
        <v>32192</v>
      </c>
      <c r="D1317" s="102" t="s">
        <v>498</v>
      </c>
      <c r="E1317" s="26" t="s">
        <v>2980</v>
      </c>
      <c r="F1317" s="7" t="s">
        <v>1113</v>
      </c>
      <c r="G1317" s="22"/>
    </row>
    <row r="1318" spans="1:7" ht="20.25" hidden="1" customHeight="1">
      <c r="A1318" s="102">
        <v>32193</v>
      </c>
      <c r="B1318" s="102">
        <v>36193</v>
      </c>
      <c r="C1318" s="102">
        <f t="shared" si="20"/>
        <v>32193</v>
      </c>
      <c r="D1318" s="102" t="s">
        <v>498</v>
      </c>
      <c r="E1318" s="26" t="s">
        <v>2981</v>
      </c>
      <c r="F1318" s="7" t="s">
        <v>1113</v>
      </c>
      <c r="G1318" s="22"/>
    </row>
    <row r="1319" spans="1:7" ht="20.25" hidden="1" customHeight="1">
      <c r="A1319" s="102">
        <v>32194</v>
      </c>
      <c r="B1319" s="102">
        <v>36194</v>
      </c>
      <c r="C1319" s="102">
        <f t="shared" si="20"/>
        <v>32194</v>
      </c>
      <c r="D1319" s="102" t="s">
        <v>498</v>
      </c>
      <c r="E1319" s="26" t="s">
        <v>2982</v>
      </c>
      <c r="F1319" s="7"/>
      <c r="G1319" s="22"/>
    </row>
    <row r="1320" spans="1:7" ht="20.25" hidden="1" customHeight="1">
      <c r="A1320" s="102">
        <v>32195</v>
      </c>
      <c r="B1320" s="102">
        <v>36195</v>
      </c>
      <c r="C1320" s="102">
        <f t="shared" si="20"/>
        <v>32195</v>
      </c>
      <c r="D1320" s="102" t="s">
        <v>498</v>
      </c>
      <c r="E1320" s="26" t="s">
        <v>2983</v>
      </c>
      <c r="F1320" s="7"/>
      <c r="G1320" s="22"/>
    </row>
    <row r="1321" spans="1:7" ht="20.25" hidden="1" customHeight="1">
      <c r="A1321" s="102">
        <v>32196</v>
      </c>
      <c r="B1321" s="102">
        <v>36196</v>
      </c>
      <c r="C1321" s="102">
        <f t="shared" si="20"/>
        <v>32196</v>
      </c>
      <c r="D1321" s="102" t="s">
        <v>498</v>
      </c>
      <c r="E1321" s="115" t="s">
        <v>2984</v>
      </c>
      <c r="F1321" s="7" t="s">
        <v>1113</v>
      </c>
      <c r="G1321" s="22"/>
    </row>
    <row r="1322" spans="1:7" ht="20.25" hidden="1" customHeight="1">
      <c r="A1322" s="102">
        <v>32197</v>
      </c>
      <c r="B1322" s="102">
        <v>36197</v>
      </c>
      <c r="C1322" s="102">
        <f t="shared" si="20"/>
        <v>32197</v>
      </c>
      <c r="D1322" s="102" t="s">
        <v>498</v>
      </c>
      <c r="E1322" s="26" t="s">
        <v>2985</v>
      </c>
      <c r="F1322" s="7"/>
      <c r="G1322" s="22"/>
    </row>
    <row r="1323" spans="1:7" ht="20.25" hidden="1" customHeight="1">
      <c r="A1323" s="102">
        <v>32198</v>
      </c>
      <c r="B1323" s="102">
        <v>36198</v>
      </c>
      <c r="C1323" s="102">
        <f t="shared" si="20"/>
        <v>32198</v>
      </c>
      <c r="D1323" s="102" t="s">
        <v>498</v>
      </c>
      <c r="E1323" s="26" t="s">
        <v>2986</v>
      </c>
      <c r="F1323" s="7"/>
      <c r="G1323" s="22"/>
    </row>
    <row r="1324" spans="1:7" ht="20.25" hidden="1" customHeight="1">
      <c r="A1324" s="102">
        <v>32199</v>
      </c>
      <c r="B1324" s="102">
        <v>36199</v>
      </c>
      <c r="C1324" s="102">
        <f t="shared" si="20"/>
        <v>42199</v>
      </c>
      <c r="D1324" s="102" t="s">
        <v>498</v>
      </c>
      <c r="E1324" s="115" t="s">
        <v>2987</v>
      </c>
      <c r="F1324" s="7" t="s">
        <v>1113</v>
      </c>
      <c r="G1324" s="22"/>
    </row>
    <row r="1325" spans="1:7" ht="20.25" hidden="1" customHeight="1">
      <c r="A1325" s="102">
        <v>32200</v>
      </c>
      <c r="B1325" s="102">
        <v>36200</v>
      </c>
      <c r="C1325" s="102">
        <f t="shared" si="20"/>
        <v>32200</v>
      </c>
      <c r="D1325" s="102" t="s">
        <v>498</v>
      </c>
      <c r="E1325" s="26"/>
      <c r="F1325" s="7"/>
      <c r="G1325" s="22"/>
    </row>
    <row r="1326" spans="1:7" ht="20.25" hidden="1" customHeight="1">
      <c r="A1326" s="102">
        <v>32201</v>
      </c>
      <c r="B1326" s="102">
        <v>36201</v>
      </c>
      <c r="C1326" s="102">
        <f t="shared" si="20"/>
        <v>32201</v>
      </c>
      <c r="D1326" s="102" t="s">
        <v>498</v>
      </c>
      <c r="E1326" s="1" t="s">
        <v>2988</v>
      </c>
      <c r="F1326" s="7"/>
      <c r="G1326" s="22" t="s">
        <v>2935</v>
      </c>
    </row>
    <row r="1327" spans="1:7" ht="20.25" hidden="1" customHeight="1">
      <c r="A1327" s="102">
        <v>32202</v>
      </c>
      <c r="B1327" s="102">
        <v>36202</v>
      </c>
      <c r="C1327" s="102">
        <f t="shared" si="20"/>
        <v>32202</v>
      </c>
      <c r="D1327" s="102" t="s">
        <v>498</v>
      </c>
      <c r="E1327" s="26" t="s">
        <v>2989</v>
      </c>
      <c r="F1327" s="7"/>
      <c r="G1327" s="22" t="s">
        <v>2935</v>
      </c>
    </row>
    <row r="1328" spans="1:7" ht="20.25" hidden="1" customHeight="1">
      <c r="A1328" s="102">
        <v>32203</v>
      </c>
      <c r="B1328" s="102">
        <v>36203</v>
      </c>
      <c r="C1328" s="102">
        <f t="shared" si="20"/>
        <v>42203</v>
      </c>
      <c r="D1328" s="102" t="s">
        <v>498</v>
      </c>
      <c r="E1328" s="1" t="s">
        <v>2990</v>
      </c>
      <c r="F1328" s="1" t="s">
        <v>1113</v>
      </c>
    </row>
    <row r="1329" spans="1:7" ht="20.25" hidden="1" customHeight="1">
      <c r="A1329" s="102">
        <v>32204</v>
      </c>
      <c r="B1329" s="102">
        <v>36204</v>
      </c>
      <c r="C1329" s="102">
        <f t="shared" si="20"/>
        <v>32204</v>
      </c>
      <c r="D1329" s="102" t="s">
        <v>498</v>
      </c>
      <c r="F1329" s="10"/>
      <c r="G1329" s="22"/>
    </row>
    <row r="1330" spans="1:7" ht="20.25" hidden="1" customHeight="1">
      <c r="A1330" s="102">
        <v>32205</v>
      </c>
      <c r="B1330" s="102">
        <v>36205</v>
      </c>
      <c r="C1330" s="102">
        <f t="shared" si="20"/>
        <v>32205</v>
      </c>
      <c r="D1330" s="102" t="s">
        <v>498</v>
      </c>
      <c r="E1330" s="26" t="s">
        <v>2991</v>
      </c>
      <c r="F1330" s="7" t="s">
        <v>1113</v>
      </c>
      <c r="G1330" s="22"/>
    </row>
    <row r="1331" spans="1:7" ht="20.25" hidden="1" customHeight="1">
      <c r="A1331" s="102">
        <v>32206</v>
      </c>
      <c r="B1331" s="102">
        <v>36206</v>
      </c>
      <c r="C1331" s="102">
        <f t="shared" si="20"/>
        <v>32206</v>
      </c>
      <c r="D1331" s="102" t="s">
        <v>498</v>
      </c>
      <c r="E1331" s="26" t="s">
        <v>2992</v>
      </c>
      <c r="F1331" s="7" t="s">
        <v>1113</v>
      </c>
      <c r="G1331" s="22"/>
    </row>
    <row r="1332" spans="1:7" ht="20.25" hidden="1" customHeight="1">
      <c r="A1332" s="102">
        <v>32207</v>
      </c>
      <c r="B1332" s="102">
        <v>36207</v>
      </c>
      <c r="C1332" s="102">
        <f t="shared" si="20"/>
        <v>32207</v>
      </c>
      <c r="D1332" s="102" t="s">
        <v>498</v>
      </c>
      <c r="E1332" s="26" t="s">
        <v>2993</v>
      </c>
      <c r="F1332" s="7" t="s">
        <v>1113</v>
      </c>
      <c r="G1332" s="22"/>
    </row>
    <row r="1333" spans="1:7" ht="20.25" hidden="1" customHeight="1">
      <c r="A1333" s="102">
        <v>32208</v>
      </c>
      <c r="B1333" s="102">
        <v>36208</v>
      </c>
      <c r="C1333" s="102">
        <f t="shared" si="20"/>
        <v>32208</v>
      </c>
      <c r="D1333" s="102" t="s">
        <v>498</v>
      </c>
      <c r="E1333" s="26" t="s">
        <v>2994</v>
      </c>
      <c r="F1333" s="7" t="s">
        <v>1113</v>
      </c>
      <c r="G1333" s="22"/>
    </row>
    <row r="1334" spans="1:7" ht="20.25" hidden="1" customHeight="1">
      <c r="A1334" s="102">
        <v>32209</v>
      </c>
      <c r="B1334" s="102">
        <v>36209</v>
      </c>
      <c r="C1334" s="102">
        <f t="shared" si="20"/>
        <v>32209</v>
      </c>
      <c r="D1334" s="102" t="s">
        <v>498</v>
      </c>
      <c r="E1334" s="26" t="s">
        <v>2995</v>
      </c>
      <c r="F1334" s="7"/>
      <c r="G1334" s="22"/>
    </row>
    <row r="1335" spans="1:7" ht="20.25" hidden="1" customHeight="1">
      <c r="A1335" s="102">
        <v>32210</v>
      </c>
      <c r="B1335" s="102">
        <v>36210</v>
      </c>
      <c r="C1335" s="102">
        <f t="shared" si="20"/>
        <v>32210</v>
      </c>
      <c r="D1335" s="102" t="s">
        <v>498</v>
      </c>
      <c r="E1335" s="26"/>
      <c r="F1335" s="7"/>
      <c r="G1335" s="22"/>
    </row>
    <row r="1336" spans="1:7" ht="20.25" hidden="1" customHeight="1">
      <c r="A1336" s="102">
        <v>32211</v>
      </c>
      <c r="B1336" s="102">
        <v>36211</v>
      </c>
      <c r="C1336" s="102">
        <f t="shared" si="20"/>
        <v>32211</v>
      </c>
      <c r="D1336" s="102" t="s">
        <v>498</v>
      </c>
      <c r="E1336" s="26" t="s">
        <v>2996</v>
      </c>
      <c r="F1336" s="7" t="s">
        <v>2997</v>
      </c>
      <c r="G1336" s="22"/>
    </row>
    <row r="1337" spans="1:7" ht="20.25" hidden="1" customHeight="1">
      <c r="A1337" s="102">
        <v>32212</v>
      </c>
      <c r="B1337" s="102">
        <v>36212</v>
      </c>
      <c r="C1337" s="102">
        <f t="shared" si="20"/>
        <v>32212</v>
      </c>
      <c r="D1337" s="102" t="s">
        <v>498</v>
      </c>
      <c r="E1337" s="241" t="s">
        <v>2998</v>
      </c>
      <c r="F1337" s="237" t="s">
        <v>2999</v>
      </c>
      <c r="G1337" s="22"/>
    </row>
    <row r="1338" spans="1:7" ht="20.25" hidden="1" customHeight="1">
      <c r="A1338" s="102">
        <v>32213</v>
      </c>
      <c r="B1338" s="102">
        <v>36213</v>
      </c>
      <c r="C1338" s="102">
        <f t="shared" si="20"/>
        <v>32213</v>
      </c>
      <c r="D1338" s="102" t="s">
        <v>498</v>
      </c>
      <c r="E1338" s="26" t="s">
        <v>3000</v>
      </c>
      <c r="F1338" s="7"/>
      <c r="G1338" s="22" t="s">
        <v>3001</v>
      </c>
    </row>
    <row r="1339" spans="1:7" ht="20.25" hidden="1" customHeight="1">
      <c r="A1339" s="102">
        <v>32214</v>
      </c>
      <c r="B1339" s="102">
        <v>36214</v>
      </c>
      <c r="C1339" s="102">
        <f t="shared" si="20"/>
        <v>32214</v>
      </c>
      <c r="D1339" s="102" t="s">
        <v>498</v>
      </c>
      <c r="E1339" s="26" t="s">
        <v>3002</v>
      </c>
      <c r="F1339" s="7"/>
      <c r="G1339" s="22" t="s">
        <v>2849</v>
      </c>
    </row>
    <row r="1340" spans="1:7" ht="20.25" hidden="1" customHeight="1">
      <c r="A1340" s="102">
        <v>32215</v>
      </c>
      <c r="B1340" s="102">
        <v>36215</v>
      </c>
      <c r="C1340" s="102">
        <f t="shared" si="20"/>
        <v>32215</v>
      </c>
      <c r="D1340" s="102" t="s">
        <v>498</v>
      </c>
      <c r="E1340" s="26" t="s">
        <v>3003</v>
      </c>
      <c r="F1340" s="7"/>
      <c r="G1340" s="22" t="s">
        <v>3004</v>
      </c>
    </row>
    <row r="1341" spans="1:7" ht="20.25" hidden="1" customHeight="1">
      <c r="A1341" s="102">
        <v>32216</v>
      </c>
      <c r="B1341" s="102">
        <v>36216</v>
      </c>
      <c r="C1341" s="102">
        <f t="shared" si="20"/>
        <v>32216</v>
      </c>
      <c r="D1341" s="102" t="s">
        <v>498</v>
      </c>
      <c r="E1341" s="26" t="s">
        <v>2912</v>
      </c>
      <c r="F1341" s="7"/>
      <c r="G1341" s="22" t="s">
        <v>948</v>
      </c>
    </row>
    <row r="1342" spans="1:7" ht="20.25" hidden="1" customHeight="1">
      <c r="A1342" s="102">
        <v>32217</v>
      </c>
      <c r="B1342" s="102">
        <v>36217</v>
      </c>
      <c r="C1342" s="102">
        <f t="shared" si="20"/>
        <v>32217</v>
      </c>
      <c r="D1342" s="102" t="s">
        <v>498</v>
      </c>
      <c r="E1342" s="1" t="s">
        <v>3005</v>
      </c>
      <c r="F1342" s="1"/>
      <c r="G1342" s="22" t="s">
        <v>948</v>
      </c>
    </row>
    <row r="1343" spans="1:7" ht="20.25" hidden="1" customHeight="1">
      <c r="A1343" s="102">
        <v>32218</v>
      </c>
      <c r="B1343" s="102">
        <v>36218</v>
      </c>
      <c r="C1343" s="102">
        <f t="shared" si="20"/>
        <v>32218</v>
      </c>
      <c r="D1343" s="102" t="s">
        <v>498</v>
      </c>
      <c r="E1343" s="26" t="s">
        <v>3006</v>
      </c>
      <c r="F1343" s="7"/>
      <c r="G1343" s="11">
        <v>55495970009</v>
      </c>
    </row>
    <row r="1344" spans="1:7" ht="20.25" hidden="1" customHeight="1">
      <c r="A1344" s="102">
        <v>32219</v>
      </c>
      <c r="B1344" s="102">
        <v>36219</v>
      </c>
      <c r="C1344" s="102">
        <f t="shared" si="20"/>
        <v>32219</v>
      </c>
      <c r="D1344" s="102" t="s">
        <v>498</v>
      </c>
      <c r="E1344" s="26" t="s">
        <v>3007</v>
      </c>
      <c r="F1344" s="7"/>
      <c r="G1344" s="11">
        <v>55495970009</v>
      </c>
    </row>
    <row r="1345" spans="1:7" ht="20.25" hidden="1" customHeight="1">
      <c r="A1345" s="102">
        <v>32220</v>
      </c>
      <c r="B1345" s="102">
        <v>36220</v>
      </c>
      <c r="C1345" s="102">
        <f t="shared" si="20"/>
        <v>32220</v>
      </c>
      <c r="D1345" s="102" t="s">
        <v>498</v>
      </c>
      <c r="E1345" s="26" t="s">
        <v>3008</v>
      </c>
      <c r="F1345" s="7"/>
      <c r="G1345" s="11">
        <v>55495970009</v>
      </c>
    </row>
    <row r="1346" spans="1:7" ht="20.25" hidden="1" customHeight="1">
      <c r="A1346" s="102">
        <v>32221</v>
      </c>
      <c r="B1346" s="102">
        <v>36221</v>
      </c>
      <c r="C1346" s="102">
        <f t="shared" si="20"/>
        <v>32221</v>
      </c>
      <c r="D1346" s="102" t="s">
        <v>498</v>
      </c>
      <c r="E1346" s="26" t="s">
        <v>3009</v>
      </c>
      <c r="F1346" s="7" t="s">
        <v>1113</v>
      </c>
      <c r="G1346" s="22"/>
    </row>
    <row r="1347" spans="1:7" ht="20.25" hidden="1" customHeight="1">
      <c r="A1347" s="102">
        <v>32222</v>
      </c>
      <c r="B1347" s="102">
        <v>36222</v>
      </c>
      <c r="C1347" s="102">
        <f t="shared" si="20"/>
        <v>32222</v>
      </c>
      <c r="D1347" s="102" t="s">
        <v>498</v>
      </c>
      <c r="E1347" s="26" t="s">
        <v>3010</v>
      </c>
      <c r="F1347" s="7" t="s">
        <v>1113</v>
      </c>
      <c r="G1347" s="22"/>
    </row>
    <row r="1348" spans="1:7" ht="20.25" hidden="1" customHeight="1">
      <c r="A1348" s="102">
        <v>32223</v>
      </c>
      <c r="B1348" s="102">
        <v>36223</v>
      </c>
      <c r="C1348" s="102">
        <f t="shared" ref="C1348:C1411" si="21">IF(ISERROR(FIND("B_Epic",E1348)),A1348,A1348+10000)</f>
        <v>32223</v>
      </c>
      <c r="D1348" s="102" t="s">
        <v>498</v>
      </c>
      <c r="E1348" s="26" t="s">
        <v>3011</v>
      </c>
      <c r="F1348" s="7"/>
      <c r="G1348" s="18" t="s">
        <v>948</v>
      </c>
    </row>
    <row r="1349" spans="1:7" ht="20.25" hidden="1" customHeight="1">
      <c r="A1349" s="102">
        <v>32224</v>
      </c>
      <c r="B1349" s="102">
        <v>36224</v>
      </c>
      <c r="C1349" s="102">
        <f t="shared" si="21"/>
        <v>32224</v>
      </c>
      <c r="D1349" s="102" t="s">
        <v>498</v>
      </c>
      <c r="E1349" s="26" t="s">
        <v>2913</v>
      </c>
      <c r="F1349" s="7"/>
      <c r="G1349" s="18" t="s">
        <v>948</v>
      </c>
    </row>
    <row r="1350" spans="1:7" ht="20.25" hidden="1" customHeight="1">
      <c r="A1350" s="102">
        <v>32225</v>
      </c>
      <c r="B1350" s="102">
        <v>36225</v>
      </c>
      <c r="C1350" s="102">
        <f t="shared" si="21"/>
        <v>32225</v>
      </c>
      <c r="D1350" s="102" t="s">
        <v>498</v>
      </c>
      <c r="E1350" s="26" t="s">
        <v>3012</v>
      </c>
      <c r="F1350" s="7"/>
      <c r="G1350" s="18" t="s">
        <v>948</v>
      </c>
    </row>
    <row r="1351" spans="1:7" ht="20.25" hidden="1" customHeight="1">
      <c r="A1351" s="102">
        <v>32226</v>
      </c>
      <c r="B1351" s="102">
        <v>36226</v>
      </c>
      <c r="C1351" s="102">
        <f t="shared" si="21"/>
        <v>32226</v>
      </c>
      <c r="D1351" s="102" t="s">
        <v>498</v>
      </c>
      <c r="E1351" s="26" t="s">
        <v>3013</v>
      </c>
      <c r="F1351" s="7" t="s">
        <v>1113</v>
      </c>
      <c r="G1351" s="22"/>
    </row>
    <row r="1352" spans="1:7" ht="20.25" hidden="1" customHeight="1">
      <c r="A1352" s="102">
        <v>32227</v>
      </c>
      <c r="B1352" s="102">
        <v>36227</v>
      </c>
      <c r="C1352" s="102">
        <f t="shared" si="21"/>
        <v>32227</v>
      </c>
      <c r="D1352" s="102" t="s">
        <v>498</v>
      </c>
      <c r="E1352" s="26" t="s">
        <v>3014</v>
      </c>
      <c r="F1352" s="7"/>
      <c r="G1352" s="22" t="s">
        <v>948</v>
      </c>
    </row>
    <row r="1353" spans="1:7" ht="20.25" hidden="1" customHeight="1">
      <c r="A1353" s="102">
        <v>32228</v>
      </c>
      <c r="B1353" s="102">
        <v>36228</v>
      </c>
      <c r="C1353" s="102">
        <f t="shared" si="21"/>
        <v>32228</v>
      </c>
      <c r="D1353" s="102" t="s">
        <v>498</v>
      </c>
      <c r="E1353" s="26" t="s">
        <v>3015</v>
      </c>
      <c r="F1353" s="7" t="s">
        <v>1113</v>
      </c>
      <c r="G1353" s="22"/>
    </row>
    <row r="1354" spans="1:7" ht="20.25" hidden="1" customHeight="1">
      <c r="A1354" s="102">
        <v>32229</v>
      </c>
      <c r="B1354" s="102">
        <v>36229</v>
      </c>
      <c r="C1354" s="102">
        <f t="shared" si="21"/>
        <v>32229</v>
      </c>
      <c r="D1354" s="102" t="s">
        <v>498</v>
      </c>
      <c r="E1354" s="26" t="s">
        <v>3016</v>
      </c>
      <c r="F1354" s="7" t="s">
        <v>1113</v>
      </c>
      <c r="G1354" s="22"/>
    </row>
    <row r="1355" spans="1:7" ht="20.25" hidden="1" customHeight="1">
      <c r="A1355" s="102">
        <v>32230</v>
      </c>
      <c r="B1355" s="102">
        <v>36230</v>
      </c>
      <c r="C1355" s="102">
        <f t="shared" si="21"/>
        <v>32230</v>
      </c>
      <c r="D1355" s="102" t="s">
        <v>67</v>
      </c>
      <c r="E1355" s="26"/>
      <c r="F1355" s="7"/>
      <c r="G1355" s="22"/>
    </row>
    <row r="1356" spans="1:7" ht="20.25" hidden="1" customHeight="1">
      <c r="A1356" s="102">
        <v>32231</v>
      </c>
      <c r="B1356" s="102">
        <v>36231</v>
      </c>
      <c r="C1356" s="102">
        <f t="shared" si="21"/>
        <v>32231</v>
      </c>
      <c r="D1356" s="102" t="s">
        <v>498</v>
      </c>
      <c r="E1356" s="26" t="s">
        <v>3017</v>
      </c>
      <c r="F1356" s="7" t="s">
        <v>1113</v>
      </c>
      <c r="G1356" s="22"/>
    </row>
    <row r="1357" spans="1:7" ht="20.25" hidden="1" customHeight="1">
      <c r="A1357" s="102">
        <v>32232</v>
      </c>
      <c r="B1357" s="102">
        <v>36232</v>
      </c>
      <c r="C1357" s="102">
        <f t="shared" si="21"/>
        <v>32232</v>
      </c>
      <c r="D1357" s="102" t="s">
        <v>498</v>
      </c>
      <c r="E1357" s="26" t="s">
        <v>3018</v>
      </c>
      <c r="F1357" s="7"/>
      <c r="G1357" s="22" t="s">
        <v>948</v>
      </c>
    </row>
    <row r="1358" spans="1:7" ht="20.25" hidden="1" customHeight="1">
      <c r="A1358" s="102">
        <v>32233</v>
      </c>
      <c r="B1358" s="102">
        <v>36233</v>
      </c>
      <c r="C1358" s="102">
        <f t="shared" si="21"/>
        <v>32233</v>
      </c>
      <c r="D1358" s="102" t="s">
        <v>498</v>
      </c>
      <c r="E1358" s="26" t="s">
        <v>3019</v>
      </c>
      <c r="F1358" s="7"/>
      <c r="G1358" s="22" t="s">
        <v>948</v>
      </c>
    </row>
    <row r="1359" spans="1:7" ht="20.25" hidden="1" customHeight="1">
      <c r="A1359" s="102"/>
      <c r="B1359" s="102"/>
      <c r="C1359" s="102"/>
      <c r="D1359" s="102" t="s">
        <v>498</v>
      </c>
      <c r="E1359" s="26"/>
      <c r="F1359" s="7"/>
      <c r="G1359" s="22"/>
    </row>
    <row r="1360" spans="1:7" ht="20.25" hidden="1" customHeight="1">
      <c r="A1360" s="102">
        <v>32235</v>
      </c>
      <c r="B1360" s="102">
        <v>36235</v>
      </c>
      <c r="C1360" s="102">
        <f t="shared" si="21"/>
        <v>32235</v>
      </c>
      <c r="D1360" s="102" t="s">
        <v>498</v>
      </c>
      <c r="E1360" s="26"/>
      <c r="F1360" s="7"/>
      <c r="G1360" s="22"/>
    </row>
    <row r="1361" spans="1:7" ht="20.25" hidden="1" customHeight="1">
      <c r="A1361" s="102">
        <v>32236</v>
      </c>
      <c r="B1361" s="102">
        <v>36236</v>
      </c>
      <c r="C1361" s="102">
        <f t="shared" si="21"/>
        <v>32236</v>
      </c>
      <c r="D1361" s="102" t="s">
        <v>498</v>
      </c>
      <c r="E1361" s="26" t="s">
        <v>3020</v>
      </c>
      <c r="F1361" s="7"/>
      <c r="G1361" s="22" t="s">
        <v>697</v>
      </c>
    </row>
    <row r="1362" spans="1:7" ht="20.25" hidden="1" customHeight="1">
      <c r="A1362" s="102">
        <v>32237</v>
      </c>
      <c r="B1362" s="102">
        <v>36237</v>
      </c>
      <c r="C1362" s="102">
        <f t="shared" si="21"/>
        <v>32237</v>
      </c>
      <c r="D1362" s="102" t="s">
        <v>498</v>
      </c>
      <c r="E1362" s="26"/>
      <c r="F1362" s="7"/>
      <c r="G1362" s="22" t="s">
        <v>697</v>
      </c>
    </row>
    <row r="1363" spans="1:7" ht="20.25" hidden="1" customHeight="1">
      <c r="A1363" s="102">
        <v>32238</v>
      </c>
      <c r="B1363" s="102">
        <v>36238</v>
      </c>
      <c r="C1363" s="102">
        <f t="shared" si="21"/>
        <v>32238</v>
      </c>
      <c r="D1363" s="102" t="s">
        <v>498</v>
      </c>
      <c r="E1363" s="26" t="s">
        <v>3021</v>
      </c>
      <c r="F1363" s="7"/>
      <c r="G1363" s="22" t="s">
        <v>596</v>
      </c>
    </row>
    <row r="1364" spans="1:7" ht="20.25" hidden="1" customHeight="1">
      <c r="A1364" s="102">
        <v>32239</v>
      </c>
      <c r="B1364" s="102">
        <v>36239</v>
      </c>
      <c r="C1364" s="102">
        <f t="shared" si="21"/>
        <v>32239</v>
      </c>
      <c r="D1364" s="102" t="s">
        <v>498</v>
      </c>
      <c r="E1364" s="26" t="s">
        <v>3022</v>
      </c>
      <c r="F1364" s="7"/>
      <c r="G1364" s="22" t="s">
        <v>182</v>
      </c>
    </row>
    <row r="1365" spans="1:7" ht="20.25" hidden="1" customHeight="1">
      <c r="A1365" s="102">
        <v>32240</v>
      </c>
      <c r="B1365" s="102">
        <v>36240</v>
      </c>
      <c r="C1365" s="102">
        <f t="shared" si="21"/>
        <v>32240</v>
      </c>
      <c r="D1365" s="102" t="s">
        <v>498</v>
      </c>
      <c r="E1365" s="26" t="s">
        <v>3023</v>
      </c>
      <c r="F1365" s="7"/>
      <c r="G1365" s="22" t="s">
        <v>1107</v>
      </c>
    </row>
    <row r="1366" spans="1:7" ht="20.25" hidden="1" customHeight="1">
      <c r="A1366" s="102">
        <v>32241</v>
      </c>
      <c r="B1366" s="102">
        <v>36241</v>
      </c>
      <c r="C1366" s="102">
        <f t="shared" si="21"/>
        <v>32241</v>
      </c>
      <c r="D1366" s="102" t="s">
        <v>498</v>
      </c>
      <c r="E1366" s="26" t="s">
        <v>3024</v>
      </c>
      <c r="F1366" s="7"/>
      <c r="G1366" s="22" t="s">
        <v>1107</v>
      </c>
    </row>
    <row r="1367" spans="1:7" ht="20.25" hidden="1" customHeight="1">
      <c r="A1367" s="102">
        <v>32242</v>
      </c>
      <c r="B1367" s="102">
        <v>36242</v>
      </c>
      <c r="C1367" s="102">
        <f t="shared" si="21"/>
        <v>32242</v>
      </c>
      <c r="D1367" s="102" t="s">
        <v>498</v>
      </c>
      <c r="E1367" s="26" t="s">
        <v>3025</v>
      </c>
      <c r="F1367" s="7" t="s">
        <v>948</v>
      </c>
      <c r="G1367" s="22"/>
    </row>
    <row r="1368" spans="1:7" ht="20.25" hidden="1" customHeight="1">
      <c r="A1368" s="102">
        <v>32243</v>
      </c>
      <c r="B1368" s="102">
        <v>36243</v>
      </c>
      <c r="C1368" s="102">
        <f t="shared" si="21"/>
        <v>32243</v>
      </c>
      <c r="D1368" s="102" t="s">
        <v>498</v>
      </c>
      <c r="E1368" s="26" t="s">
        <v>3026</v>
      </c>
      <c r="F1368" s="7" t="s">
        <v>948</v>
      </c>
      <c r="G1368" s="22"/>
    </row>
    <row r="1369" spans="1:7" ht="20.25" hidden="1" customHeight="1">
      <c r="A1369" s="102">
        <v>32244</v>
      </c>
      <c r="B1369" s="102">
        <v>36244</v>
      </c>
      <c r="C1369" s="102">
        <f t="shared" si="21"/>
        <v>32244</v>
      </c>
      <c r="D1369" s="102" t="s">
        <v>498</v>
      </c>
      <c r="E1369" s="26" t="s">
        <v>3027</v>
      </c>
      <c r="F1369" s="7" t="s">
        <v>948</v>
      </c>
      <c r="G1369" s="22"/>
    </row>
    <row r="1370" spans="1:7" ht="20.25" hidden="1" customHeight="1">
      <c r="A1370" s="102">
        <v>32245</v>
      </c>
      <c r="B1370" s="102">
        <v>36245</v>
      </c>
      <c r="C1370" s="102">
        <f t="shared" si="21"/>
        <v>32245</v>
      </c>
      <c r="D1370" s="102" t="s">
        <v>498</v>
      </c>
      <c r="E1370" s="26" t="s">
        <v>1586</v>
      </c>
      <c r="F1370" s="7"/>
      <c r="G1370" s="22" t="s">
        <v>1587</v>
      </c>
    </row>
    <row r="1371" spans="1:7" ht="20.25" hidden="1" customHeight="1">
      <c r="A1371" s="102">
        <v>32246</v>
      </c>
      <c r="B1371" s="102">
        <v>36246</v>
      </c>
      <c r="C1371" s="102">
        <f t="shared" si="21"/>
        <v>42246</v>
      </c>
      <c r="D1371" s="102" t="s">
        <v>498</v>
      </c>
      <c r="E1371" s="26" t="s">
        <v>1314</v>
      </c>
      <c r="F1371" s="7"/>
      <c r="G1371" s="22" t="s">
        <v>1587</v>
      </c>
    </row>
    <row r="1372" spans="1:7" ht="20.25" hidden="1" customHeight="1">
      <c r="A1372" s="102">
        <v>32247</v>
      </c>
      <c r="B1372" s="102">
        <v>36247</v>
      </c>
      <c r="C1372" s="102">
        <f t="shared" si="21"/>
        <v>42247</v>
      </c>
      <c r="D1372" s="102" t="s">
        <v>498</v>
      </c>
      <c r="E1372" s="26" t="s">
        <v>1312</v>
      </c>
      <c r="F1372" s="7"/>
      <c r="G1372" s="22" t="s">
        <v>1587</v>
      </c>
    </row>
    <row r="1373" spans="1:7" ht="20.25" hidden="1" customHeight="1">
      <c r="A1373" s="102">
        <v>32248</v>
      </c>
      <c r="B1373" s="102">
        <v>36248</v>
      </c>
      <c r="C1373" s="102">
        <f t="shared" si="21"/>
        <v>42248</v>
      </c>
      <c r="D1373" s="102" t="s">
        <v>498</v>
      </c>
      <c r="E1373" s="26" t="s">
        <v>3028</v>
      </c>
      <c r="F1373" s="7"/>
      <c r="G1373" s="22" t="s">
        <v>1587</v>
      </c>
    </row>
    <row r="1374" spans="1:7" ht="20.25" hidden="1" customHeight="1">
      <c r="A1374" s="102">
        <v>32249</v>
      </c>
      <c r="B1374" s="102">
        <v>36249</v>
      </c>
      <c r="C1374" s="102">
        <f t="shared" si="21"/>
        <v>32249</v>
      </c>
      <c r="D1374" s="102" t="s">
        <v>498</v>
      </c>
      <c r="E1374" s="26" t="s">
        <v>1592</v>
      </c>
      <c r="F1374" s="7"/>
      <c r="G1374" s="22" t="s">
        <v>1587</v>
      </c>
    </row>
    <row r="1375" spans="1:7" ht="20.25" hidden="1" customHeight="1">
      <c r="A1375" s="102">
        <v>32250</v>
      </c>
      <c r="B1375" s="102">
        <v>36250</v>
      </c>
      <c r="C1375" s="102">
        <f t="shared" si="21"/>
        <v>32250</v>
      </c>
      <c r="D1375" s="102" t="s">
        <v>498</v>
      </c>
      <c r="E1375" s="26" t="s">
        <v>3029</v>
      </c>
      <c r="F1375" s="7"/>
      <c r="G1375" s="22" t="s">
        <v>1587</v>
      </c>
    </row>
    <row r="1376" spans="1:7" ht="20.25" hidden="1" customHeight="1">
      <c r="A1376" s="102">
        <v>32251</v>
      </c>
      <c r="B1376" s="102">
        <v>36251</v>
      </c>
      <c r="C1376" s="102">
        <f t="shared" si="21"/>
        <v>32251</v>
      </c>
      <c r="D1376" s="102" t="s">
        <v>498</v>
      </c>
      <c r="E1376" s="26" t="s">
        <v>3030</v>
      </c>
      <c r="F1376" s="7"/>
      <c r="G1376" s="22"/>
    </row>
    <row r="1377" spans="1:7" ht="20.25" hidden="1" customHeight="1">
      <c r="A1377" s="102">
        <v>32252</v>
      </c>
      <c r="B1377" s="102">
        <v>36252</v>
      </c>
      <c r="C1377" s="102">
        <f t="shared" si="21"/>
        <v>32252</v>
      </c>
      <c r="D1377" s="102" t="s">
        <v>498</v>
      </c>
      <c r="E1377" s="26" t="s">
        <v>3031</v>
      </c>
      <c r="F1377" s="7"/>
      <c r="G1377" s="22" t="s">
        <v>3032</v>
      </c>
    </row>
    <row r="1378" spans="1:7" ht="20.25" hidden="1" customHeight="1">
      <c r="A1378" s="102">
        <v>32253</v>
      </c>
      <c r="B1378" s="102">
        <v>36253</v>
      </c>
      <c r="C1378" s="102">
        <f t="shared" si="21"/>
        <v>32253</v>
      </c>
      <c r="D1378" s="102" t="s">
        <v>498</v>
      </c>
      <c r="E1378" s="26" t="s">
        <v>3033</v>
      </c>
      <c r="F1378" s="7" t="s">
        <v>948</v>
      </c>
      <c r="G1378" s="22"/>
    </row>
    <row r="1379" spans="1:7" ht="20.25" hidden="1" customHeight="1">
      <c r="A1379" s="102">
        <v>32253</v>
      </c>
      <c r="B1379" s="102">
        <v>36253</v>
      </c>
      <c r="C1379" s="102">
        <f t="shared" si="21"/>
        <v>32253</v>
      </c>
      <c r="D1379" s="102" t="s">
        <v>67</v>
      </c>
      <c r="E1379" s="26" t="s">
        <v>3034</v>
      </c>
      <c r="F1379" s="7" t="s">
        <v>948</v>
      </c>
      <c r="G1379" s="22"/>
    </row>
    <row r="1380" spans="1:7" ht="20.25" hidden="1" customHeight="1">
      <c r="A1380" s="102">
        <v>32254</v>
      </c>
      <c r="B1380" s="102">
        <v>36254</v>
      </c>
      <c r="C1380" s="102">
        <f t="shared" si="21"/>
        <v>32254</v>
      </c>
      <c r="D1380" s="102" t="s">
        <v>498</v>
      </c>
      <c r="E1380" s="26" t="s">
        <v>3035</v>
      </c>
      <c r="F1380" s="10"/>
      <c r="G1380" s="22" t="s">
        <v>1623</v>
      </c>
    </row>
    <row r="1381" spans="1:7" ht="20.25" hidden="1" customHeight="1">
      <c r="A1381" s="102">
        <v>32255</v>
      </c>
      <c r="B1381" s="102">
        <v>36255</v>
      </c>
      <c r="C1381" s="102">
        <f t="shared" si="21"/>
        <v>32255</v>
      </c>
      <c r="D1381" s="102" t="s">
        <v>498</v>
      </c>
      <c r="E1381" s="26" t="s">
        <v>3036</v>
      </c>
      <c r="F1381" s="7"/>
      <c r="G1381" s="22" t="s">
        <v>1623</v>
      </c>
    </row>
    <row r="1382" spans="1:7" ht="20.25" hidden="1" customHeight="1">
      <c r="A1382" s="102">
        <v>32256</v>
      </c>
      <c r="B1382" s="102">
        <v>36256</v>
      </c>
      <c r="C1382" s="102">
        <f t="shared" si="21"/>
        <v>32256</v>
      </c>
      <c r="D1382" s="102" t="s">
        <v>498</v>
      </c>
      <c r="E1382" s="26" t="s">
        <v>3037</v>
      </c>
      <c r="F1382" s="7"/>
      <c r="G1382" s="22" t="s">
        <v>1623</v>
      </c>
    </row>
    <row r="1383" spans="1:7" ht="20.25" hidden="1" customHeight="1">
      <c r="A1383" s="102">
        <v>32257</v>
      </c>
      <c r="B1383" s="102">
        <v>36257</v>
      </c>
      <c r="C1383" s="102">
        <f t="shared" si="21"/>
        <v>32257</v>
      </c>
      <c r="D1383" s="102" t="s">
        <v>498</v>
      </c>
      <c r="E1383" s="26" t="s">
        <v>3038</v>
      </c>
      <c r="F1383" s="7"/>
      <c r="G1383" s="22" t="s">
        <v>1623</v>
      </c>
    </row>
    <row r="1384" spans="1:7" ht="20.25" hidden="1" customHeight="1">
      <c r="A1384" s="102">
        <v>32258</v>
      </c>
      <c r="B1384" s="102">
        <v>36258</v>
      </c>
      <c r="C1384" s="102">
        <f t="shared" si="21"/>
        <v>32258</v>
      </c>
      <c r="D1384" s="102" t="s">
        <v>498</v>
      </c>
      <c r="E1384" s="26" t="s">
        <v>3039</v>
      </c>
      <c r="F1384" s="7"/>
      <c r="G1384" s="22" t="s">
        <v>1623</v>
      </c>
    </row>
    <row r="1385" spans="1:7" ht="20.25" hidden="1" customHeight="1">
      <c r="A1385" s="102">
        <v>32259</v>
      </c>
      <c r="B1385" s="102">
        <v>36259</v>
      </c>
      <c r="C1385" s="102">
        <f t="shared" si="21"/>
        <v>32259</v>
      </c>
      <c r="D1385" s="102" t="s">
        <v>498</v>
      </c>
      <c r="E1385" s="26" t="s">
        <v>3040</v>
      </c>
      <c r="F1385" s="1"/>
      <c r="G1385" s="22" t="s">
        <v>1623</v>
      </c>
    </row>
    <row r="1386" spans="1:7" ht="20.25" hidden="1" customHeight="1">
      <c r="A1386" s="102">
        <v>32260</v>
      </c>
      <c r="B1386" s="102">
        <v>36260</v>
      </c>
      <c r="C1386" s="102">
        <f t="shared" si="21"/>
        <v>32260</v>
      </c>
      <c r="D1386" s="102" t="s">
        <v>498</v>
      </c>
      <c r="E1386" s="26" t="s">
        <v>3041</v>
      </c>
      <c r="F1386" s="7" t="s">
        <v>948</v>
      </c>
      <c r="G1386" s="22"/>
    </row>
    <row r="1387" spans="1:7" ht="20.25" hidden="1" customHeight="1">
      <c r="A1387" s="102">
        <v>32261</v>
      </c>
      <c r="B1387" s="102">
        <v>36261</v>
      </c>
      <c r="C1387" s="102">
        <f t="shared" si="21"/>
        <v>32261</v>
      </c>
      <c r="D1387" s="102" t="s">
        <v>498</v>
      </c>
      <c r="E1387" s="26" t="s">
        <v>3042</v>
      </c>
      <c r="F1387" s="7" t="s">
        <v>948</v>
      </c>
      <c r="G1387" s="22"/>
    </row>
    <row r="1388" spans="1:7" ht="20.25" hidden="1" customHeight="1">
      <c r="A1388" s="102">
        <v>32262</v>
      </c>
      <c r="B1388" s="102">
        <v>36262</v>
      </c>
      <c r="C1388" s="102">
        <f t="shared" si="21"/>
        <v>32262</v>
      </c>
      <c r="D1388" s="102" t="s">
        <v>498</v>
      </c>
      <c r="E1388" s="26" t="s">
        <v>3043</v>
      </c>
      <c r="F1388" s="7" t="s">
        <v>948</v>
      </c>
      <c r="G1388" s="22"/>
    </row>
    <row r="1389" spans="1:7" ht="20.25" hidden="1" customHeight="1">
      <c r="A1389" s="102">
        <v>32263</v>
      </c>
      <c r="B1389" s="102">
        <v>36263</v>
      </c>
      <c r="C1389" s="102">
        <f t="shared" si="21"/>
        <v>32263</v>
      </c>
      <c r="D1389" s="102" t="s">
        <v>498</v>
      </c>
      <c r="E1389" s="26" t="s">
        <v>3044</v>
      </c>
      <c r="F1389" s="7"/>
      <c r="G1389" s="22" t="s">
        <v>948</v>
      </c>
    </row>
    <row r="1390" spans="1:7" ht="20.25" hidden="1" customHeight="1">
      <c r="A1390" s="102">
        <v>32264</v>
      </c>
      <c r="B1390" s="102">
        <v>36264</v>
      </c>
      <c r="C1390" s="102">
        <f t="shared" si="21"/>
        <v>32264</v>
      </c>
      <c r="D1390" s="102" t="s">
        <v>498</v>
      </c>
      <c r="E1390" s="26" t="s">
        <v>3045</v>
      </c>
      <c r="F1390" s="7"/>
      <c r="G1390" s="22" t="s">
        <v>948</v>
      </c>
    </row>
    <row r="1391" spans="1:7" ht="20.25" hidden="1" customHeight="1">
      <c r="A1391" s="102">
        <v>32265</v>
      </c>
      <c r="B1391" s="102">
        <v>36265</v>
      </c>
      <c r="C1391" s="102">
        <f t="shared" si="21"/>
        <v>32265</v>
      </c>
      <c r="D1391" s="102" t="s">
        <v>498</v>
      </c>
      <c r="E1391" s="26" t="s">
        <v>3046</v>
      </c>
      <c r="F1391" s="7"/>
      <c r="G1391" s="22" t="s">
        <v>2120</v>
      </c>
    </row>
    <row r="1392" spans="1:7" ht="20.25" hidden="1" customHeight="1">
      <c r="A1392" s="102">
        <v>32266</v>
      </c>
      <c r="B1392" s="102">
        <v>36266</v>
      </c>
      <c r="C1392" s="102">
        <f t="shared" si="21"/>
        <v>32266</v>
      </c>
      <c r="D1392" s="102" t="s">
        <v>498</v>
      </c>
      <c r="E1392" s="26" t="s">
        <v>3047</v>
      </c>
      <c r="F1392" s="7"/>
      <c r="G1392" s="22" t="s">
        <v>2120</v>
      </c>
    </row>
    <row r="1393" spans="1:7" ht="20.25" hidden="1" customHeight="1">
      <c r="A1393" s="102">
        <v>32267</v>
      </c>
      <c r="B1393" s="102">
        <v>36267</v>
      </c>
      <c r="C1393" s="102">
        <f t="shared" si="21"/>
        <v>32267</v>
      </c>
      <c r="D1393" s="102" t="s">
        <v>498</v>
      </c>
      <c r="E1393" s="26" t="s">
        <v>3048</v>
      </c>
      <c r="F1393" s="7"/>
      <c r="G1393" s="22" t="s">
        <v>2120</v>
      </c>
    </row>
    <row r="1394" spans="1:7" ht="20.25" hidden="1" customHeight="1">
      <c r="A1394" s="102">
        <v>32268</v>
      </c>
      <c r="B1394" s="102">
        <v>36268</v>
      </c>
      <c r="C1394" s="102">
        <f t="shared" si="21"/>
        <v>32268</v>
      </c>
      <c r="D1394" s="102" t="s">
        <v>498</v>
      </c>
      <c r="E1394" s="26" t="s">
        <v>3049</v>
      </c>
      <c r="F1394" s="7"/>
      <c r="G1394" s="22" t="s">
        <v>2120</v>
      </c>
    </row>
    <row r="1395" spans="1:7" ht="20.25" hidden="1" customHeight="1">
      <c r="A1395" s="102">
        <v>32269</v>
      </c>
      <c r="B1395" s="102">
        <v>36269</v>
      </c>
      <c r="C1395" s="102">
        <f t="shared" si="21"/>
        <v>32269</v>
      </c>
      <c r="D1395" s="102" t="s">
        <v>498</v>
      </c>
      <c r="E1395" s="26" t="s">
        <v>3050</v>
      </c>
      <c r="F1395" s="7"/>
      <c r="G1395" s="22" t="s">
        <v>2120</v>
      </c>
    </row>
    <row r="1396" spans="1:7" ht="20.25" hidden="1" customHeight="1">
      <c r="A1396" s="102">
        <v>32270</v>
      </c>
      <c r="B1396" s="102">
        <v>36270</v>
      </c>
      <c r="C1396" s="102">
        <f t="shared" si="21"/>
        <v>32270</v>
      </c>
      <c r="D1396" s="102" t="s">
        <v>498</v>
      </c>
      <c r="E1396" s="26" t="s">
        <v>3051</v>
      </c>
      <c r="F1396" s="7"/>
      <c r="G1396" s="22" t="s">
        <v>2120</v>
      </c>
    </row>
    <row r="1397" spans="1:7" ht="20.25" hidden="1" customHeight="1">
      <c r="A1397" s="102">
        <v>32271</v>
      </c>
      <c r="B1397" s="102">
        <v>36271</v>
      </c>
      <c r="C1397" s="102">
        <f t="shared" si="21"/>
        <v>32271</v>
      </c>
      <c r="D1397" s="102" t="s">
        <v>498</v>
      </c>
      <c r="E1397" s="26" t="s">
        <v>3052</v>
      </c>
      <c r="F1397" s="7"/>
      <c r="G1397" s="22" t="s">
        <v>2120</v>
      </c>
    </row>
    <row r="1398" spans="1:7" ht="20.25" hidden="1" customHeight="1">
      <c r="A1398" s="102">
        <v>32272</v>
      </c>
      <c r="B1398" s="102">
        <v>36272</v>
      </c>
      <c r="C1398" s="102">
        <f t="shared" si="21"/>
        <v>32272</v>
      </c>
      <c r="D1398" s="102" t="s">
        <v>498</v>
      </c>
      <c r="E1398" s="26" t="s">
        <v>3053</v>
      </c>
      <c r="F1398" s="7"/>
      <c r="G1398" s="22" t="s">
        <v>2120</v>
      </c>
    </row>
    <row r="1399" spans="1:7" ht="20.25" hidden="1" customHeight="1">
      <c r="A1399" s="102">
        <v>32273</v>
      </c>
      <c r="B1399" s="102">
        <v>36273</v>
      </c>
      <c r="C1399" s="102">
        <f t="shared" si="21"/>
        <v>32273</v>
      </c>
      <c r="D1399" s="102" t="s">
        <v>498</v>
      </c>
      <c r="E1399" s="26" t="s">
        <v>3054</v>
      </c>
      <c r="F1399" s="7"/>
      <c r="G1399" s="22" t="s">
        <v>592</v>
      </c>
    </row>
    <row r="1400" spans="1:7" ht="20.25" hidden="1" customHeight="1">
      <c r="A1400" s="102">
        <v>32274</v>
      </c>
      <c r="B1400" s="102">
        <v>36274</v>
      </c>
      <c r="C1400" s="102">
        <f t="shared" si="21"/>
        <v>32274</v>
      </c>
      <c r="D1400" s="102" t="s">
        <v>498</v>
      </c>
      <c r="E1400" s="26" t="s">
        <v>3055</v>
      </c>
      <c r="F1400" s="7"/>
      <c r="G1400" s="22" t="s">
        <v>592</v>
      </c>
    </row>
    <row r="1401" spans="1:7" ht="20.25" hidden="1" customHeight="1">
      <c r="A1401" s="102">
        <v>32275</v>
      </c>
      <c r="B1401" s="102">
        <v>36275</v>
      </c>
      <c r="C1401" s="102">
        <f t="shared" si="21"/>
        <v>32275</v>
      </c>
      <c r="D1401" s="102" t="s">
        <v>498</v>
      </c>
      <c r="E1401" s="26" t="s">
        <v>3056</v>
      </c>
      <c r="F1401" s="7" t="s">
        <v>948</v>
      </c>
      <c r="G1401" s="22"/>
    </row>
    <row r="1402" spans="1:7" ht="20.25" hidden="1" customHeight="1">
      <c r="A1402" s="102">
        <v>32276</v>
      </c>
      <c r="B1402" s="102">
        <v>36276</v>
      </c>
      <c r="C1402" s="102">
        <f t="shared" si="21"/>
        <v>32276</v>
      </c>
      <c r="D1402" s="102" t="s">
        <v>498</v>
      </c>
      <c r="E1402" s="26" t="s">
        <v>3057</v>
      </c>
      <c r="F1402" s="7" t="s">
        <v>948</v>
      </c>
      <c r="G1402" s="22" t="s">
        <v>3058</v>
      </c>
    </row>
    <row r="1403" spans="1:7" ht="20.25" hidden="1" customHeight="1">
      <c r="A1403" s="102">
        <v>32277</v>
      </c>
      <c r="B1403" s="102">
        <v>36277</v>
      </c>
      <c r="C1403" s="102">
        <f t="shared" si="21"/>
        <v>32277</v>
      </c>
      <c r="D1403" s="102" t="s">
        <v>498</v>
      </c>
      <c r="E1403" s="26" t="s">
        <v>3059</v>
      </c>
      <c r="F1403" s="7" t="s">
        <v>3060</v>
      </c>
      <c r="G1403" s="22" t="s">
        <v>3061</v>
      </c>
    </row>
    <row r="1404" spans="1:7" ht="20.25" hidden="1" customHeight="1">
      <c r="A1404" s="102">
        <v>32278</v>
      </c>
      <c r="B1404" s="102">
        <v>36278</v>
      </c>
      <c r="C1404" s="102">
        <f t="shared" si="21"/>
        <v>32278</v>
      </c>
      <c r="D1404" s="102" t="s">
        <v>498</v>
      </c>
      <c r="E1404" s="26" t="s">
        <v>3062</v>
      </c>
      <c r="F1404" s="7"/>
      <c r="G1404" s="22" t="s">
        <v>264</v>
      </c>
    </row>
    <row r="1405" spans="1:7" ht="20.25" hidden="1" customHeight="1">
      <c r="A1405" s="102">
        <v>32279</v>
      </c>
      <c r="B1405" s="102">
        <v>36279</v>
      </c>
      <c r="C1405" s="102">
        <f t="shared" si="21"/>
        <v>32279</v>
      </c>
      <c r="D1405" s="102" t="s">
        <v>498</v>
      </c>
      <c r="E1405" s="26" t="s">
        <v>3063</v>
      </c>
      <c r="F1405" s="7"/>
      <c r="G1405" s="22" t="s">
        <v>264</v>
      </c>
    </row>
    <row r="1406" spans="1:7" ht="20.25" hidden="1" customHeight="1">
      <c r="A1406" s="102">
        <v>32280</v>
      </c>
      <c r="B1406" s="102">
        <v>36280</v>
      </c>
      <c r="C1406" s="102">
        <f t="shared" si="21"/>
        <v>32280</v>
      </c>
      <c r="D1406" s="102" t="s">
        <v>498</v>
      </c>
      <c r="E1406" s="26" t="s">
        <v>3064</v>
      </c>
      <c r="F1406" s="7" t="s">
        <v>3065</v>
      </c>
      <c r="G1406" s="22" t="s">
        <v>3066</v>
      </c>
    </row>
    <row r="1407" spans="1:7" ht="20.25" hidden="1" customHeight="1">
      <c r="A1407" s="102">
        <v>32281</v>
      </c>
      <c r="B1407" s="102">
        <v>36281</v>
      </c>
      <c r="C1407" s="102">
        <f t="shared" si="21"/>
        <v>32281</v>
      </c>
      <c r="D1407" s="102" t="s">
        <v>22</v>
      </c>
      <c r="E1407" s="26" t="s">
        <v>1926</v>
      </c>
      <c r="F1407" s="7" t="s">
        <v>1927</v>
      </c>
      <c r="G1407" s="22"/>
    </row>
    <row r="1408" spans="1:7" ht="20.25" hidden="1" customHeight="1">
      <c r="A1408" s="102">
        <v>32282</v>
      </c>
      <c r="B1408" s="102">
        <v>36282</v>
      </c>
      <c r="C1408" s="102">
        <f t="shared" si="21"/>
        <v>32282</v>
      </c>
      <c r="D1408" s="102" t="s">
        <v>498</v>
      </c>
      <c r="E1408" s="26" t="s">
        <v>3067</v>
      </c>
      <c r="F1408" s="7"/>
      <c r="G1408" s="22" t="s">
        <v>948</v>
      </c>
    </row>
    <row r="1409" spans="1:7" ht="20.25" hidden="1" customHeight="1">
      <c r="A1409" s="102">
        <v>32283</v>
      </c>
      <c r="B1409" s="102">
        <v>36283</v>
      </c>
      <c r="C1409" s="102">
        <f t="shared" si="21"/>
        <v>32283</v>
      </c>
      <c r="D1409" s="102" t="s">
        <v>498</v>
      </c>
      <c r="E1409" s="26" t="s">
        <v>3068</v>
      </c>
      <c r="F1409" s="7"/>
      <c r="G1409" s="22"/>
    </row>
    <row r="1410" spans="1:7" ht="20.25" hidden="1" customHeight="1">
      <c r="A1410" s="102">
        <v>32284</v>
      </c>
      <c r="B1410" s="102">
        <v>36284</v>
      </c>
      <c r="C1410" s="102">
        <f t="shared" si="21"/>
        <v>32284</v>
      </c>
      <c r="D1410" s="102" t="s">
        <v>498</v>
      </c>
      <c r="E1410" s="26" t="s">
        <v>3069</v>
      </c>
      <c r="F1410" s="7"/>
      <c r="G1410" s="22" t="s">
        <v>948</v>
      </c>
    </row>
    <row r="1411" spans="1:7" ht="20.25" hidden="1" customHeight="1">
      <c r="A1411" s="102">
        <v>32285</v>
      </c>
      <c r="B1411" s="102">
        <v>36285</v>
      </c>
      <c r="C1411" s="102">
        <f t="shared" si="21"/>
        <v>32285</v>
      </c>
      <c r="D1411" s="102" t="s">
        <v>498</v>
      </c>
      <c r="E1411" s="26" t="s">
        <v>3070</v>
      </c>
      <c r="F1411" s="7"/>
      <c r="G1411" s="22" t="s">
        <v>948</v>
      </c>
    </row>
    <row r="1412" spans="1:7" ht="20.25" hidden="1" customHeight="1">
      <c r="A1412" s="102">
        <v>32286</v>
      </c>
      <c r="B1412" s="102">
        <v>36286</v>
      </c>
      <c r="C1412" s="102">
        <f t="shared" ref="C1412:C1475" si="22">IF(ISERROR(FIND("B_Epic",E1412)),A1412,A1412+10000)</f>
        <v>32286</v>
      </c>
      <c r="D1412" s="102" t="s">
        <v>498</v>
      </c>
      <c r="E1412" s="26" t="s">
        <v>3071</v>
      </c>
      <c r="F1412" s="7"/>
      <c r="G1412" s="22" t="s">
        <v>948</v>
      </c>
    </row>
    <row r="1413" spans="1:7" ht="20.25" hidden="1" customHeight="1">
      <c r="A1413" s="102">
        <v>32287</v>
      </c>
      <c r="B1413" s="102">
        <v>36287</v>
      </c>
      <c r="C1413" s="102">
        <f t="shared" si="22"/>
        <v>32287</v>
      </c>
      <c r="D1413" s="102" t="s">
        <v>498</v>
      </c>
      <c r="E1413" s="26" t="s">
        <v>3072</v>
      </c>
      <c r="F1413" s="7"/>
      <c r="G1413" s="22" t="s">
        <v>948</v>
      </c>
    </row>
    <row r="1414" spans="1:7" ht="20.25" hidden="1" customHeight="1">
      <c r="A1414" s="102">
        <v>32288</v>
      </c>
      <c r="B1414" s="102">
        <v>36288</v>
      </c>
      <c r="C1414" s="102">
        <f t="shared" si="22"/>
        <v>32288</v>
      </c>
      <c r="D1414" s="102" t="s">
        <v>498</v>
      </c>
      <c r="E1414" s="26" t="s">
        <v>3073</v>
      </c>
      <c r="F1414" s="7"/>
      <c r="G1414" s="22"/>
    </row>
    <row r="1415" spans="1:7" ht="20.25" hidden="1" customHeight="1">
      <c r="A1415" s="102">
        <v>32289</v>
      </c>
      <c r="B1415" s="102">
        <v>36289</v>
      </c>
      <c r="C1415" s="102">
        <f t="shared" si="22"/>
        <v>32289</v>
      </c>
      <c r="D1415" s="102" t="s">
        <v>498</v>
      </c>
      <c r="E1415" s="26" t="s">
        <v>3074</v>
      </c>
      <c r="F1415" s="7"/>
      <c r="G1415" s="22" t="s">
        <v>948</v>
      </c>
    </row>
    <row r="1416" spans="1:7" ht="20.25" hidden="1" customHeight="1">
      <c r="A1416" s="102">
        <v>32290</v>
      </c>
      <c r="B1416" s="102">
        <v>36290</v>
      </c>
      <c r="C1416" s="102">
        <f t="shared" si="22"/>
        <v>32290</v>
      </c>
      <c r="D1416" s="102" t="s">
        <v>498</v>
      </c>
      <c r="E1416" s="26" t="s">
        <v>3075</v>
      </c>
      <c r="F1416" s="7"/>
      <c r="G1416" s="22" t="s">
        <v>3076</v>
      </c>
    </row>
    <row r="1417" spans="1:7" ht="20.25" hidden="1" customHeight="1">
      <c r="A1417" s="102">
        <v>32291</v>
      </c>
      <c r="B1417" s="102">
        <v>36291</v>
      </c>
      <c r="C1417" s="102">
        <f t="shared" si="22"/>
        <v>32291</v>
      </c>
      <c r="D1417" s="102" t="s">
        <v>498</v>
      </c>
      <c r="E1417" s="26"/>
      <c r="F1417" s="7"/>
      <c r="G1417" s="22" t="s">
        <v>3076</v>
      </c>
    </row>
    <row r="1418" spans="1:7" ht="20.25" hidden="1" customHeight="1">
      <c r="A1418" s="102">
        <v>32292</v>
      </c>
      <c r="B1418" s="102">
        <v>36292</v>
      </c>
      <c r="C1418" s="102">
        <f t="shared" si="22"/>
        <v>32292</v>
      </c>
      <c r="D1418" s="102" t="s">
        <v>498</v>
      </c>
      <c r="E1418" s="26" t="s">
        <v>3077</v>
      </c>
      <c r="F1418" s="7"/>
      <c r="G1418" s="22" t="s">
        <v>948</v>
      </c>
    </row>
    <row r="1419" spans="1:7" ht="20.25" hidden="1" customHeight="1">
      <c r="A1419" s="102">
        <v>32293</v>
      </c>
      <c r="B1419" s="102">
        <v>36293</v>
      </c>
      <c r="C1419" s="102">
        <f t="shared" si="22"/>
        <v>32293</v>
      </c>
      <c r="D1419" s="102" t="s">
        <v>498</v>
      </c>
      <c r="E1419" s="26" t="s">
        <v>3078</v>
      </c>
      <c r="F1419" s="7"/>
      <c r="G1419" s="22" t="s">
        <v>948</v>
      </c>
    </row>
    <row r="1420" spans="1:7" ht="20.25" hidden="1" customHeight="1">
      <c r="A1420" s="102">
        <v>32294</v>
      </c>
      <c r="B1420" s="102">
        <v>36294</v>
      </c>
      <c r="C1420" s="102">
        <f t="shared" si="22"/>
        <v>32294</v>
      </c>
      <c r="D1420" s="102" t="s">
        <v>498</v>
      </c>
      <c r="E1420" s="26" t="s">
        <v>3079</v>
      </c>
      <c r="F1420" s="7"/>
      <c r="G1420" s="22" t="s">
        <v>948</v>
      </c>
    </row>
    <row r="1421" spans="1:7" ht="20.25" hidden="1" customHeight="1">
      <c r="A1421" s="102">
        <v>32295</v>
      </c>
      <c r="B1421" s="102">
        <v>36295</v>
      </c>
      <c r="C1421" s="102">
        <f t="shared" si="22"/>
        <v>32295</v>
      </c>
      <c r="D1421" s="102" t="s">
        <v>498</v>
      </c>
      <c r="E1421" s="26" t="s">
        <v>3080</v>
      </c>
      <c r="F1421" s="7"/>
      <c r="G1421" s="22" t="s">
        <v>948</v>
      </c>
    </row>
    <row r="1422" spans="1:7" ht="20.25" hidden="1" customHeight="1">
      <c r="A1422" s="102">
        <v>32296</v>
      </c>
      <c r="B1422" s="102">
        <v>36296</v>
      </c>
      <c r="C1422" s="102">
        <f t="shared" si="22"/>
        <v>32296</v>
      </c>
      <c r="D1422" s="102" t="s">
        <v>498</v>
      </c>
      <c r="E1422" s="26" t="s">
        <v>3081</v>
      </c>
      <c r="F1422" s="7"/>
      <c r="G1422" s="22" t="s">
        <v>948</v>
      </c>
    </row>
    <row r="1423" spans="1:7" ht="20.25" hidden="1" customHeight="1">
      <c r="A1423" s="102">
        <v>32297</v>
      </c>
      <c r="B1423" s="102">
        <v>36297</v>
      </c>
      <c r="C1423" s="102">
        <f t="shared" si="22"/>
        <v>32297</v>
      </c>
      <c r="D1423" s="102" t="s">
        <v>498</v>
      </c>
      <c r="E1423" s="26" t="s">
        <v>3082</v>
      </c>
      <c r="F1423" s="7"/>
      <c r="G1423" s="22"/>
    </row>
    <row r="1424" spans="1:7" ht="20.25" hidden="1" customHeight="1">
      <c r="A1424" s="102">
        <v>32298</v>
      </c>
      <c r="B1424" s="102">
        <v>36298</v>
      </c>
      <c r="C1424" s="102">
        <f t="shared" si="22"/>
        <v>32298</v>
      </c>
      <c r="D1424" s="102" t="s">
        <v>498</v>
      </c>
      <c r="E1424" s="26" t="s">
        <v>3083</v>
      </c>
      <c r="F1424" s="7"/>
      <c r="G1424" s="22"/>
    </row>
    <row r="1425" spans="1:7" ht="20.25" hidden="1" customHeight="1">
      <c r="A1425" s="102">
        <v>32299</v>
      </c>
      <c r="B1425" s="102">
        <v>36299</v>
      </c>
      <c r="C1425" s="102">
        <f t="shared" si="22"/>
        <v>42299</v>
      </c>
      <c r="D1425" s="102" t="s">
        <v>498</v>
      </c>
      <c r="E1425" s="26" t="s">
        <v>3084</v>
      </c>
      <c r="F1425" s="7"/>
      <c r="G1425" s="22" t="s">
        <v>1158</v>
      </c>
    </row>
    <row r="1426" spans="1:7" ht="20.25" hidden="1" customHeight="1">
      <c r="A1426" s="102">
        <v>32300</v>
      </c>
      <c r="B1426" s="102">
        <v>36300</v>
      </c>
      <c r="C1426" s="102">
        <f t="shared" si="22"/>
        <v>32300</v>
      </c>
      <c r="D1426" s="102" t="s">
        <v>498</v>
      </c>
      <c r="E1426" s="26" t="s">
        <v>3085</v>
      </c>
      <c r="F1426" s="7"/>
      <c r="G1426" s="22" t="s">
        <v>2120</v>
      </c>
    </row>
    <row r="1427" spans="1:7" ht="20.25" hidden="1" customHeight="1">
      <c r="A1427" s="102">
        <v>32301</v>
      </c>
      <c r="B1427" s="102">
        <v>36301</v>
      </c>
      <c r="C1427" s="102">
        <f t="shared" si="22"/>
        <v>32301</v>
      </c>
      <c r="D1427" s="102" t="s">
        <v>498</v>
      </c>
      <c r="E1427" s="26" t="s">
        <v>3086</v>
      </c>
      <c r="F1427" s="7"/>
      <c r="G1427" s="22" t="s">
        <v>2120</v>
      </c>
    </row>
    <row r="1428" spans="1:7" ht="20.25" hidden="1" customHeight="1">
      <c r="A1428" s="102">
        <v>32302</v>
      </c>
      <c r="B1428" s="102">
        <v>36302</v>
      </c>
      <c r="C1428" s="102">
        <f t="shared" si="22"/>
        <v>32302</v>
      </c>
      <c r="D1428" s="102" t="s">
        <v>498</v>
      </c>
      <c r="E1428" s="26" t="s">
        <v>3087</v>
      </c>
      <c r="F1428" s="7"/>
      <c r="G1428" s="22" t="s">
        <v>2120</v>
      </c>
    </row>
    <row r="1429" spans="1:7" ht="20.25" hidden="1" customHeight="1">
      <c r="A1429" s="102">
        <v>32303</v>
      </c>
      <c r="B1429" s="102">
        <v>36303</v>
      </c>
      <c r="C1429" s="102">
        <f t="shared" si="22"/>
        <v>32303</v>
      </c>
      <c r="D1429" s="102" t="s">
        <v>498</v>
      </c>
      <c r="E1429" s="26" t="s">
        <v>3088</v>
      </c>
      <c r="F1429" s="7"/>
      <c r="G1429" s="22" t="s">
        <v>2120</v>
      </c>
    </row>
    <row r="1430" spans="1:7" ht="20.25" hidden="1" customHeight="1">
      <c r="A1430" s="102">
        <v>32304</v>
      </c>
      <c r="B1430" s="102">
        <v>36304</v>
      </c>
      <c r="C1430" s="102">
        <f t="shared" si="22"/>
        <v>32304</v>
      </c>
      <c r="D1430" s="102" t="s">
        <v>498</v>
      </c>
      <c r="E1430" s="26" t="s">
        <v>3089</v>
      </c>
      <c r="F1430" s="7"/>
      <c r="G1430" s="22" t="s">
        <v>2120</v>
      </c>
    </row>
    <row r="1431" spans="1:7" ht="20.25" hidden="1" customHeight="1">
      <c r="A1431" s="102">
        <v>32305</v>
      </c>
      <c r="B1431" s="102">
        <v>36305</v>
      </c>
      <c r="C1431" s="102">
        <f t="shared" si="22"/>
        <v>32305</v>
      </c>
      <c r="D1431" s="102" t="s">
        <v>498</v>
      </c>
      <c r="E1431" s="26" t="s">
        <v>3090</v>
      </c>
      <c r="F1431" s="7"/>
      <c r="G1431" s="22" t="s">
        <v>2120</v>
      </c>
    </row>
    <row r="1432" spans="1:7" ht="20.25" hidden="1" customHeight="1">
      <c r="A1432" s="102">
        <v>32306</v>
      </c>
      <c r="B1432" s="102">
        <v>36306</v>
      </c>
      <c r="C1432" s="102">
        <f t="shared" si="22"/>
        <v>32306</v>
      </c>
      <c r="D1432" s="102" t="s">
        <v>498</v>
      </c>
      <c r="E1432" s="26" t="s">
        <v>3091</v>
      </c>
      <c r="F1432" s="7"/>
      <c r="G1432" s="22"/>
    </row>
    <row r="1433" spans="1:7" ht="20.25" hidden="1" customHeight="1">
      <c r="A1433" s="102">
        <v>32307</v>
      </c>
      <c r="B1433" s="102">
        <v>36307</v>
      </c>
      <c r="C1433" s="102">
        <f t="shared" si="22"/>
        <v>32307</v>
      </c>
      <c r="D1433" s="102" t="s">
        <v>498</v>
      </c>
      <c r="E1433" s="26" t="s">
        <v>3092</v>
      </c>
      <c r="F1433" s="7"/>
      <c r="G1433" s="22"/>
    </row>
    <row r="1434" spans="1:7" ht="20.25" hidden="1" customHeight="1">
      <c r="A1434" s="102">
        <v>32308</v>
      </c>
      <c r="B1434" s="102">
        <v>36308</v>
      </c>
      <c r="C1434" s="102">
        <f t="shared" si="22"/>
        <v>32308</v>
      </c>
      <c r="D1434" s="102" t="s">
        <v>498</v>
      </c>
      <c r="E1434" s="26" t="s">
        <v>3093</v>
      </c>
      <c r="F1434" s="7"/>
      <c r="G1434" s="22"/>
    </row>
    <row r="1435" spans="1:7" ht="20.25" hidden="1" customHeight="1">
      <c r="A1435" s="102">
        <v>32309</v>
      </c>
      <c r="B1435" s="102">
        <v>36309</v>
      </c>
      <c r="C1435" s="102">
        <f t="shared" si="22"/>
        <v>32309</v>
      </c>
      <c r="D1435" s="102" t="s">
        <v>498</v>
      </c>
      <c r="E1435" s="26" t="s">
        <v>3094</v>
      </c>
      <c r="F1435" s="7"/>
      <c r="G1435" s="22"/>
    </row>
    <row r="1436" spans="1:7" ht="20.25" hidden="1" customHeight="1">
      <c r="A1436" s="102">
        <v>32310</v>
      </c>
      <c r="B1436" s="102">
        <v>36310</v>
      </c>
      <c r="C1436" s="102">
        <f t="shared" si="22"/>
        <v>32310</v>
      </c>
      <c r="D1436" s="102" t="s">
        <v>498</v>
      </c>
      <c r="E1436" s="26" t="s">
        <v>3095</v>
      </c>
      <c r="F1436" s="7"/>
      <c r="G1436" s="22"/>
    </row>
    <row r="1437" spans="1:7" ht="20.25" hidden="1" customHeight="1">
      <c r="A1437" s="102">
        <v>32311</v>
      </c>
      <c r="B1437" s="102">
        <v>36311</v>
      </c>
      <c r="C1437" s="102">
        <f t="shared" si="22"/>
        <v>32311</v>
      </c>
      <c r="D1437" s="102" t="s">
        <v>498</v>
      </c>
      <c r="E1437" s="26" t="s">
        <v>3096</v>
      </c>
      <c r="F1437" s="7"/>
      <c r="G1437" s="22"/>
    </row>
    <row r="1438" spans="1:7" ht="20.25" hidden="1" customHeight="1">
      <c r="A1438" s="102">
        <v>32312</v>
      </c>
      <c r="B1438" s="102">
        <v>36312</v>
      </c>
      <c r="C1438" s="102">
        <f t="shared" si="22"/>
        <v>32312</v>
      </c>
      <c r="D1438" s="102" t="s">
        <v>498</v>
      </c>
      <c r="E1438" s="26" t="s">
        <v>3097</v>
      </c>
      <c r="F1438" s="7"/>
      <c r="G1438" s="22"/>
    </row>
    <row r="1439" spans="1:7" ht="20.25" hidden="1" customHeight="1">
      <c r="A1439" s="102">
        <v>32313</v>
      </c>
      <c r="B1439" s="102">
        <v>36313</v>
      </c>
      <c r="C1439" s="102">
        <f t="shared" si="22"/>
        <v>32313</v>
      </c>
      <c r="D1439" s="102" t="s">
        <v>498</v>
      </c>
      <c r="E1439" s="26" t="s">
        <v>3098</v>
      </c>
      <c r="F1439" s="7"/>
      <c r="G1439" s="22"/>
    </row>
    <row r="1440" spans="1:7" ht="20.25" hidden="1" customHeight="1">
      <c r="A1440" s="102">
        <v>32314</v>
      </c>
      <c r="B1440" s="102">
        <v>36314</v>
      </c>
      <c r="C1440" s="102">
        <f t="shared" si="22"/>
        <v>32314</v>
      </c>
      <c r="D1440" s="102" t="s">
        <v>498</v>
      </c>
      <c r="E1440" s="26" t="s">
        <v>3099</v>
      </c>
      <c r="F1440" s="7" t="s">
        <v>1113</v>
      </c>
      <c r="G1440" s="22"/>
    </row>
    <row r="1441" spans="1:7" ht="20.25" hidden="1" customHeight="1">
      <c r="A1441" s="102">
        <v>32315</v>
      </c>
      <c r="B1441" s="102">
        <v>36315</v>
      </c>
      <c r="C1441" s="102">
        <f t="shared" si="22"/>
        <v>32315</v>
      </c>
      <c r="D1441" s="102" t="s">
        <v>498</v>
      </c>
      <c r="E1441" s="26" t="s">
        <v>3100</v>
      </c>
      <c r="F1441" s="7" t="s">
        <v>1113</v>
      </c>
      <c r="G1441" s="22"/>
    </row>
    <row r="1442" spans="1:7" ht="20.25" hidden="1" customHeight="1">
      <c r="A1442" s="102">
        <v>32316</v>
      </c>
      <c r="B1442" s="102">
        <v>36316</v>
      </c>
      <c r="C1442" s="102">
        <f t="shared" si="22"/>
        <v>32316</v>
      </c>
      <c r="D1442" s="102" t="s">
        <v>498</v>
      </c>
      <c r="E1442" s="195" t="s">
        <v>3101</v>
      </c>
      <c r="F1442" s="7"/>
      <c r="G1442" s="22"/>
    </row>
    <row r="1443" spans="1:7" ht="20.25" hidden="1" customHeight="1">
      <c r="A1443" s="102">
        <v>32317</v>
      </c>
      <c r="B1443" s="102">
        <v>36317</v>
      </c>
      <c r="C1443" s="102">
        <f t="shared" si="22"/>
        <v>32317</v>
      </c>
      <c r="D1443" s="102" t="s">
        <v>498</v>
      </c>
      <c r="E1443" s="26" t="s">
        <v>3102</v>
      </c>
      <c r="F1443" s="7"/>
      <c r="G1443" s="22" t="s">
        <v>366</v>
      </c>
    </row>
    <row r="1444" spans="1:7" ht="20.25" hidden="1" customHeight="1">
      <c r="A1444" s="102">
        <v>32318</v>
      </c>
      <c r="B1444" s="102">
        <v>36318</v>
      </c>
      <c r="C1444" s="102">
        <f t="shared" si="22"/>
        <v>32318</v>
      </c>
      <c r="D1444" s="102" t="s">
        <v>498</v>
      </c>
      <c r="E1444" s="26" t="s">
        <v>3103</v>
      </c>
      <c r="F1444" s="7"/>
      <c r="G1444" s="22" t="s">
        <v>697</v>
      </c>
    </row>
    <row r="1445" spans="1:7" ht="20.25" hidden="1" customHeight="1">
      <c r="A1445" s="102">
        <v>32319</v>
      </c>
      <c r="B1445" s="102">
        <v>36319</v>
      </c>
      <c r="C1445" s="102">
        <f t="shared" si="22"/>
        <v>32319</v>
      </c>
      <c r="D1445" s="102" t="s">
        <v>498</v>
      </c>
      <c r="E1445" s="26" t="s">
        <v>3104</v>
      </c>
      <c r="F1445" s="7"/>
      <c r="G1445" s="22" t="s">
        <v>697</v>
      </c>
    </row>
    <row r="1446" spans="1:7" ht="20.25" hidden="1" customHeight="1">
      <c r="A1446" s="102">
        <v>32320</v>
      </c>
      <c r="B1446" s="102">
        <v>36320</v>
      </c>
      <c r="C1446" s="102">
        <f t="shared" si="22"/>
        <v>32320</v>
      </c>
      <c r="D1446" s="102" t="s">
        <v>498</v>
      </c>
      <c r="E1446" s="26" t="s">
        <v>3105</v>
      </c>
      <c r="F1446" s="7"/>
      <c r="G1446" s="22" t="s">
        <v>697</v>
      </c>
    </row>
    <row r="1447" spans="1:7" ht="20.25" hidden="1" customHeight="1">
      <c r="A1447" s="102">
        <v>32321</v>
      </c>
      <c r="B1447" s="102">
        <v>36321</v>
      </c>
      <c r="C1447" s="102">
        <f t="shared" si="22"/>
        <v>32321</v>
      </c>
      <c r="D1447" s="102" t="s">
        <v>498</v>
      </c>
      <c r="E1447" s="26" t="s">
        <v>3106</v>
      </c>
      <c r="F1447" s="7"/>
      <c r="G1447" s="22" t="s">
        <v>697</v>
      </c>
    </row>
    <row r="1448" spans="1:7" ht="20.25" hidden="1" customHeight="1">
      <c r="A1448" s="102">
        <v>32322</v>
      </c>
      <c r="B1448" s="102">
        <v>36322</v>
      </c>
      <c r="C1448" s="102">
        <f t="shared" si="22"/>
        <v>42322</v>
      </c>
      <c r="D1448" s="102" t="s">
        <v>498</v>
      </c>
      <c r="E1448" s="26" t="s">
        <v>900</v>
      </c>
      <c r="F1448" s="7"/>
      <c r="G1448" s="22"/>
    </row>
    <row r="1449" spans="1:7" ht="20.25" hidden="1" customHeight="1">
      <c r="A1449" s="102">
        <v>32323</v>
      </c>
      <c r="B1449" s="102">
        <v>36323</v>
      </c>
      <c r="C1449" s="102">
        <f t="shared" si="22"/>
        <v>32323</v>
      </c>
      <c r="D1449" s="102" t="s">
        <v>498</v>
      </c>
      <c r="E1449" s="26" t="s">
        <v>3107</v>
      </c>
      <c r="F1449" s="7"/>
      <c r="G1449" s="22" t="s">
        <v>3108</v>
      </c>
    </row>
    <row r="1450" spans="1:7" ht="20.25" hidden="1" customHeight="1">
      <c r="A1450" s="102">
        <v>32324</v>
      </c>
      <c r="B1450" s="102">
        <v>36324</v>
      </c>
      <c r="C1450" s="102">
        <f t="shared" si="22"/>
        <v>32324</v>
      </c>
      <c r="D1450" s="102" t="s">
        <v>498</v>
      </c>
      <c r="E1450" s="26" t="s">
        <v>3109</v>
      </c>
      <c r="F1450" s="7"/>
      <c r="G1450" s="22"/>
    </row>
    <row r="1451" spans="1:7" ht="20.25" hidden="1" customHeight="1">
      <c r="A1451" s="102">
        <v>32325</v>
      </c>
      <c r="B1451" s="102">
        <v>36325</v>
      </c>
      <c r="C1451" s="102">
        <f t="shared" si="22"/>
        <v>32325</v>
      </c>
      <c r="D1451" s="102" t="s">
        <v>498</v>
      </c>
      <c r="E1451" s="26" t="s">
        <v>3110</v>
      </c>
      <c r="F1451" s="7"/>
      <c r="G1451" s="22" t="s">
        <v>948</v>
      </c>
    </row>
    <row r="1452" spans="1:7" ht="20.25" hidden="1" customHeight="1">
      <c r="A1452" s="102">
        <v>32326</v>
      </c>
      <c r="B1452" s="102">
        <v>36326</v>
      </c>
      <c r="C1452" s="102">
        <f t="shared" si="22"/>
        <v>32326</v>
      </c>
      <c r="D1452" s="102" t="s">
        <v>498</v>
      </c>
      <c r="E1452" s="26" t="s">
        <v>3111</v>
      </c>
      <c r="F1452" s="7" t="s">
        <v>3112</v>
      </c>
      <c r="G1452" s="22"/>
    </row>
    <row r="1453" spans="1:7" ht="20.25" hidden="1" customHeight="1">
      <c r="A1453" s="102">
        <v>32327</v>
      </c>
      <c r="B1453" s="102">
        <v>36327</v>
      </c>
      <c r="C1453" s="102">
        <f t="shared" si="22"/>
        <v>32327</v>
      </c>
      <c r="D1453" s="102" t="s">
        <v>498</v>
      </c>
      <c r="E1453" s="26" t="s">
        <v>3113</v>
      </c>
      <c r="F1453" s="7"/>
      <c r="G1453" s="22"/>
    </row>
    <row r="1454" spans="1:7" ht="20.25" hidden="1" customHeight="1">
      <c r="A1454" s="102">
        <v>32328</v>
      </c>
      <c r="B1454" s="102">
        <v>36328</v>
      </c>
      <c r="C1454" s="102">
        <f t="shared" si="22"/>
        <v>32328</v>
      </c>
      <c r="D1454" s="102" t="s">
        <v>498</v>
      </c>
      <c r="E1454" s="26" t="s">
        <v>3114</v>
      </c>
      <c r="F1454" s="7"/>
      <c r="G1454" s="22"/>
    </row>
    <row r="1455" spans="1:7" ht="20.25" hidden="1" customHeight="1">
      <c r="A1455" s="102">
        <v>32329</v>
      </c>
      <c r="B1455" s="102">
        <v>36329</v>
      </c>
      <c r="C1455" s="102">
        <f t="shared" si="22"/>
        <v>32329</v>
      </c>
      <c r="D1455" s="102" t="s">
        <v>498</v>
      </c>
      <c r="E1455" s="26" t="s">
        <v>3115</v>
      </c>
      <c r="F1455" s="7" t="s">
        <v>3116</v>
      </c>
      <c r="G1455" s="22"/>
    </row>
    <row r="1456" spans="1:7" ht="20.25" hidden="1" customHeight="1">
      <c r="A1456" s="102">
        <v>32330</v>
      </c>
      <c r="B1456" s="102">
        <v>36330</v>
      </c>
      <c r="C1456" s="102">
        <f t="shared" si="22"/>
        <v>32330</v>
      </c>
      <c r="D1456" s="102" t="s">
        <v>498</v>
      </c>
      <c r="E1456" s="26"/>
      <c r="F1456" s="7"/>
      <c r="G1456" s="22"/>
    </row>
    <row r="1457" spans="1:7" ht="20.25" hidden="1" customHeight="1">
      <c r="A1457" s="102">
        <v>32331</v>
      </c>
      <c r="B1457" s="102">
        <v>36331</v>
      </c>
      <c r="C1457" s="102">
        <f t="shared" si="22"/>
        <v>32331</v>
      </c>
      <c r="D1457" s="102" t="s">
        <v>498</v>
      </c>
      <c r="E1457" s="26" t="s">
        <v>3117</v>
      </c>
      <c r="F1457" s="7"/>
      <c r="G1457" s="22"/>
    </row>
    <row r="1458" spans="1:7" ht="20.25" hidden="1" customHeight="1">
      <c r="A1458" s="102">
        <v>32332</v>
      </c>
      <c r="B1458" s="102">
        <v>36332</v>
      </c>
      <c r="C1458" s="102">
        <f t="shared" si="22"/>
        <v>32332</v>
      </c>
      <c r="D1458" s="102" t="s">
        <v>498</v>
      </c>
      <c r="E1458" s="26" t="s">
        <v>3118</v>
      </c>
      <c r="F1458" s="7"/>
      <c r="G1458" s="22"/>
    </row>
    <row r="1459" spans="1:7" ht="20.25" hidden="1" customHeight="1">
      <c r="A1459" s="102">
        <v>32333</v>
      </c>
      <c r="B1459" s="102">
        <v>36333</v>
      </c>
      <c r="C1459" s="102">
        <f t="shared" si="22"/>
        <v>32333</v>
      </c>
      <c r="D1459" s="102" t="s">
        <v>498</v>
      </c>
      <c r="E1459" s="26" t="s">
        <v>3119</v>
      </c>
      <c r="F1459" s="7" t="s">
        <v>3120</v>
      </c>
      <c r="G1459" s="22"/>
    </row>
    <row r="1460" spans="1:7" ht="20.25" hidden="1" customHeight="1">
      <c r="A1460" s="102">
        <v>32334</v>
      </c>
      <c r="B1460" s="102">
        <v>36334</v>
      </c>
      <c r="C1460" s="102">
        <f t="shared" si="22"/>
        <v>32334</v>
      </c>
      <c r="D1460" s="102" t="s">
        <v>498</v>
      </c>
      <c r="E1460" s="26" t="s">
        <v>3121</v>
      </c>
      <c r="F1460" s="7" t="s">
        <v>3120</v>
      </c>
      <c r="G1460" s="22"/>
    </row>
    <row r="1461" spans="1:7" ht="20.25" hidden="1" customHeight="1">
      <c r="A1461" s="102">
        <v>32335</v>
      </c>
      <c r="B1461" s="102">
        <v>36335</v>
      </c>
      <c r="C1461" s="102">
        <f t="shared" si="22"/>
        <v>32335</v>
      </c>
      <c r="D1461" s="102" t="s">
        <v>498</v>
      </c>
      <c r="E1461" s="26" t="s">
        <v>3122</v>
      </c>
      <c r="F1461" s="7" t="s">
        <v>3120</v>
      </c>
      <c r="G1461" s="22"/>
    </row>
    <row r="1462" spans="1:7" ht="20.25" hidden="1" customHeight="1">
      <c r="A1462" s="102">
        <v>32336</v>
      </c>
      <c r="B1462" s="102">
        <v>36336</v>
      </c>
      <c r="C1462" s="102">
        <f t="shared" si="22"/>
        <v>32336</v>
      </c>
      <c r="D1462" s="102" t="s">
        <v>498</v>
      </c>
      <c r="E1462" s="26" t="s">
        <v>3123</v>
      </c>
      <c r="F1462" s="7"/>
      <c r="G1462" s="22" t="s">
        <v>948</v>
      </c>
    </row>
    <row r="1463" spans="1:7" ht="20.25" hidden="1" customHeight="1">
      <c r="A1463" s="102">
        <v>32337</v>
      </c>
      <c r="B1463" s="102">
        <v>36337</v>
      </c>
      <c r="C1463" s="102">
        <f t="shared" si="22"/>
        <v>42337</v>
      </c>
      <c r="D1463" s="102" t="s">
        <v>498</v>
      </c>
      <c r="E1463" s="26" t="s">
        <v>3124</v>
      </c>
      <c r="F1463" s="7"/>
      <c r="G1463" s="22" t="s">
        <v>3125</v>
      </c>
    </row>
    <row r="1464" spans="1:7" ht="20.25" hidden="1" customHeight="1">
      <c r="A1464" s="102">
        <v>32338</v>
      </c>
      <c r="B1464" s="102">
        <v>36338</v>
      </c>
      <c r="C1464" s="102">
        <f t="shared" si="22"/>
        <v>32338</v>
      </c>
      <c r="D1464" s="102" t="s">
        <v>498</v>
      </c>
      <c r="E1464" s="26" t="s">
        <v>3126</v>
      </c>
      <c r="F1464" s="7"/>
      <c r="G1464" s="22" t="s">
        <v>697</v>
      </c>
    </row>
    <row r="1465" spans="1:7" ht="20.25" hidden="1" customHeight="1">
      <c r="A1465" s="102">
        <v>32339</v>
      </c>
      <c r="B1465" s="102">
        <v>36339</v>
      </c>
      <c r="C1465" s="102">
        <f t="shared" si="22"/>
        <v>32339</v>
      </c>
      <c r="D1465" s="102" t="s">
        <v>498</v>
      </c>
      <c r="E1465" s="26" t="s">
        <v>3127</v>
      </c>
      <c r="F1465" s="7"/>
      <c r="G1465" s="22" t="s">
        <v>697</v>
      </c>
    </row>
    <row r="1466" spans="1:7" ht="20.25" hidden="1" customHeight="1">
      <c r="A1466" s="102">
        <v>32340</v>
      </c>
      <c r="B1466" s="102">
        <v>36340</v>
      </c>
      <c r="C1466" s="102">
        <f t="shared" si="22"/>
        <v>32340</v>
      </c>
      <c r="D1466" s="102" t="s">
        <v>498</v>
      </c>
      <c r="E1466" s="26" t="s">
        <v>3128</v>
      </c>
      <c r="F1466" s="7"/>
      <c r="G1466" s="22" t="s">
        <v>3129</v>
      </c>
    </row>
    <row r="1467" spans="1:7" ht="20.25" hidden="1" customHeight="1">
      <c r="A1467" s="102">
        <v>32341</v>
      </c>
      <c r="B1467" s="102">
        <v>36341</v>
      </c>
      <c r="C1467" s="102">
        <f t="shared" si="22"/>
        <v>32341</v>
      </c>
      <c r="D1467" s="102" t="s">
        <v>498</v>
      </c>
      <c r="E1467" s="26" t="s">
        <v>3130</v>
      </c>
      <c r="F1467" s="7"/>
      <c r="G1467" s="22" t="s">
        <v>3129</v>
      </c>
    </row>
    <row r="1468" spans="1:7" ht="20.25" hidden="1" customHeight="1">
      <c r="A1468" s="102">
        <v>32342</v>
      </c>
      <c r="B1468" s="102">
        <v>36342</v>
      </c>
      <c r="C1468" s="102">
        <f t="shared" si="22"/>
        <v>32342</v>
      </c>
      <c r="D1468" s="102" t="s">
        <v>498</v>
      </c>
      <c r="E1468" s="26" t="s">
        <v>3131</v>
      </c>
      <c r="F1468" s="7"/>
      <c r="G1468" s="22" t="s">
        <v>1180</v>
      </c>
    </row>
    <row r="1469" spans="1:7" ht="20.25" hidden="1" customHeight="1">
      <c r="A1469" s="102">
        <v>32343</v>
      </c>
      <c r="B1469" s="102">
        <v>36343</v>
      </c>
      <c r="C1469" s="102">
        <f t="shared" si="22"/>
        <v>32343</v>
      </c>
      <c r="D1469" s="102" t="s">
        <v>498</v>
      </c>
      <c r="E1469" s="26"/>
      <c r="F1469" s="7"/>
      <c r="G1469" s="22"/>
    </row>
    <row r="1470" spans="1:7" ht="20.25" hidden="1" customHeight="1">
      <c r="A1470" s="102">
        <v>32344</v>
      </c>
      <c r="B1470" s="102">
        <v>36344</v>
      </c>
      <c r="C1470" s="102">
        <f t="shared" si="22"/>
        <v>32344</v>
      </c>
      <c r="D1470" s="102" t="s">
        <v>498</v>
      </c>
      <c r="E1470" s="26" t="s">
        <v>3132</v>
      </c>
      <c r="F1470" s="7"/>
      <c r="G1470" s="22" t="s">
        <v>3133</v>
      </c>
    </row>
    <row r="1471" spans="1:7" ht="20.25" hidden="1" customHeight="1">
      <c r="A1471" s="102">
        <v>32345</v>
      </c>
      <c r="B1471" s="102">
        <v>36345</v>
      </c>
      <c r="C1471" s="102">
        <f t="shared" si="22"/>
        <v>32345</v>
      </c>
      <c r="D1471" s="102" t="s">
        <v>498</v>
      </c>
      <c r="E1471" s="26" t="s">
        <v>3134</v>
      </c>
      <c r="F1471" s="7"/>
      <c r="G1471" s="22" t="s">
        <v>3133</v>
      </c>
    </row>
    <row r="1472" spans="1:7" ht="20.25" hidden="1" customHeight="1">
      <c r="A1472" s="102">
        <v>32346</v>
      </c>
      <c r="B1472" s="102">
        <v>36346</v>
      </c>
      <c r="C1472" s="102">
        <f t="shared" si="22"/>
        <v>32346</v>
      </c>
      <c r="D1472" s="102" t="s">
        <v>498</v>
      </c>
      <c r="E1472" s="26" t="s">
        <v>3135</v>
      </c>
      <c r="F1472" s="7"/>
      <c r="G1472" s="22" t="s">
        <v>1668</v>
      </c>
    </row>
    <row r="1473" spans="1:7" ht="20.25" hidden="1" customHeight="1">
      <c r="A1473" s="102">
        <v>32347</v>
      </c>
      <c r="B1473" s="102">
        <v>36347</v>
      </c>
      <c r="C1473" s="102">
        <f t="shared" si="22"/>
        <v>32347</v>
      </c>
      <c r="D1473" s="102" t="s">
        <v>498</v>
      </c>
      <c r="E1473" s="26" t="s">
        <v>3136</v>
      </c>
      <c r="F1473" s="7"/>
      <c r="G1473" s="22" t="s">
        <v>1668</v>
      </c>
    </row>
    <row r="1474" spans="1:7" ht="20.25" hidden="1" customHeight="1">
      <c r="A1474" s="102">
        <v>32348</v>
      </c>
      <c r="B1474" s="102">
        <v>36348</v>
      </c>
      <c r="C1474" s="102">
        <f t="shared" si="22"/>
        <v>32348</v>
      </c>
      <c r="D1474" s="102" t="s">
        <v>498</v>
      </c>
      <c r="E1474" s="26" t="s">
        <v>3137</v>
      </c>
      <c r="F1474" s="7"/>
      <c r="G1474" s="22" t="s">
        <v>3138</v>
      </c>
    </row>
    <row r="1475" spans="1:7" ht="20.25" hidden="1" customHeight="1">
      <c r="A1475" s="102">
        <v>32349</v>
      </c>
      <c r="B1475" s="102">
        <v>36349</v>
      </c>
      <c r="C1475" s="102">
        <f t="shared" si="22"/>
        <v>42349</v>
      </c>
      <c r="D1475" s="102" t="s">
        <v>498</v>
      </c>
      <c r="E1475" s="26" t="s">
        <v>3139</v>
      </c>
      <c r="F1475" s="7"/>
      <c r="G1475" s="22" t="s">
        <v>697</v>
      </c>
    </row>
    <row r="1476" spans="1:7" ht="20.25" hidden="1" customHeight="1">
      <c r="A1476" s="102">
        <v>32350</v>
      </c>
      <c r="B1476" s="102">
        <v>36350</v>
      </c>
      <c r="C1476" s="102">
        <f t="shared" ref="C1476:C1539" si="23">IF(ISERROR(FIND("B_Epic",E1476)),A1476,A1476+10000)</f>
        <v>32350</v>
      </c>
      <c r="D1476" s="102" t="s">
        <v>498</v>
      </c>
      <c r="E1476" s="26" t="s">
        <v>3140</v>
      </c>
      <c r="F1476" s="7"/>
      <c r="G1476" s="22" t="s">
        <v>2344</v>
      </c>
    </row>
    <row r="1477" spans="1:7" ht="20.25" hidden="1" customHeight="1">
      <c r="A1477" s="102">
        <v>32351</v>
      </c>
      <c r="B1477" s="102">
        <v>36351</v>
      </c>
      <c r="C1477" s="102">
        <f t="shared" si="23"/>
        <v>32351</v>
      </c>
      <c r="D1477" s="102" t="s">
        <v>498</v>
      </c>
      <c r="E1477" s="26" t="s">
        <v>3141</v>
      </c>
      <c r="F1477" s="7"/>
      <c r="G1477" s="22" t="s">
        <v>948</v>
      </c>
    </row>
    <row r="1478" spans="1:7" ht="20.25" hidden="1" customHeight="1">
      <c r="A1478" s="102">
        <v>32352</v>
      </c>
      <c r="B1478" s="102">
        <v>36352</v>
      </c>
      <c r="C1478" s="102">
        <f t="shared" si="23"/>
        <v>32352</v>
      </c>
      <c r="D1478" s="102" t="s">
        <v>498</v>
      </c>
      <c r="E1478" s="26" t="s">
        <v>3142</v>
      </c>
      <c r="F1478" s="7"/>
      <c r="G1478" s="22" t="s">
        <v>3138</v>
      </c>
    </row>
    <row r="1479" spans="1:7" ht="20.25" hidden="1" customHeight="1">
      <c r="A1479" s="102">
        <v>32353</v>
      </c>
      <c r="B1479" s="102">
        <v>36353</v>
      </c>
      <c r="C1479" s="102">
        <f t="shared" si="23"/>
        <v>42353</v>
      </c>
      <c r="D1479" s="102" t="s">
        <v>498</v>
      </c>
      <c r="E1479" s="26" t="s">
        <v>3143</v>
      </c>
      <c r="F1479" s="7"/>
      <c r="G1479" s="22" t="s">
        <v>1674</v>
      </c>
    </row>
    <row r="1480" spans="1:7" ht="20.25" hidden="1" customHeight="1">
      <c r="A1480" s="102">
        <v>32354</v>
      </c>
      <c r="B1480" s="102">
        <v>36354</v>
      </c>
      <c r="C1480" s="102">
        <f t="shared" si="23"/>
        <v>32354</v>
      </c>
      <c r="D1480" s="102" t="s">
        <v>498</v>
      </c>
      <c r="E1480" s="26" t="s">
        <v>3144</v>
      </c>
      <c r="F1480" s="7"/>
      <c r="G1480" s="22" t="s">
        <v>1674</v>
      </c>
    </row>
    <row r="1481" spans="1:7" ht="20.25" hidden="1" customHeight="1">
      <c r="A1481" s="102">
        <v>32355</v>
      </c>
      <c r="B1481" s="102">
        <v>36355</v>
      </c>
      <c r="C1481" s="102">
        <f t="shared" si="23"/>
        <v>32355</v>
      </c>
      <c r="D1481" s="102" t="s">
        <v>498</v>
      </c>
      <c r="E1481" s="26" t="s">
        <v>3145</v>
      </c>
      <c r="F1481" s="7"/>
      <c r="G1481" s="22" t="s">
        <v>3146</v>
      </c>
    </row>
    <row r="1482" spans="1:7" ht="20.25" hidden="1" customHeight="1">
      <c r="A1482" s="102">
        <v>32356</v>
      </c>
      <c r="B1482" s="102">
        <v>36356</v>
      </c>
      <c r="C1482" s="102">
        <f t="shared" si="23"/>
        <v>32356</v>
      </c>
      <c r="D1482" s="102" t="s">
        <v>498</v>
      </c>
      <c r="E1482" s="26" t="s">
        <v>3147</v>
      </c>
      <c r="F1482" s="7"/>
      <c r="G1482" s="22" t="s">
        <v>3146</v>
      </c>
    </row>
    <row r="1483" spans="1:7" ht="20.25" hidden="1" customHeight="1">
      <c r="A1483" s="102">
        <v>32357</v>
      </c>
      <c r="B1483" s="102">
        <v>36357</v>
      </c>
      <c r="C1483" s="102">
        <f t="shared" si="23"/>
        <v>32357</v>
      </c>
      <c r="D1483" s="102" t="s">
        <v>498</v>
      </c>
      <c r="E1483" s="26" t="s">
        <v>3148</v>
      </c>
      <c r="F1483" s="7"/>
      <c r="G1483" s="22" t="s">
        <v>3138</v>
      </c>
    </row>
    <row r="1484" spans="1:7" ht="20.25" hidden="1" customHeight="1">
      <c r="A1484" s="102">
        <v>32358</v>
      </c>
      <c r="B1484" s="102">
        <v>36358</v>
      </c>
      <c r="C1484" s="102">
        <f t="shared" si="23"/>
        <v>32358</v>
      </c>
      <c r="D1484" s="102" t="s">
        <v>498</v>
      </c>
      <c r="E1484" s="26" t="s">
        <v>3149</v>
      </c>
      <c r="F1484" s="7"/>
      <c r="G1484" s="22" t="s">
        <v>3138</v>
      </c>
    </row>
    <row r="1485" spans="1:7" ht="20.25" hidden="1" customHeight="1">
      <c r="A1485" s="102">
        <v>32359</v>
      </c>
      <c r="B1485" s="102">
        <v>36359</v>
      </c>
      <c r="C1485" s="102">
        <f t="shared" si="23"/>
        <v>32359</v>
      </c>
      <c r="D1485" s="102" t="s">
        <v>498</v>
      </c>
      <c r="E1485" s="26" t="s">
        <v>3150</v>
      </c>
      <c r="F1485" s="7"/>
      <c r="G1485" s="22" t="s">
        <v>1998</v>
      </c>
    </row>
    <row r="1486" spans="1:7" ht="20.25" hidden="1" customHeight="1">
      <c r="A1486" s="102">
        <v>32360</v>
      </c>
      <c r="B1486" s="102">
        <v>36360</v>
      </c>
      <c r="C1486" s="102">
        <f t="shared" si="23"/>
        <v>32360</v>
      </c>
      <c r="D1486" s="102" t="s">
        <v>498</v>
      </c>
      <c r="E1486" s="26" t="s">
        <v>3151</v>
      </c>
      <c r="F1486" s="7"/>
      <c r="G1486" s="22" t="s">
        <v>1998</v>
      </c>
    </row>
    <row r="1487" spans="1:7" ht="20.25" hidden="1" customHeight="1">
      <c r="A1487" s="102">
        <v>32361</v>
      </c>
      <c r="B1487" s="102">
        <v>36361</v>
      </c>
      <c r="C1487" s="102">
        <f t="shared" si="23"/>
        <v>32361</v>
      </c>
      <c r="D1487" s="102" t="s">
        <v>498</v>
      </c>
      <c r="E1487" s="26"/>
      <c r="F1487" s="7"/>
      <c r="G1487" s="22"/>
    </row>
    <row r="1488" spans="1:7" ht="20.25" hidden="1" customHeight="1">
      <c r="A1488" s="102">
        <v>32362</v>
      </c>
      <c r="B1488" s="102">
        <v>36362</v>
      </c>
      <c r="C1488" s="102">
        <f t="shared" si="23"/>
        <v>32362</v>
      </c>
      <c r="D1488" s="102" t="s">
        <v>498</v>
      </c>
      <c r="E1488" s="26"/>
      <c r="F1488" s="7"/>
      <c r="G1488" s="22"/>
    </row>
    <row r="1489" spans="1:7" ht="20.25" hidden="1" customHeight="1">
      <c r="A1489" s="102">
        <v>32363</v>
      </c>
      <c r="B1489" s="102">
        <v>36363</v>
      </c>
      <c r="C1489" s="102">
        <f t="shared" si="23"/>
        <v>32363</v>
      </c>
      <c r="D1489" s="102" t="s">
        <v>498</v>
      </c>
      <c r="E1489" s="26" t="s">
        <v>3152</v>
      </c>
      <c r="F1489" s="7"/>
      <c r="G1489" s="22" t="s">
        <v>1687</v>
      </c>
    </row>
    <row r="1490" spans="1:7" ht="20.25" hidden="1" customHeight="1">
      <c r="A1490" s="102">
        <v>32364</v>
      </c>
      <c r="B1490" s="102">
        <v>36364</v>
      </c>
      <c r="C1490" s="102">
        <f t="shared" si="23"/>
        <v>32364</v>
      </c>
      <c r="D1490" s="102" t="s">
        <v>498</v>
      </c>
      <c r="E1490" s="26" t="s">
        <v>3153</v>
      </c>
      <c r="F1490" s="7"/>
      <c r="G1490" s="22" t="s">
        <v>948</v>
      </c>
    </row>
    <row r="1491" spans="1:7" ht="20.25" hidden="1" customHeight="1">
      <c r="A1491" s="102">
        <v>32365</v>
      </c>
      <c r="B1491" s="102">
        <v>36365</v>
      </c>
      <c r="C1491" s="102">
        <f t="shared" si="23"/>
        <v>32365</v>
      </c>
      <c r="D1491" s="102" t="s">
        <v>498</v>
      </c>
      <c r="E1491" s="26" t="s">
        <v>3154</v>
      </c>
      <c r="F1491" s="7"/>
      <c r="G1491" s="22"/>
    </row>
    <row r="1492" spans="1:7" ht="20.25" hidden="1" customHeight="1">
      <c r="A1492" s="102">
        <v>32366</v>
      </c>
      <c r="B1492" s="102">
        <v>36366</v>
      </c>
      <c r="C1492" s="102">
        <f t="shared" si="23"/>
        <v>32366</v>
      </c>
      <c r="D1492" s="102" t="s">
        <v>498</v>
      </c>
      <c r="E1492" s="26" t="s">
        <v>3155</v>
      </c>
      <c r="F1492" s="7"/>
      <c r="G1492" s="22"/>
    </row>
    <row r="1493" spans="1:7" ht="20.25" hidden="1" customHeight="1">
      <c r="A1493" s="102">
        <v>32367</v>
      </c>
      <c r="B1493" s="102">
        <v>36367</v>
      </c>
      <c r="C1493" s="102">
        <f t="shared" si="23"/>
        <v>32367</v>
      </c>
      <c r="D1493" s="102" t="s">
        <v>498</v>
      </c>
      <c r="E1493" s="26" t="s">
        <v>3156</v>
      </c>
      <c r="F1493" s="7"/>
      <c r="G1493" s="22" t="s">
        <v>592</v>
      </c>
    </row>
    <row r="1494" spans="1:7" ht="20.25" hidden="1" customHeight="1">
      <c r="A1494" s="102">
        <v>32368</v>
      </c>
      <c r="B1494" s="102">
        <v>36368</v>
      </c>
      <c r="C1494" s="102">
        <f t="shared" si="23"/>
        <v>32368</v>
      </c>
      <c r="D1494" s="102" t="s">
        <v>498</v>
      </c>
      <c r="E1494" s="26" t="s">
        <v>3157</v>
      </c>
      <c r="F1494" s="7"/>
      <c r="G1494" s="22" t="s">
        <v>592</v>
      </c>
    </row>
    <row r="1495" spans="1:7" ht="20.25" hidden="1" customHeight="1">
      <c r="A1495" s="102">
        <v>32369</v>
      </c>
      <c r="B1495" s="102">
        <v>36369</v>
      </c>
      <c r="C1495" s="102">
        <f t="shared" si="23"/>
        <v>32369</v>
      </c>
      <c r="D1495" s="102" t="s">
        <v>498</v>
      </c>
      <c r="E1495" s="26" t="s">
        <v>3158</v>
      </c>
      <c r="F1495" s="7"/>
      <c r="G1495" s="22" t="s">
        <v>592</v>
      </c>
    </row>
    <row r="1496" spans="1:7" ht="20.25" hidden="1" customHeight="1">
      <c r="A1496" s="102">
        <v>32370</v>
      </c>
      <c r="B1496" s="102">
        <v>36370</v>
      </c>
      <c r="C1496" s="102">
        <f t="shared" si="23"/>
        <v>32370</v>
      </c>
      <c r="D1496" s="102" t="s">
        <v>498</v>
      </c>
      <c r="E1496" s="26" t="s">
        <v>3159</v>
      </c>
      <c r="F1496" s="7"/>
      <c r="G1496" s="22" t="s">
        <v>592</v>
      </c>
    </row>
    <row r="1497" spans="1:7" ht="20.25" hidden="1" customHeight="1">
      <c r="A1497" s="102">
        <v>32371</v>
      </c>
      <c r="B1497" s="102">
        <v>36371</v>
      </c>
      <c r="C1497" s="102">
        <f t="shared" si="23"/>
        <v>32371</v>
      </c>
      <c r="D1497" s="102" t="s">
        <v>498</v>
      </c>
      <c r="E1497" s="26" t="s">
        <v>3160</v>
      </c>
      <c r="F1497" s="7"/>
      <c r="G1497" s="22" t="s">
        <v>592</v>
      </c>
    </row>
    <row r="1498" spans="1:7" ht="20.25" hidden="1" customHeight="1">
      <c r="A1498" s="102">
        <v>32372</v>
      </c>
      <c r="B1498" s="102">
        <v>36372</v>
      </c>
      <c r="C1498" s="102">
        <f t="shared" si="23"/>
        <v>32372</v>
      </c>
      <c r="D1498" s="102" t="s">
        <v>498</v>
      </c>
      <c r="E1498" s="26" t="s">
        <v>3161</v>
      </c>
      <c r="F1498" s="7"/>
      <c r="G1498" s="22" t="s">
        <v>592</v>
      </c>
    </row>
    <row r="1499" spans="1:7" ht="20.25" hidden="1" customHeight="1">
      <c r="A1499" s="102">
        <v>32373</v>
      </c>
      <c r="B1499" s="102">
        <v>36373</v>
      </c>
      <c r="C1499" s="102">
        <f t="shared" si="23"/>
        <v>32373</v>
      </c>
      <c r="D1499" s="102" t="s">
        <v>498</v>
      </c>
      <c r="E1499" s="26" t="s">
        <v>3162</v>
      </c>
      <c r="F1499" s="7" t="s">
        <v>3163</v>
      </c>
      <c r="G1499" s="22"/>
    </row>
    <row r="1500" spans="1:7" ht="20.25" hidden="1" customHeight="1">
      <c r="A1500" s="102">
        <v>32374</v>
      </c>
      <c r="B1500" s="102">
        <v>36374</v>
      </c>
      <c r="C1500" s="102">
        <f t="shared" si="23"/>
        <v>32374</v>
      </c>
      <c r="D1500" s="102" t="s">
        <v>498</v>
      </c>
      <c r="E1500" s="26" t="s">
        <v>3164</v>
      </c>
      <c r="F1500" s="7" t="s">
        <v>3163</v>
      </c>
      <c r="G1500" s="22"/>
    </row>
    <row r="1501" spans="1:7" ht="20.25" hidden="1" customHeight="1">
      <c r="A1501" s="102">
        <v>32375</v>
      </c>
      <c r="B1501" s="102">
        <v>36375</v>
      </c>
      <c r="C1501" s="102">
        <f t="shared" si="23"/>
        <v>32375</v>
      </c>
      <c r="D1501" s="102" t="s">
        <v>498</v>
      </c>
      <c r="E1501" s="26" t="s">
        <v>3165</v>
      </c>
      <c r="F1501" s="7"/>
      <c r="G1501" s="22" t="s">
        <v>1668</v>
      </c>
    </row>
    <row r="1502" spans="1:7" ht="20.25" hidden="1" customHeight="1">
      <c r="A1502" s="102">
        <v>32376</v>
      </c>
      <c r="B1502" s="102">
        <v>36376</v>
      </c>
      <c r="C1502" s="102">
        <f t="shared" si="23"/>
        <v>32376</v>
      </c>
      <c r="D1502" s="102" t="s">
        <v>498</v>
      </c>
      <c r="E1502" s="26" t="s">
        <v>3166</v>
      </c>
      <c r="F1502" s="7"/>
      <c r="G1502" s="22" t="s">
        <v>3167</v>
      </c>
    </row>
    <row r="1503" spans="1:7" ht="20.25" hidden="1" customHeight="1">
      <c r="A1503" s="102">
        <v>32377</v>
      </c>
      <c r="B1503" s="102">
        <v>36377</v>
      </c>
      <c r="C1503" s="102">
        <f t="shared" si="23"/>
        <v>32377</v>
      </c>
      <c r="D1503" s="102" t="s">
        <v>498</v>
      </c>
      <c r="E1503" s="26" t="s">
        <v>3168</v>
      </c>
      <c r="F1503" s="7"/>
      <c r="G1503" s="22" t="s">
        <v>3167</v>
      </c>
    </row>
    <row r="1504" spans="1:7" ht="20.25" hidden="1" customHeight="1">
      <c r="A1504" s="102">
        <v>32378</v>
      </c>
      <c r="B1504" s="102">
        <v>36378</v>
      </c>
      <c r="C1504" s="102">
        <f t="shared" si="23"/>
        <v>32378</v>
      </c>
      <c r="D1504" s="102" t="s">
        <v>498</v>
      </c>
      <c r="E1504" s="26" t="s">
        <v>3169</v>
      </c>
      <c r="F1504" s="7"/>
      <c r="G1504" s="22" t="s">
        <v>3167</v>
      </c>
    </row>
    <row r="1505" spans="1:7" ht="20.25" hidden="1" customHeight="1">
      <c r="A1505" s="102">
        <v>32379</v>
      </c>
      <c r="B1505" s="102">
        <v>36379</v>
      </c>
      <c r="C1505" s="102">
        <f t="shared" si="23"/>
        <v>32379</v>
      </c>
      <c r="D1505" s="102" t="s">
        <v>498</v>
      </c>
      <c r="E1505" s="26" t="s">
        <v>3170</v>
      </c>
      <c r="F1505" s="7"/>
      <c r="G1505" s="22" t="s">
        <v>3167</v>
      </c>
    </row>
    <row r="1506" spans="1:7" ht="20.25" hidden="1" customHeight="1">
      <c r="A1506" s="102">
        <v>32380</v>
      </c>
      <c r="B1506" s="102">
        <v>36380</v>
      </c>
      <c r="C1506" s="102">
        <f t="shared" si="23"/>
        <v>32380</v>
      </c>
      <c r="D1506" s="102" t="s">
        <v>498</v>
      </c>
      <c r="E1506" s="26" t="s">
        <v>3171</v>
      </c>
      <c r="F1506" s="7"/>
      <c r="G1506" s="22" t="s">
        <v>3172</v>
      </c>
    </row>
    <row r="1507" spans="1:7" ht="20.25" hidden="1" customHeight="1">
      <c r="A1507" s="102">
        <v>32381</v>
      </c>
      <c r="B1507" s="102">
        <v>36381</v>
      </c>
      <c r="C1507" s="102">
        <f t="shared" si="23"/>
        <v>32381</v>
      </c>
      <c r="D1507" s="102" t="s">
        <v>498</v>
      </c>
      <c r="E1507" s="26" t="s">
        <v>3173</v>
      </c>
      <c r="F1507" s="7"/>
      <c r="G1507" s="22" t="s">
        <v>3172</v>
      </c>
    </row>
    <row r="1508" spans="1:7" ht="20.25" hidden="1" customHeight="1">
      <c r="A1508" s="102">
        <v>32382</v>
      </c>
      <c r="B1508" s="102">
        <v>36382</v>
      </c>
      <c r="C1508" s="102">
        <f t="shared" si="23"/>
        <v>32382</v>
      </c>
      <c r="D1508" s="102" t="s">
        <v>498</v>
      </c>
      <c r="E1508" s="26" t="s">
        <v>3174</v>
      </c>
      <c r="F1508" s="7"/>
      <c r="G1508" s="22" t="s">
        <v>3175</v>
      </c>
    </row>
    <row r="1509" spans="1:7" ht="20.25" hidden="1" customHeight="1">
      <c r="A1509" s="102">
        <v>32383</v>
      </c>
      <c r="B1509" s="102">
        <v>36383</v>
      </c>
      <c r="C1509" s="102">
        <f t="shared" si="23"/>
        <v>32383</v>
      </c>
      <c r="D1509" s="102" t="s">
        <v>498</v>
      </c>
      <c r="E1509" s="26" t="s">
        <v>3176</v>
      </c>
      <c r="F1509" s="7"/>
      <c r="G1509" s="22" t="s">
        <v>3175</v>
      </c>
    </row>
    <row r="1510" spans="1:7" ht="20.25" hidden="1" customHeight="1">
      <c r="A1510" s="102">
        <v>32384</v>
      </c>
      <c r="B1510" s="102">
        <v>36384</v>
      </c>
      <c r="C1510" s="102">
        <f t="shared" si="23"/>
        <v>32384</v>
      </c>
      <c r="D1510" s="102" t="s">
        <v>498</v>
      </c>
      <c r="E1510" s="26" t="s">
        <v>3177</v>
      </c>
      <c r="F1510" s="7"/>
      <c r="G1510" s="22" t="s">
        <v>1998</v>
      </c>
    </row>
    <row r="1511" spans="1:7" ht="20.25" hidden="1" customHeight="1">
      <c r="A1511" s="102">
        <v>32385</v>
      </c>
      <c r="B1511" s="102">
        <v>36385</v>
      </c>
      <c r="C1511" s="102">
        <f t="shared" si="23"/>
        <v>32385</v>
      </c>
      <c r="D1511" s="102" t="s">
        <v>498</v>
      </c>
      <c r="E1511" s="26" t="s">
        <v>3178</v>
      </c>
      <c r="F1511" s="7"/>
      <c r="G1511" s="22" t="s">
        <v>1998</v>
      </c>
    </row>
    <row r="1512" spans="1:7" ht="20.25" hidden="1" customHeight="1">
      <c r="A1512" s="102">
        <v>32386</v>
      </c>
      <c r="B1512" s="102">
        <v>36386</v>
      </c>
      <c r="C1512" s="102">
        <f t="shared" si="23"/>
        <v>32386</v>
      </c>
      <c r="D1512" s="102" t="s">
        <v>498</v>
      </c>
      <c r="E1512" s="26" t="s">
        <v>3179</v>
      </c>
      <c r="F1512" s="7"/>
      <c r="G1512" s="22" t="s">
        <v>3180</v>
      </c>
    </row>
    <row r="1513" spans="1:7" ht="20.25" hidden="1" customHeight="1">
      <c r="A1513" s="102">
        <v>32387</v>
      </c>
      <c r="B1513" s="102">
        <v>36387</v>
      </c>
      <c r="C1513" s="102">
        <f t="shared" si="23"/>
        <v>32387</v>
      </c>
      <c r="D1513" s="102" t="s">
        <v>498</v>
      </c>
      <c r="E1513" s="26" t="s">
        <v>3181</v>
      </c>
      <c r="F1513" s="7"/>
      <c r="G1513" s="22"/>
    </row>
    <row r="1514" spans="1:7" ht="20.25" hidden="1" customHeight="1">
      <c r="A1514" s="102">
        <v>32388</v>
      </c>
      <c r="B1514" s="102">
        <v>36388</v>
      </c>
      <c r="C1514" s="102">
        <f t="shared" si="23"/>
        <v>32388</v>
      </c>
      <c r="D1514" s="102" t="s">
        <v>498</v>
      </c>
      <c r="E1514" s="26" t="s">
        <v>3182</v>
      </c>
      <c r="F1514" s="7"/>
      <c r="G1514" s="22"/>
    </row>
    <row r="1515" spans="1:7" ht="20.25" hidden="1" customHeight="1">
      <c r="A1515" s="102">
        <v>32389</v>
      </c>
      <c r="B1515" s="102">
        <v>36389</v>
      </c>
      <c r="C1515" s="102">
        <f t="shared" si="23"/>
        <v>32389</v>
      </c>
      <c r="D1515" s="102" t="s">
        <v>498</v>
      </c>
      <c r="E1515" s="26" t="s">
        <v>3183</v>
      </c>
      <c r="F1515" s="7"/>
      <c r="G1515" s="22" t="s">
        <v>3184</v>
      </c>
    </row>
    <row r="1516" spans="1:7" ht="20.25" hidden="1" customHeight="1">
      <c r="A1516" s="102">
        <v>32390</v>
      </c>
      <c r="B1516" s="102">
        <v>36390</v>
      </c>
      <c r="C1516" s="102">
        <f t="shared" si="23"/>
        <v>32390</v>
      </c>
      <c r="D1516" s="102" t="s">
        <v>498</v>
      </c>
      <c r="E1516" s="26" t="s">
        <v>3185</v>
      </c>
      <c r="F1516" s="7"/>
      <c r="G1516" s="22" t="s">
        <v>3184</v>
      </c>
    </row>
    <row r="1517" spans="1:7" ht="20.25" hidden="1" customHeight="1">
      <c r="A1517" s="102">
        <v>32391</v>
      </c>
      <c r="B1517" s="102">
        <v>36391</v>
      </c>
      <c r="C1517" s="102">
        <f t="shared" si="23"/>
        <v>32391</v>
      </c>
      <c r="D1517" s="102" t="s">
        <v>498</v>
      </c>
      <c r="E1517" s="26" t="s">
        <v>3186</v>
      </c>
      <c r="F1517" s="7"/>
      <c r="G1517" s="22" t="s">
        <v>3184</v>
      </c>
    </row>
    <row r="1518" spans="1:7" ht="20.25" hidden="1" customHeight="1">
      <c r="A1518" s="102">
        <v>32392</v>
      </c>
      <c r="B1518" s="102">
        <v>36392</v>
      </c>
      <c r="C1518" s="102">
        <f t="shared" si="23"/>
        <v>32392</v>
      </c>
      <c r="D1518" s="102" t="s">
        <v>498</v>
      </c>
      <c r="E1518" s="26" t="s">
        <v>3187</v>
      </c>
      <c r="F1518" s="7"/>
      <c r="G1518" s="22" t="s">
        <v>3188</v>
      </c>
    </row>
    <row r="1519" spans="1:7" ht="20.25" hidden="1" customHeight="1">
      <c r="A1519" s="102">
        <v>32393</v>
      </c>
      <c r="B1519" s="102">
        <v>36393</v>
      </c>
      <c r="C1519" s="102">
        <f t="shared" si="23"/>
        <v>32393</v>
      </c>
      <c r="D1519" s="102" t="s">
        <v>498</v>
      </c>
      <c r="E1519" s="26" t="s">
        <v>3189</v>
      </c>
      <c r="F1519" s="7"/>
      <c r="G1519" s="22" t="s">
        <v>948</v>
      </c>
    </row>
    <row r="1520" spans="1:7" ht="20.25" hidden="1" customHeight="1">
      <c r="A1520" s="102">
        <v>32394</v>
      </c>
      <c r="B1520" s="102">
        <v>36394</v>
      </c>
      <c r="C1520" s="102">
        <f t="shared" si="23"/>
        <v>32394</v>
      </c>
      <c r="D1520" s="102" t="s">
        <v>498</v>
      </c>
      <c r="E1520" s="26" t="s">
        <v>3190</v>
      </c>
      <c r="F1520" s="7"/>
      <c r="G1520" s="22" t="s">
        <v>948</v>
      </c>
    </row>
    <row r="1521" spans="1:7" ht="20.25" hidden="1" customHeight="1">
      <c r="A1521" s="102">
        <v>32395</v>
      </c>
      <c r="B1521" s="102">
        <v>36395</v>
      </c>
      <c r="C1521" s="102">
        <f t="shared" si="23"/>
        <v>32395</v>
      </c>
      <c r="D1521" s="102" t="s">
        <v>498</v>
      </c>
      <c r="E1521" s="26" t="s">
        <v>3191</v>
      </c>
      <c r="F1521" s="7"/>
      <c r="G1521" s="22" t="s">
        <v>3133</v>
      </c>
    </row>
    <row r="1522" spans="1:7" ht="20.25" hidden="1" customHeight="1">
      <c r="A1522" s="102">
        <v>32396</v>
      </c>
      <c r="B1522" s="102">
        <v>36396</v>
      </c>
      <c r="C1522" s="102">
        <f t="shared" si="23"/>
        <v>32396</v>
      </c>
      <c r="D1522" s="102" t="s">
        <v>498</v>
      </c>
      <c r="E1522" s="26" t="s">
        <v>3192</v>
      </c>
      <c r="F1522" s="7"/>
      <c r="G1522" s="22"/>
    </row>
    <row r="1523" spans="1:7" ht="20.25" hidden="1" customHeight="1">
      <c r="A1523" s="102">
        <v>32397</v>
      </c>
      <c r="B1523" s="102">
        <v>36397</v>
      </c>
      <c r="C1523" s="102">
        <f t="shared" si="23"/>
        <v>32397</v>
      </c>
      <c r="D1523" s="102" t="s">
        <v>498</v>
      </c>
      <c r="E1523" s="26" t="s">
        <v>3193</v>
      </c>
      <c r="F1523" s="7"/>
      <c r="G1523" s="22"/>
    </row>
    <row r="1524" spans="1:7" ht="20.25" hidden="1" customHeight="1">
      <c r="A1524" s="102">
        <v>32398</v>
      </c>
      <c r="B1524" s="102">
        <v>36398</v>
      </c>
      <c r="C1524" s="102">
        <f t="shared" si="23"/>
        <v>32398</v>
      </c>
      <c r="D1524" s="102" t="s">
        <v>498</v>
      </c>
      <c r="E1524" s="26" t="s">
        <v>3183</v>
      </c>
      <c r="F1524" s="7" t="s">
        <v>3194</v>
      </c>
      <c r="G1524" s="22"/>
    </row>
    <row r="1525" spans="1:7" ht="20.25" hidden="1" customHeight="1">
      <c r="A1525" s="102">
        <v>32399</v>
      </c>
      <c r="B1525" s="102">
        <v>36399</v>
      </c>
      <c r="C1525" s="102">
        <f t="shared" si="23"/>
        <v>32399</v>
      </c>
      <c r="D1525" s="102" t="s">
        <v>498</v>
      </c>
      <c r="E1525" s="26"/>
      <c r="F1525" s="7"/>
      <c r="G1525" s="22"/>
    </row>
    <row r="1526" spans="1:7" ht="20.25" hidden="1" customHeight="1">
      <c r="A1526" s="102">
        <v>32400</v>
      </c>
      <c r="B1526" s="102">
        <v>36400</v>
      </c>
      <c r="C1526" s="102">
        <f t="shared" si="23"/>
        <v>32400</v>
      </c>
      <c r="D1526" s="102" t="s">
        <v>498</v>
      </c>
      <c r="E1526" s="26" t="s">
        <v>3195</v>
      </c>
      <c r="F1526" s="7"/>
      <c r="G1526" s="22" t="s">
        <v>2683</v>
      </c>
    </row>
    <row r="1527" spans="1:7" ht="20.25" hidden="1" customHeight="1">
      <c r="A1527" s="102">
        <v>32401</v>
      </c>
      <c r="B1527" s="102">
        <v>36401</v>
      </c>
      <c r="C1527" s="102">
        <f t="shared" si="23"/>
        <v>42401</v>
      </c>
      <c r="D1527" s="102" t="s">
        <v>498</v>
      </c>
      <c r="E1527" s="26" t="s">
        <v>3196</v>
      </c>
      <c r="F1527" s="7"/>
      <c r="G1527" s="22" t="s">
        <v>2683</v>
      </c>
    </row>
    <row r="1528" spans="1:7" ht="20.25" hidden="1" customHeight="1">
      <c r="A1528" s="102">
        <v>32402</v>
      </c>
      <c r="B1528" s="102">
        <v>36402</v>
      </c>
      <c r="C1528" s="102">
        <f t="shared" si="23"/>
        <v>32402</v>
      </c>
      <c r="D1528" s="102" t="s">
        <v>498</v>
      </c>
      <c r="E1528" s="26" t="s">
        <v>3197</v>
      </c>
      <c r="F1528" s="7"/>
      <c r="G1528" s="22" t="s">
        <v>2683</v>
      </c>
    </row>
    <row r="1529" spans="1:7" ht="20.25" hidden="1" customHeight="1">
      <c r="A1529" s="102">
        <v>32403</v>
      </c>
      <c r="B1529" s="102">
        <v>36403</v>
      </c>
      <c r="C1529" s="102">
        <f t="shared" si="23"/>
        <v>32403</v>
      </c>
      <c r="D1529" s="102" t="s">
        <v>498</v>
      </c>
    </row>
    <row r="1530" spans="1:7" ht="20.25" hidden="1" customHeight="1">
      <c r="A1530" s="102">
        <v>32404</v>
      </c>
      <c r="B1530" s="102">
        <v>36404</v>
      </c>
      <c r="C1530" s="102">
        <f t="shared" si="23"/>
        <v>32404</v>
      </c>
      <c r="D1530" s="102" t="s">
        <v>498</v>
      </c>
      <c r="E1530" s="26" t="s">
        <v>3198</v>
      </c>
      <c r="F1530" s="7"/>
      <c r="G1530" s="22" t="s">
        <v>2683</v>
      </c>
    </row>
    <row r="1531" spans="1:7" ht="20.25" hidden="1" customHeight="1">
      <c r="A1531" s="102">
        <v>32405</v>
      </c>
      <c r="B1531" s="102">
        <v>36405</v>
      </c>
      <c r="C1531" s="102">
        <f t="shared" si="23"/>
        <v>32405</v>
      </c>
      <c r="D1531" s="102" t="s">
        <v>498</v>
      </c>
      <c r="E1531" s="26" t="s">
        <v>3199</v>
      </c>
      <c r="F1531" s="7"/>
      <c r="G1531" s="22" t="s">
        <v>3200</v>
      </c>
    </row>
    <row r="1532" spans="1:7" ht="20.25" hidden="1" customHeight="1">
      <c r="A1532" s="102">
        <v>32406</v>
      </c>
      <c r="B1532" s="102">
        <v>36406</v>
      </c>
      <c r="C1532" s="102">
        <f t="shared" si="23"/>
        <v>32406</v>
      </c>
      <c r="D1532" s="102" t="s">
        <v>498</v>
      </c>
      <c r="E1532" s="26" t="s">
        <v>3201</v>
      </c>
      <c r="F1532" s="7"/>
      <c r="G1532" s="22" t="s">
        <v>3200</v>
      </c>
    </row>
    <row r="1533" spans="1:7" ht="20.25" hidden="1" customHeight="1">
      <c r="A1533" s="102">
        <v>32407</v>
      </c>
      <c r="B1533" s="102">
        <v>36407</v>
      </c>
      <c r="C1533" s="102">
        <f t="shared" si="23"/>
        <v>32407</v>
      </c>
      <c r="D1533" s="102" t="s">
        <v>498</v>
      </c>
      <c r="E1533" s="26" t="s">
        <v>3202</v>
      </c>
      <c r="F1533" s="7"/>
      <c r="G1533" s="22" t="s">
        <v>3203</v>
      </c>
    </row>
    <row r="1534" spans="1:7" ht="20.25" hidden="1" customHeight="1">
      <c r="A1534" s="102">
        <v>32408</v>
      </c>
      <c r="B1534" s="102">
        <v>36408</v>
      </c>
      <c r="C1534" s="102">
        <f t="shared" si="23"/>
        <v>32408</v>
      </c>
      <c r="D1534" s="102" t="s">
        <v>498</v>
      </c>
      <c r="E1534" s="26" t="s">
        <v>3204</v>
      </c>
      <c r="F1534" s="7"/>
      <c r="G1534" s="22" t="s">
        <v>3205</v>
      </c>
    </row>
    <row r="1535" spans="1:7" ht="20.25" hidden="1" customHeight="1">
      <c r="A1535" s="102">
        <v>32409</v>
      </c>
      <c r="B1535" s="102">
        <v>36409</v>
      </c>
      <c r="C1535" s="102">
        <f t="shared" si="23"/>
        <v>32409</v>
      </c>
      <c r="D1535" s="102" t="s">
        <v>498</v>
      </c>
      <c r="E1535" s="26" t="s">
        <v>3206</v>
      </c>
      <c r="F1535" s="7"/>
      <c r="G1535" s="22" t="s">
        <v>3205</v>
      </c>
    </row>
    <row r="1536" spans="1:7" ht="20.25" hidden="1" customHeight="1">
      <c r="A1536" s="102">
        <v>32410</v>
      </c>
      <c r="B1536" s="102">
        <v>36410</v>
      </c>
      <c r="C1536" s="102">
        <f t="shared" si="23"/>
        <v>32410</v>
      </c>
      <c r="D1536" s="102" t="s">
        <v>498</v>
      </c>
      <c r="E1536" s="26" t="s">
        <v>3207</v>
      </c>
      <c r="F1536" s="7"/>
      <c r="G1536" s="22" t="s">
        <v>3205</v>
      </c>
    </row>
    <row r="1537" spans="1:7" ht="20.25" hidden="1" customHeight="1">
      <c r="A1537" s="102">
        <v>32411</v>
      </c>
      <c r="B1537" s="102">
        <v>36411</v>
      </c>
      <c r="C1537" s="102">
        <f t="shared" si="23"/>
        <v>32411</v>
      </c>
      <c r="D1537" s="102" t="s">
        <v>498</v>
      </c>
      <c r="E1537" s="26" t="s">
        <v>3208</v>
      </c>
      <c r="F1537" s="7"/>
      <c r="G1537" s="22" t="s">
        <v>3205</v>
      </c>
    </row>
    <row r="1538" spans="1:7" ht="20.25" hidden="1" customHeight="1">
      <c r="A1538" s="102">
        <v>32412</v>
      </c>
      <c r="B1538" s="102">
        <v>36412</v>
      </c>
      <c r="C1538" s="102">
        <f t="shared" si="23"/>
        <v>32412</v>
      </c>
      <c r="D1538" s="102" t="s">
        <v>498</v>
      </c>
      <c r="E1538" s="26" t="s">
        <v>3209</v>
      </c>
      <c r="F1538" s="7"/>
      <c r="G1538" s="22" t="s">
        <v>1479</v>
      </c>
    </row>
    <row r="1539" spans="1:7" ht="20.25" hidden="1" customHeight="1">
      <c r="A1539" s="102">
        <v>32413</v>
      </c>
      <c r="B1539" s="102">
        <v>36413</v>
      </c>
      <c r="C1539" s="102">
        <f t="shared" si="23"/>
        <v>32413</v>
      </c>
      <c r="D1539" s="102" t="s">
        <v>498</v>
      </c>
      <c r="E1539" s="26" t="s">
        <v>3210</v>
      </c>
      <c r="F1539" s="7"/>
      <c r="G1539" s="22" t="s">
        <v>1479</v>
      </c>
    </row>
    <row r="1540" spans="1:7" ht="20.25" hidden="1" customHeight="1">
      <c r="A1540" s="102">
        <v>32414</v>
      </c>
      <c r="B1540" s="102">
        <v>36414</v>
      </c>
      <c r="C1540" s="102">
        <f t="shared" ref="C1540:C1603" si="24">IF(ISERROR(FIND("B_Epic",E1540)),A1540,A1540+10000)</f>
        <v>32414</v>
      </c>
      <c r="D1540" s="102" t="s">
        <v>498</v>
      </c>
      <c r="E1540" s="26" t="s">
        <v>3211</v>
      </c>
      <c r="F1540" s="7"/>
      <c r="G1540" s="22" t="s">
        <v>1479</v>
      </c>
    </row>
    <row r="1541" spans="1:7" ht="20.25" hidden="1" customHeight="1">
      <c r="A1541" s="102">
        <v>32415</v>
      </c>
      <c r="B1541" s="102">
        <v>36415</v>
      </c>
      <c r="C1541" s="102">
        <f t="shared" si="24"/>
        <v>32415</v>
      </c>
      <c r="D1541" s="102" t="s">
        <v>498</v>
      </c>
      <c r="E1541" s="26" t="s">
        <v>3212</v>
      </c>
      <c r="F1541" s="7"/>
      <c r="G1541" s="22" t="s">
        <v>1479</v>
      </c>
    </row>
    <row r="1542" spans="1:7" ht="20.25" hidden="1" customHeight="1">
      <c r="A1542" s="102">
        <v>32416</v>
      </c>
      <c r="B1542" s="102">
        <v>36416</v>
      </c>
      <c r="C1542" s="102">
        <f t="shared" si="24"/>
        <v>32416</v>
      </c>
      <c r="D1542" s="102" t="s">
        <v>498</v>
      </c>
      <c r="E1542" s="26" t="s">
        <v>3213</v>
      </c>
      <c r="F1542" s="7"/>
      <c r="G1542" s="22" t="s">
        <v>1479</v>
      </c>
    </row>
    <row r="1543" spans="1:7" ht="20.25" hidden="1" customHeight="1">
      <c r="A1543" s="102">
        <v>32417</v>
      </c>
      <c r="B1543" s="102">
        <v>36417</v>
      </c>
      <c r="C1543" s="102">
        <f t="shared" si="24"/>
        <v>32417</v>
      </c>
      <c r="D1543" s="102" t="s">
        <v>498</v>
      </c>
      <c r="E1543" s="26" t="s">
        <v>3214</v>
      </c>
      <c r="F1543" s="7"/>
      <c r="G1543" s="22" t="s">
        <v>1479</v>
      </c>
    </row>
    <row r="1544" spans="1:7" ht="20.25" hidden="1" customHeight="1">
      <c r="A1544" s="102">
        <v>32418</v>
      </c>
      <c r="B1544" s="102">
        <v>36418</v>
      </c>
      <c r="C1544" s="102">
        <f t="shared" si="24"/>
        <v>32418</v>
      </c>
      <c r="D1544" s="102" t="s">
        <v>498</v>
      </c>
      <c r="E1544" s="26" t="s">
        <v>3215</v>
      </c>
      <c r="F1544" s="7"/>
      <c r="G1544" s="22" t="s">
        <v>1668</v>
      </c>
    </row>
    <row r="1545" spans="1:7" ht="20.25" hidden="1" customHeight="1">
      <c r="A1545" s="102">
        <v>32419</v>
      </c>
      <c r="B1545" s="102">
        <v>36419</v>
      </c>
      <c r="C1545" s="102">
        <f t="shared" si="24"/>
        <v>32419</v>
      </c>
      <c r="D1545" s="102" t="s">
        <v>498</v>
      </c>
      <c r="E1545" s="26" t="s">
        <v>3216</v>
      </c>
      <c r="F1545" s="7"/>
      <c r="G1545" s="22" t="s">
        <v>3217</v>
      </c>
    </row>
    <row r="1546" spans="1:7" ht="20.25" hidden="1" customHeight="1">
      <c r="A1546" s="102">
        <v>32420</v>
      </c>
      <c r="B1546" s="102">
        <v>36420</v>
      </c>
      <c r="C1546" s="102">
        <f t="shared" si="24"/>
        <v>32420</v>
      </c>
      <c r="D1546" s="102" t="s">
        <v>498</v>
      </c>
      <c r="E1546" s="26" t="s">
        <v>3218</v>
      </c>
      <c r="F1546" s="7"/>
      <c r="G1546" s="22" t="s">
        <v>3219</v>
      </c>
    </row>
    <row r="1547" spans="1:7" ht="20.25" hidden="1" customHeight="1">
      <c r="A1547" s="102">
        <v>32421</v>
      </c>
      <c r="B1547" s="102">
        <v>36421</v>
      </c>
      <c r="C1547" s="102">
        <f t="shared" si="24"/>
        <v>32421</v>
      </c>
      <c r="F1547" s="7"/>
      <c r="G1547" s="22"/>
    </row>
    <row r="1548" spans="1:7" ht="20.25" hidden="1" customHeight="1">
      <c r="A1548" s="102">
        <v>32422</v>
      </c>
      <c r="B1548" s="102">
        <v>36422</v>
      </c>
      <c r="C1548" s="102">
        <f t="shared" si="24"/>
        <v>32422</v>
      </c>
      <c r="D1548" s="102" t="s">
        <v>498</v>
      </c>
      <c r="E1548" s="26" t="s">
        <v>3220</v>
      </c>
      <c r="F1548" s="7"/>
      <c r="G1548" s="22" t="s">
        <v>3221</v>
      </c>
    </row>
    <row r="1549" spans="1:7" ht="20.25" hidden="1" customHeight="1">
      <c r="A1549" s="102">
        <v>32423</v>
      </c>
      <c r="B1549" s="102">
        <v>36423</v>
      </c>
      <c r="C1549" s="102">
        <f t="shared" si="24"/>
        <v>32423</v>
      </c>
      <c r="D1549" s="102" t="s">
        <v>498</v>
      </c>
      <c r="E1549" s="26" t="s">
        <v>3222</v>
      </c>
      <c r="F1549" s="7"/>
      <c r="G1549" s="22" t="s">
        <v>3221</v>
      </c>
    </row>
    <row r="1550" spans="1:7" ht="20.25" hidden="1" customHeight="1">
      <c r="A1550" s="102">
        <v>32424</v>
      </c>
      <c r="B1550" s="102">
        <v>36424</v>
      </c>
      <c r="C1550" s="102">
        <f t="shared" si="24"/>
        <v>32424</v>
      </c>
      <c r="D1550" s="102" t="s">
        <v>498</v>
      </c>
      <c r="E1550" s="26" t="s">
        <v>3223</v>
      </c>
      <c r="F1550" s="7"/>
      <c r="G1550" s="22" t="s">
        <v>3221</v>
      </c>
    </row>
    <row r="1551" spans="1:7" ht="20.25" hidden="1" customHeight="1">
      <c r="A1551" s="102">
        <v>32425</v>
      </c>
      <c r="B1551" s="102">
        <v>36425</v>
      </c>
      <c r="C1551" s="102">
        <f t="shared" si="24"/>
        <v>32425</v>
      </c>
      <c r="D1551" s="102" t="s">
        <v>498</v>
      </c>
      <c r="E1551" s="26" t="s">
        <v>3224</v>
      </c>
      <c r="F1551" s="7"/>
      <c r="G1551" s="22"/>
    </row>
    <row r="1552" spans="1:7" ht="20.25" hidden="1" customHeight="1">
      <c r="A1552" s="102">
        <v>32426</v>
      </c>
      <c r="B1552" s="102">
        <v>36426</v>
      </c>
      <c r="C1552" s="102">
        <f t="shared" si="24"/>
        <v>32426</v>
      </c>
      <c r="D1552" s="102" t="s">
        <v>498</v>
      </c>
      <c r="E1552" s="26" t="s">
        <v>3225</v>
      </c>
      <c r="F1552" s="7"/>
      <c r="G1552" s="22"/>
    </row>
    <row r="1553" spans="1:7" ht="20.25" hidden="1" customHeight="1">
      <c r="A1553" s="102">
        <v>32427</v>
      </c>
      <c r="B1553" s="102">
        <v>36427</v>
      </c>
      <c r="C1553" s="102">
        <f t="shared" si="24"/>
        <v>32427</v>
      </c>
      <c r="D1553" s="102" t="s">
        <v>498</v>
      </c>
      <c r="E1553" s="26" t="s">
        <v>3226</v>
      </c>
      <c r="F1553" s="7"/>
      <c r="G1553" s="22" t="s">
        <v>3221</v>
      </c>
    </row>
    <row r="1554" spans="1:7" ht="20.25" hidden="1" customHeight="1">
      <c r="A1554" s="102">
        <v>32428</v>
      </c>
      <c r="B1554" s="102">
        <v>36428</v>
      </c>
      <c r="C1554" s="102">
        <f t="shared" si="24"/>
        <v>32428</v>
      </c>
      <c r="D1554" s="102" t="s">
        <v>498</v>
      </c>
      <c r="E1554" s="26"/>
      <c r="F1554" s="7"/>
      <c r="G1554" s="22" t="s">
        <v>1708</v>
      </c>
    </row>
    <row r="1555" spans="1:7" ht="20.25" hidden="1" customHeight="1">
      <c r="A1555" s="102">
        <v>32429</v>
      </c>
      <c r="B1555" s="102">
        <v>36429</v>
      </c>
      <c r="C1555" s="102">
        <f t="shared" si="24"/>
        <v>32429</v>
      </c>
      <c r="D1555" s="102" t="s">
        <v>498</v>
      </c>
      <c r="E1555" s="26"/>
      <c r="F1555" s="7"/>
      <c r="G1555" s="22" t="s">
        <v>1708</v>
      </c>
    </row>
    <row r="1556" spans="1:7" ht="20.25" hidden="1" customHeight="1">
      <c r="A1556" s="102">
        <v>32430</v>
      </c>
      <c r="B1556" s="102">
        <v>36430</v>
      </c>
      <c r="C1556" s="102">
        <f t="shared" si="24"/>
        <v>32430</v>
      </c>
      <c r="D1556" s="102" t="s">
        <v>498</v>
      </c>
      <c r="E1556" s="26" t="s">
        <v>3227</v>
      </c>
      <c r="F1556" s="7"/>
      <c r="G1556" s="22" t="s">
        <v>3228</v>
      </c>
    </row>
    <row r="1557" spans="1:7" ht="20.25" hidden="1" customHeight="1">
      <c r="A1557" s="102">
        <v>32431</v>
      </c>
      <c r="B1557" s="102">
        <v>36431</v>
      </c>
      <c r="C1557" s="102">
        <f t="shared" si="24"/>
        <v>32431</v>
      </c>
      <c r="D1557" s="102" t="s">
        <v>498</v>
      </c>
      <c r="E1557" s="26" t="s">
        <v>3229</v>
      </c>
      <c r="F1557" s="7"/>
      <c r="G1557" s="22" t="s">
        <v>3228</v>
      </c>
    </row>
    <row r="1558" spans="1:7" ht="20.25" hidden="1" customHeight="1">
      <c r="A1558" s="102">
        <v>32432</v>
      </c>
      <c r="B1558" s="102">
        <v>36432</v>
      </c>
      <c r="C1558" s="102">
        <f t="shared" si="24"/>
        <v>32432</v>
      </c>
      <c r="D1558" s="102" t="s">
        <v>498</v>
      </c>
      <c r="E1558" s="26" t="s">
        <v>3230</v>
      </c>
      <c r="F1558" s="7"/>
      <c r="G1558" s="22" t="s">
        <v>3228</v>
      </c>
    </row>
    <row r="1559" spans="1:7" ht="20.25" hidden="1" customHeight="1">
      <c r="A1559" s="102">
        <v>32433</v>
      </c>
      <c r="B1559" s="102">
        <v>36433</v>
      </c>
      <c r="C1559" s="102">
        <f t="shared" si="24"/>
        <v>32433</v>
      </c>
      <c r="D1559" s="102" t="s">
        <v>498</v>
      </c>
      <c r="E1559" s="26" t="s">
        <v>3231</v>
      </c>
      <c r="F1559" s="7"/>
      <c r="G1559" s="22"/>
    </row>
    <row r="1560" spans="1:7" ht="20.25" hidden="1" customHeight="1">
      <c r="A1560" s="102">
        <v>32434</v>
      </c>
      <c r="B1560" s="102">
        <v>36434</v>
      </c>
      <c r="C1560" s="102">
        <f t="shared" si="24"/>
        <v>42434</v>
      </c>
      <c r="D1560" s="102" t="s">
        <v>498</v>
      </c>
      <c r="E1560" s="26" t="s">
        <v>3232</v>
      </c>
      <c r="F1560" s="7"/>
      <c r="G1560" s="22"/>
    </row>
    <row r="1561" spans="1:7" ht="20.25" hidden="1" customHeight="1">
      <c r="A1561" s="102">
        <v>32435</v>
      </c>
      <c r="B1561" s="102">
        <v>36435</v>
      </c>
      <c r="C1561" s="102">
        <f t="shared" si="24"/>
        <v>32435</v>
      </c>
      <c r="D1561" s="102" t="s">
        <v>498</v>
      </c>
      <c r="E1561" s="26" t="s">
        <v>3233</v>
      </c>
      <c r="F1561" s="7"/>
      <c r="G1561" s="22" t="s">
        <v>2782</v>
      </c>
    </row>
    <row r="1562" spans="1:7" ht="20.25" hidden="1" customHeight="1">
      <c r="A1562" s="102">
        <v>32436</v>
      </c>
      <c r="B1562" s="102">
        <v>36436</v>
      </c>
      <c r="C1562" s="102">
        <f t="shared" si="24"/>
        <v>32436</v>
      </c>
      <c r="D1562" s="102" t="s">
        <v>498</v>
      </c>
      <c r="E1562" s="26" t="s">
        <v>3234</v>
      </c>
      <c r="F1562" s="7"/>
      <c r="G1562" s="22" t="s">
        <v>2782</v>
      </c>
    </row>
    <row r="1563" spans="1:7" ht="20.25" hidden="1" customHeight="1">
      <c r="A1563" s="102">
        <v>32437</v>
      </c>
      <c r="B1563" s="102">
        <v>36437</v>
      </c>
      <c r="C1563" s="102">
        <f t="shared" si="24"/>
        <v>32437</v>
      </c>
      <c r="D1563" s="102" t="s">
        <v>498</v>
      </c>
      <c r="E1563" s="26" t="s">
        <v>3235</v>
      </c>
      <c r="F1563" s="7"/>
      <c r="G1563" s="22" t="s">
        <v>2782</v>
      </c>
    </row>
    <row r="1564" spans="1:7" ht="20.25" hidden="1" customHeight="1">
      <c r="A1564" s="102">
        <v>32438</v>
      </c>
      <c r="B1564" s="102">
        <v>36438</v>
      </c>
      <c r="C1564" s="102">
        <f t="shared" si="24"/>
        <v>32438</v>
      </c>
      <c r="D1564" s="102" t="s">
        <v>498</v>
      </c>
      <c r="E1564" s="26" t="s">
        <v>3236</v>
      </c>
      <c r="F1564" s="7"/>
      <c r="G1564" s="22" t="s">
        <v>1708</v>
      </c>
    </row>
    <row r="1565" spans="1:7" ht="20.25" hidden="1" customHeight="1">
      <c r="A1565" s="102">
        <v>32439</v>
      </c>
      <c r="B1565" s="102">
        <v>36439</v>
      </c>
      <c r="C1565" s="102">
        <f t="shared" si="24"/>
        <v>32439</v>
      </c>
      <c r="D1565" s="102" t="s">
        <v>498</v>
      </c>
      <c r="E1565" s="26" t="s">
        <v>3237</v>
      </c>
      <c r="F1565" s="7"/>
      <c r="G1565" s="22" t="s">
        <v>1708</v>
      </c>
    </row>
    <row r="1566" spans="1:7" ht="20.25" hidden="1" customHeight="1">
      <c r="A1566" s="102">
        <v>32440</v>
      </c>
      <c r="B1566" s="102">
        <v>36440</v>
      </c>
      <c r="C1566" s="102">
        <f t="shared" si="24"/>
        <v>32440</v>
      </c>
      <c r="D1566" s="102" t="s">
        <v>498</v>
      </c>
      <c r="E1566" s="26" t="s">
        <v>3238</v>
      </c>
      <c r="F1566" s="7"/>
      <c r="G1566" s="22"/>
    </row>
    <row r="1567" spans="1:7" ht="20.25" hidden="1" customHeight="1">
      <c r="A1567" s="102">
        <v>32441</v>
      </c>
      <c r="B1567" s="102">
        <v>36441</v>
      </c>
      <c r="C1567" s="102">
        <f t="shared" si="24"/>
        <v>32441</v>
      </c>
      <c r="D1567" s="102" t="s">
        <v>498</v>
      </c>
      <c r="E1567" s="26" t="s">
        <v>3239</v>
      </c>
      <c r="F1567" s="7"/>
      <c r="G1567" s="22"/>
    </row>
    <row r="1568" spans="1:7" ht="20.25" hidden="1" customHeight="1">
      <c r="A1568" s="102">
        <v>32442</v>
      </c>
      <c r="B1568" s="102">
        <v>36442</v>
      </c>
      <c r="C1568" s="102">
        <f t="shared" si="24"/>
        <v>32442</v>
      </c>
      <c r="D1568" s="102" t="s">
        <v>498</v>
      </c>
      <c r="E1568" s="26" t="s">
        <v>3240</v>
      </c>
      <c r="F1568" s="7"/>
      <c r="G1568" s="22" t="s">
        <v>1708</v>
      </c>
    </row>
    <row r="1569" spans="1:7" ht="20.25" hidden="1" customHeight="1">
      <c r="A1569" s="102">
        <v>32443</v>
      </c>
      <c r="B1569" s="102">
        <v>36443</v>
      </c>
      <c r="C1569" s="102">
        <f t="shared" si="24"/>
        <v>32443</v>
      </c>
      <c r="D1569" s="102" t="s">
        <v>498</v>
      </c>
      <c r="E1569" s="26" t="s">
        <v>3241</v>
      </c>
      <c r="F1569" s="7"/>
      <c r="G1569" s="22" t="s">
        <v>1708</v>
      </c>
    </row>
    <row r="1570" spans="1:7" ht="20.25" hidden="1" customHeight="1">
      <c r="A1570" s="102">
        <v>32444</v>
      </c>
      <c r="B1570" s="102">
        <v>36444</v>
      </c>
      <c r="C1570" s="102">
        <f t="shared" si="24"/>
        <v>32444</v>
      </c>
      <c r="D1570" s="102" t="s">
        <v>498</v>
      </c>
      <c r="E1570" s="26" t="s">
        <v>3242</v>
      </c>
      <c r="F1570" s="7"/>
      <c r="G1570" s="22" t="s">
        <v>1708</v>
      </c>
    </row>
    <row r="1571" spans="1:7" ht="20.25" hidden="1" customHeight="1">
      <c r="A1571" s="102">
        <v>32445</v>
      </c>
      <c r="B1571" s="102">
        <v>36445</v>
      </c>
      <c r="C1571" s="102">
        <f t="shared" si="24"/>
        <v>32445</v>
      </c>
      <c r="D1571" s="102" t="s">
        <v>498</v>
      </c>
      <c r="E1571" s="26" t="s">
        <v>3243</v>
      </c>
      <c r="F1571" s="7"/>
      <c r="G1571" s="22" t="s">
        <v>2782</v>
      </c>
    </row>
    <row r="1572" spans="1:7" ht="20.25" hidden="1" customHeight="1">
      <c r="A1572" s="102">
        <v>32446</v>
      </c>
      <c r="B1572" s="102">
        <v>36446</v>
      </c>
      <c r="C1572" s="102">
        <f t="shared" si="24"/>
        <v>32446</v>
      </c>
      <c r="D1572" s="102" t="s">
        <v>498</v>
      </c>
      <c r="E1572" s="26" t="s">
        <v>3244</v>
      </c>
      <c r="F1572" s="7"/>
      <c r="G1572" s="22" t="s">
        <v>2782</v>
      </c>
    </row>
    <row r="1573" spans="1:7" ht="20.25" hidden="1" customHeight="1">
      <c r="A1573" s="102">
        <v>32447</v>
      </c>
      <c r="B1573" s="102">
        <v>36447</v>
      </c>
      <c r="C1573" s="102">
        <f t="shared" si="24"/>
        <v>32447</v>
      </c>
      <c r="D1573" s="102" t="s">
        <v>67</v>
      </c>
      <c r="E1573" s="26" t="s">
        <v>3245</v>
      </c>
      <c r="F1573" s="7"/>
      <c r="G1573" s="22" t="s">
        <v>3246</v>
      </c>
    </row>
    <row r="1574" spans="1:7" ht="20.25" hidden="1" customHeight="1">
      <c r="A1574" s="102">
        <v>32448</v>
      </c>
      <c r="B1574" s="102">
        <v>36448</v>
      </c>
      <c r="C1574" s="102">
        <f t="shared" si="24"/>
        <v>32448</v>
      </c>
      <c r="D1574" s="102" t="s">
        <v>67</v>
      </c>
      <c r="E1574" s="26" t="s">
        <v>3247</v>
      </c>
      <c r="F1574" s="7"/>
      <c r="G1574" s="22" t="s">
        <v>3246</v>
      </c>
    </row>
    <row r="1575" spans="1:7" ht="20.25" hidden="1" customHeight="1">
      <c r="A1575" s="102">
        <v>32449</v>
      </c>
      <c r="B1575" s="102">
        <v>36449</v>
      </c>
      <c r="C1575" s="102">
        <f t="shared" si="24"/>
        <v>32449</v>
      </c>
      <c r="D1575" s="102" t="s">
        <v>498</v>
      </c>
      <c r="E1575" s="26" t="s">
        <v>3248</v>
      </c>
      <c r="F1575" s="7"/>
      <c r="G1575" s="22"/>
    </row>
    <row r="1576" spans="1:7" ht="20.25" hidden="1" customHeight="1">
      <c r="A1576" s="102">
        <v>32450</v>
      </c>
      <c r="B1576" s="102">
        <v>36450</v>
      </c>
      <c r="C1576" s="102">
        <f t="shared" si="24"/>
        <v>32450</v>
      </c>
      <c r="D1576" s="102" t="s">
        <v>498</v>
      </c>
      <c r="E1576" s="26" t="s">
        <v>3249</v>
      </c>
      <c r="F1576" s="7"/>
      <c r="G1576" s="22"/>
    </row>
    <row r="1577" spans="1:7" ht="20.25" hidden="1" customHeight="1">
      <c r="A1577" s="102">
        <v>32451</v>
      </c>
      <c r="B1577" s="102">
        <v>36451</v>
      </c>
      <c r="C1577" s="102">
        <f t="shared" si="24"/>
        <v>32451</v>
      </c>
      <c r="D1577" s="102" t="s">
        <v>498</v>
      </c>
      <c r="E1577" s="26" t="s">
        <v>3250</v>
      </c>
      <c r="F1577" s="7"/>
      <c r="G1577" s="22"/>
    </row>
    <row r="1578" spans="1:7" ht="20.25" hidden="1" customHeight="1">
      <c r="A1578" s="102">
        <v>32452</v>
      </c>
      <c r="B1578" s="102">
        <v>36452</v>
      </c>
      <c r="C1578" s="102">
        <f t="shared" si="24"/>
        <v>32452</v>
      </c>
      <c r="D1578" s="102" t="s">
        <v>498</v>
      </c>
      <c r="E1578" s="26"/>
      <c r="F1578" s="7"/>
      <c r="G1578" s="22"/>
    </row>
    <row r="1579" spans="1:7" ht="20.25" hidden="1" customHeight="1">
      <c r="A1579" s="102">
        <v>32453</v>
      </c>
      <c r="B1579" s="102">
        <v>36453</v>
      </c>
      <c r="C1579" s="102">
        <f t="shared" si="24"/>
        <v>32453</v>
      </c>
      <c r="D1579" s="102" t="s">
        <v>498</v>
      </c>
      <c r="E1579" s="26"/>
      <c r="F1579" s="7"/>
      <c r="G1579" s="22"/>
    </row>
    <row r="1580" spans="1:7" ht="20.25" hidden="1" customHeight="1">
      <c r="A1580" s="102">
        <v>32454</v>
      </c>
      <c r="B1580" s="102">
        <v>36454</v>
      </c>
      <c r="C1580" s="102">
        <f t="shared" si="24"/>
        <v>32454</v>
      </c>
      <c r="D1580" s="102" t="s">
        <v>498</v>
      </c>
      <c r="E1580" s="26" t="s">
        <v>3251</v>
      </c>
      <c r="F1580" s="7"/>
      <c r="G1580" s="22" t="s">
        <v>2782</v>
      </c>
    </row>
    <row r="1581" spans="1:7" ht="20.25" hidden="1" customHeight="1">
      <c r="A1581" s="102">
        <v>32455</v>
      </c>
      <c r="B1581" s="102">
        <v>36455</v>
      </c>
      <c r="C1581" s="102">
        <f t="shared" si="24"/>
        <v>42455</v>
      </c>
      <c r="D1581" s="102" t="s">
        <v>498</v>
      </c>
      <c r="E1581" s="26" t="s">
        <v>3252</v>
      </c>
      <c r="F1581" s="7"/>
      <c r="G1581" s="22" t="s">
        <v>697</v>
      </c>
    </row>
    <row r="1582" spans="1:7" ht="20.25" hidden="1" customHeight="1">
      <c r="A1582" s="102">
        <v>32456</v>
      </c>
      <c r="B1582" s="102">
        <v>36456</v>
      </c>
      <c r="C1582" s="102">
        <f t="shared" si="24"/>
        <v>32456</v>
      </c>
      <c r="D1582" s="102" t="s">
        <v>498</v>
      </c>
      <c r="E1582" s="26"/>
      <c r="F1582" s="7"/>
      <c r="G1582" s="22" t="s">
        <v>697</v>
      </c>
    </row>
    <row r="1583" spans="1:7" ht="20.25" hidden="1" customHeight="1">
      <c r="A1583" s="102">
        <v>32457</v>
      </c>
      <c r="B1583" s="102">
        <v>36457</v>
      </c>
      <c r="C1583" s="102">
        <f t="shared" si="24"/>
        <v>32457</v>
      </c>
      <c r="D1583" s="102" t="s">
        <v>498</v>
      </c>
      <c r="E1583" s="26" t="s">
        <v>3253</v>
      </c>
      <c r="F1583" s="7"/>
      <c r="G1583" s="22" t="s">
        <v>1708</v>
      </c>
    </row>
    <row r="1584" spans="1:7" ht="20.25" hidden="1" customHeight="1">
      <c r="A1584" s="102">
        <v>32458</v>
      </c>
      <c r="B1584" s="102">
        <v>36458</v>
      </c>
      <c r="C1584" s="102">
        <f t="shared" si="24"/>
        <v>32458</v>
      </c>
      <c r="D1584" s="102" t="s">
        <v>498</v>
      </c>
      <c r="E1584" s="26" t="s">
        <v>3254</v>
      </c>
      <c r="F1584" s="7"/>
      <c r="G1584" s="22" t="s">
        <v>1988</v>
      </c>
    </row>
    <row r="1585" spans="1:7" ht="20.25" hidden="1" customHeight="1">
      <c r="A1585" s="102">
        <v>32459</v>
      </c>
      <c r="B1585" s="102">
        <v>36459</v>
      </c>
      <c r="C1585" s="102">
        <f t="shared" si="24"/>
        <v>42459</v>
      </c>
      <c r="D1585" s="102" t="s">
        <v>498</v>
      </c>
      <c r="E1585" s="26" t="s">
        <v>3255</v>
      </c>
      <c r="F1585" s="7"/>
      <c r="G1585" s="22"/>
    </row>
    <row r="1586" spans="1:7" ht="20.25" hidden="1" customHeight="1">
      <c r="A1586" s="102">
        <v>32460</v>
      </c>
      <c r="B1586" s="102">
        <v>36460</v>
      </c>
      <c r="C1586" s="102">
        <f t="shared" si="24"/>
        <v>32460</v>
      </c>
      <c r="D1586" s="102" t="s">
        <v>498</v>
      </c>
      <c r="E1586" s="26" t="s">
        <v>3256</v>
      </c>
      <c r="F1586" s="7"/>
      <c r="G1586" s="22"/>
    </row>
    <row r="1587" spans="1:7" ht="20.25" hidden="1" customHeight="1">
      <c r="A1587" s="102">
        <v>32461</v>
      </c>
      <c r="B1587" s="102">
        <v>36461</v>
      </c>
      <c r="C1587" s="102">
        <f t="shared" si="24"/>
        <v>32461</v>
      </c>
      <c r="D1587" s="102" t="s">
        <v>498</v>
      </c>
      <c r="E1587" s="26" t="s">
        <v>3257</v>
      </c>
      <c r="F1587" s="7"/>
      <c r="G1587" s="22"/>
    </row>
    <row r="1588" spans="1:7" ht="20.25" hidden="1" customHeight="1">
      <c r="A1588" s="102">
        <v>32462</v>
      </c>
      <c r="B1588" s="102">
        <v>36462</v>
      </c>
      <c r="C1588" s="102">
        <f t="shared" si="24"/>
        <v>32462</v>
      </c>
      <c r="D1588" s="102" t="s">
        <v>498</v>
      </c>
      <c r="E1588" s="26"/>
      <c r="F1588" s="7"/>
      <c r="G1588" s="22"/>
    </row>
    <row r="1589" spans="1:7" ht="20.25" hidden="1" customHeight="1">
      <c r="A1589" s="102">
        <v>32463</v>
      </c>
      <c r="B1589" s="102">
        <v>36463</v>
      </c>
      <c r="C1589" s="102">
        <f t="shared" si="24"/>
        <v>32463</v>
      </c>
      <c r="D1589" s="102" t="s">
        <v>498</v>
      </c>
      <c r="E1589" s="26" t="s">
        <v>3258</v>
      </c>
      <c r="F1589" s="7"/>
      <c r="G1589" s="22"/>
    </row>
    <row r="1590" spans="1:7" ht="20.25" hidden="1" customHeight="1">
      <c r="A1590" s="102">
        <v>32464</v>
      </c>
      <c r="B1590" s="102">
        <v>36464</v>
      </c>
      <c r="C1590" s="102">
        <f t="shared" si="24"/>
        <v>32464</v>
      </c>
      <c r="D1590" s="102" t="s">
        <v>498</v>
      </c>
      <c r="F1590" s="7"/>
      <c r="G1590" s="22"/>
    </row>
    <row r="1591" spans="1:7" ht="20.25" hidden="1" customHeight="1">
      <c r="A1591" s="102">
        <v>32465</v>
      </c>
      <c r="B1591" s="102">
        <v>36465</v>
      </c>
      <c r="C1591" s="102">
        <f t="shared" si="24"/>
        <v>32465</v>
      </c>
      <c r="D1591" s="102" t="s">
        <v>498</v>
      </c>
      <c r="E1591" s="26" t="s">
        <v>3259</v>
      </c>
      <c r="F1591" s="7"/>
      <c r="G1591" s="22"/>
    </row>
    <row r="1592" spans="1:7" ht="20.25" hidden="1" customHeight="1">
      <c r="A1592" s="102">
        <v>32466</v>
      </c>
      <c r="B1592" s="102">
        <v>36466</v>
      </c>
      <c r="C1592" s="102">
        <f t="shared" si="24"/>
        <v>32466</v>
      </c>
      <c r="D1592" s="102" t="s">
        <v>498</v>
      </c>
      <c r="E1592" s="26" t="s">
        <v>3260</v>
      </c>
      <c r="F1592" s="7"/>
      <c r="G1592" s="22"/>
    </row>
    <row r="1593" spans="1:7" ht="20.25" hidden="1" customHeight="1">
      <c r="A1593" s="102">
        <v>32467</v>
      </c>
      <c r="B1593" s="102">
        <v>36467</v>
      </c>
      <c r="C1593" s="102">
        <f t="shared" si="24"/>
        <v>32467</v>
      </c>
      <c r="D1593" s="102" t="s">
        <v>498</v>
      </c>
      <c r="E1593" s="26" t="s">
        <v>3261</v>
      </c>
      <c r="F1593" s="7"/>
      <c r="G1593" s="22"/>
    </row>
    <row r="1594" spans="1:7" ht="20.25" hidden="1" customHeight="1">
      <c r="A1594" s="102">
        <v>32468</v>
      </c>
      <c r="B1594" s="102">
        <v>36468</v>
      </c>
      <c r="C1594" s="102">
        <f t="shared" si="24"/>
        <v>32468</v>
      </c>
      <c r="D1594" s="102" t="s">
        <v>498</v>
      </c>
      <c r="E1594" s="26" t="s">
        <v>3262</v>
      </c>
      <c r="F1594" s="7"/>
      <c r="G1594" s="22"/>
    </row>
    <row r="1595" spans="1:7" ht="20.25" hidden="1" customHeight="1">
      <c r="A1595" s="102">
        <v>32469</v>
      </c>
      <c r="B1595" s="102">
        <v>36469</v>
      </c>
      <c r="C1595" s="102">
        <f t="shared" si="24"/>
        <v>32469</v>
      </c>
      <c r="D1595" s="102" t="s">
        <v>498</v>
      </c>
      <c r="E1595" s="26" t="s">
        <v>3263</v>
      </c>
      <c r="F1595" s="7"/>
      <c r="G1595" s="22"/>
    </row>
    <row r="1596" spans="1:7" ht="20.25" hidden="1" customHeight="1">
      <c r="A1596" s="102">
        <v>32470</v>
      </c>
      <c r="B1596" s="102">
        <v>36470</v>
      </c>
      <c r="C1596" s="102">
        <f t="shared" si="24"/>
        <v>32470</v>
      </c>
      <c r="D1596" s="102" t="s">
        <v>498</v>
      </c>
      <c r="E1596" s="26" t="s">
        <v>3264</v>
      </c>
      <c r="F1596" s="7"/>
      <c r="G1596" s="22"/>
    </row>
    <row r="1597" spans="1:7" ht="20.25" hidden="1" customHeight="1">
      <c r="A1597" s="102">
        <v>32471</v>
      </c>
      <c r="B1597" s="102">
        <v>36471</v>
      </c>
      <c r="C1597" s="102">
        <f t="shared" si="24"/>
        <v>32471</v>
      </c>
      <c r="D1597" s="102" t="s">
        <v>498</v>
      </c>
      <c r="E1597" s="26" t="s">
        <v>3265</v>
      </c>
      <c r="F1597" s="7"/>
      <c r="G1597" s="22"/>
    </row>
    <row r="1598" spans="1:7" ht="20.25" hidden="1" customHeight="1">
      <c r="A1598" s="102">
        <v>32472</v>
      </c>
      <c r="B1598" s="102">
        <v>36472</v>
      </c>
      <c r="C1598" s="102">
        <f t="shared" si="24"/>
        <v>32472</v>
      </c>
      <c r="D1598" s="102" t="s">
        <v>498</v>
      </c>
      <c r="E1598" s="26" t="s">
        <v>3266</v>
      </c>
      <c r="F1598" s="7"/>
      <c r="G1598" s="22"/>
    </row>
    <row r="1599" spans="1:7" ht="20.25" hidden="1" customHeight="1">
      <c r="A1599" s="102">
        <v>32473</v>
      </c>
      <c r="B1599" s="102">
        <v>36473</v>
      </c>
      <c r="C1599" s="102">
        <f t="shared" si="24"/>
        <v>32473</v>
      </c>
      <c r="D1599" s="102" t="s">
        <v>498</v>
      </c>
      <c r="E1599" s="26" t="s">
        <v>3267</v>
      </c>
      <c r="F1599" s="7"/>
      <c r="G1599" s="22"/>
    </row>
    <row r="1600" spans="1:7" ht="20.25" hidden="1" customHeight="1">
      <c r="A1600" s="102">
        <v>32474</v>
      </c>
      <c r="B1600" s="102">
        <v>36474</v>
      </c>
      <c r="C1600" s="102">
        <f t="shared" si="24"/>
        <v>32474</v>
      </c>
      <c r="D1600" s="102" t="s">
        <v>498</v>
      </c>
      <c r="E1600" s="26"/>
      <c r="F1600" s="7"/>
      <c r="G1600" s="22"/>
    </row>
    <row r="1601" spans="1:7" ht="20.25" hidden="1" customHeight="1">
      <c r="A1601" s="102">
        <v>32475</v>
      </c>
      <c r="B1601" s="102">
        <v>36475</v>
      </c>
      <c r="C1601" s="102">
        <f t="shared" si="24"/>
        <v>32475</v>
      </c>
      <c r="D1601" s="102" t="s">
        <v>498</v>
      </c>
      <c r="E1601" s="26" t="s">
        <v>3268</v>
      </c>
      <c r="F1601" s="7"/>
      <c r="G1601" s="22"/>
    </row>
    <row r="1602" spans="1:7" ht="20.25" hidden="1" customHeight="1">
      <c r="A1602" s="102">
        <v>32476</v>
      </c>
      <c r="B1602" s="102">
        <v>36476</v>
      </c>
      <c r="C1602" s="102">
        <f t="shared" si="24"/>
        <v>32476</v>
      </c>
      <c r="D1602" s="102" t="s">
        <v>498</v>
      </c>
      <c r="E1602" s="26" t="s">
        <v>3269</v>
      </c>
      <c r="F1602" s="7"/>
      <c r="G1602" s="22"/>
    </row>
    <row r="1603" spans="1:7" ht="20.25" hidden="1" customHeight="1">
      <c r="A1603" s="102">
        <v>32477</v>
      </c>
      <c r="B1603" s="102">
        <v>36477</v>
      </c>
      <c r="C1603" s="102">
        <f t="shared" si="24"/>
        <v>32477</v>
      </c>
      <c r="D1603" s="102" t="s">
        <v>498</v>
      </c>
      <c r="E1603" s="26" t="s">
        <v>3270</v>
      </c>
      <c r="F1603" s="7"/>
      <c r="G1603" s="22"/>
    </row>
    <row r="1604" spans="1:7" ht="20.25" hidden="1" customHeight="1">
      <c r="A1604" s="102">
        <v>32478</v>
      </c>
      <c r="B1604" s="102">
        <v>36478</v>
      </c>
      <c r="C1604" s="102">
        <f t="shared" ref="C1604:C1667" si="25">IF(ISERROR(FIND("B_Epic",E1604)),A1604,A1604+10000)</f>
        <v>32478</v>
      </c>
      <c r="D1604" s="102" t="s">
        <v>498</v>
      </c>
      <c r="E1604" s="26" t="s">
        <v>3271</v>
      </c>
      <c r="F1604" s="7"/>
      <c r="G1604" s="22"/>
    </row>
    <row r="1605" spans="1:7" ht="20.25" hidden="1" customHeight="1">
      <c r="A1605" s="102">
        <v>32479</v>
      </c>
      <c r="B1605" s="102">
        <v>36479</v>
      </c>
      <c r="C1605" s="102">
        <f t="shared" si="25"/>
        <v>32479</v>
      </c>
      <c r="D1605" s="102" t="s">
        <v>498</v>
      </c>
      <c r="E1605" s="26" t="s">
        <v>3272</v>
      </c>
      <c r="F1605" s="7"/>
      <c r="G1605" s="22"/>
    </row>
    <row r="1606" spans="1:7" ht="20.25" hidden="1" customHeight="1">
      <c r="A1606" s="102">
        <v>32480</v>
      </c>
      <c r="B1606" s="102">
        <v>36480</v>
      </c>
      <c r="C1606" s="102">
        <f t="shared" si="25"/>
        <v>32480</v>
      </c>
      <c r="D1606" s="102" t="s">
        <v>498</v>
      </c>
      <c r="E1606" s="26" t="s">
        <v>3273</v>
      </c>
      <c r="F1606" s="7"/>
      <c r="G1606" s="22"/>
    </row>
    <row r="1607" spans="1:7" ht="20.25" hidden="1" customHeight="1">
      <c r="A1607" s="102">
        <v>32481</v>
      </c>
      <c r="B1607" s="102">
        <v>36481</v>
      </c>
      <c r="C1607" s="102">
        <f t="shared" si="25"/>
        <v>32481</v>
      </c>
      <c r="D1607" s="102" t="s">
        <v>498</v>
      </c>
      <c r="E1607" s="26" t="s">
        <v>3274</v>
      </c>
      <c r="F1607" s="7"/>
      <c r="G1607" s="22"/>
    </row>
    <row r="1608" spans="1:7" ht="20.25" hidden="1" customHeight="1">
      <c r="A1608" s="102">
        <v>32482</v>
      </c>
      <c r="B1608" s="102">
        <v>36482</v>
      </c>
      <c r="C1608" s="102">
        <f t="shared" si="25"/>
        <v>32482</v>
      </c>
      <c r="D1608" s="102" t="s">
        <v>498</v>
      </c>
      <c r="E1608" s="26" t="s">
        <v>3275</v>
      </c>
      <c r="F1608" s="7"/>
      <c r="G1608" s="22"/>
    </row>
    <row r="1609" spans="1:7" ht="20.25" hidden="1" customHeight="1">
      <c r="A1609" s="102">
        <v>32483</v>
      </c>
      <c r="B1609" s="102">
        <v>36483</v>
      </c>
      <c r="C1609" s="102">
        <f t="shared" si="25"/>
        <v>32483</v>
      </c>
      <c r="D1609" s="102" t="s">
        <v>498</v>
      </c>
      <c r="E1609" s="26" t="s">
        <v>3276</v>
      </c>
      <c r="F1609" s="7"/>
      <c r="G1609" s="22"/>
    </row>
    <row r="1610" spans="1:7" ht="20.25" hidden="1" customHeight="1">
      <c r="A1610" s="102">
        <v>32484</v>
      </c>
      <c r="B1610" s="102">
        <v>36484</v>
      </c>
      <c r="C1610" s="102">
        <f t="shared" si="25"/>
        <v>32484</v>
      </c>
      <c r="D1610" s="102" t="s">
        <v>498</v>
      </c>
      <c r="E1610" s="26" t="s">
        <v>3277</v>
      </c>
      <c r="F1610" s="7"/>
      <c r="G1610" s="22"/>
    </row>
    <row r="1611" spans="1:7" ht="20.25" hidden="1" customHeight="1">
      <c r="A1611" s="102">
        <v>32485</v>
      </c>
      <c r="B1611" s="102">
        <v>36485</v>
      </c>
      <c r="C1611" s="102">
        <f t="shared" si="25"/>
        <v>32485</v>
      </c>
      <c r="D1611" s="102" t="s">
        <v>498</v>
      </c>
      <c r="E1611" s="26" t="s">
        <v>3278</v>
      </c>
      <c r="F1611" s="7"/>
      <c r="G1611" s="22"/>
    </row>
    <row r="1612" spans="1:7" ht="20.25" hidden="1" customHeight="1">
      <c r="A1612" s="102">
        <v>32486</v>
      </c>
      <c r="B1612" s="102">
        <v>36486</v>
      </c>
      <c r="C1612" s="102">
        <f t="shared" si="25"/>
        <v>32486</v>
      </c>
      <c r="D1612" s="102" t="s">
        <v>498</v>
      </c>
      <c r="E1612" s="26" t="s">
        <v>3279</v>
      </c>
      <c r="F1612" s="7"/>
      <c r="G1612" s="22"/>
    </row>
    <row r="1613" spans="1:7" ht="20.25" hidden="1" customHeight="1">
      <c r="A1613" s="102">
        <v>32487</v>
      </c>
      <c r="B1613" s="102">
        <v>36487</v>
      </c>
      <c r="C1613" s="102">
        <f t="shared" si="25"/>
        <v>32487</v>
      </c>
      <c r="D1613" s="102" t="s">
        <v>498</v>
      </c>
      <c r="E1613" s="26" t="s">
        <v>3280</v>
      </c>
      <c r="F1613" s="7"/>
      <c r="G1613" s="22"/>
    </row>
    <row r="1614" spans="1:7" ht="20.25" hidden="1" customHeight="1">
      <c r="A1614" s="102">
        <v>32488</v>
      </c>
      <c r="B1614" s="102">
        <v>36488</v>
      </c>
      <c r="C1614" s="102">
        <f t="shared" si="25"/>
        <v>32488</v>
      </c>
      <c r="D1614" s="102" t="s">
        <v>498</v>
      </c>
      <c r="E1614" s="26" t="s">
        <v>3281</v>
      </c>
      <c r="F1614" s="7"/>
      <c r="G1614" s="22"/>
    </row>
    <row r="1615" spans="1:7" ht="20.25" hidden="1" customHeight="1">
      <c r="A1615" s="102">
        <v>32489</v>
      </c>
      <c r="B1615" s="102">
        <v>36489</v>
      </c>
      <c r="C1615" s="102">
        <f t="shared" si="25"/>
        <v>32489</v>
      </c>
      <c r="D1615" s="102" t="s">
        <v>498</v>
      </c>
      <c r="E1615" s="26" t="s">
        <v>3282</v>
      </c>
      <c r="F1615" s="7"/>
      <c r="G1615" s="22"/>
    </row>
    <row r="1616" spans="1:7" ht="20.25" hidden="1" customHeight="1">
      <c r="A1616" s="102">
        <v>32490</v>
      </c>
      <c r="B1616" s="102">
        <v>36490</v>
      </c>
      <c r="C1616" s="102">
        <f t="shared" si="25"/>
        <v>32490</v>
      </c>
      <c r="D1616" s="102" t="s">
        <v>498</v>
      </c>
      <c r="E1616" s="26" t="s">
        <v>3283</v>
      </c>
      <c r="F1616" s="7"/>
      <c r="G1616" s="22"/>
    </row>
    <row r="1617" spans="1:7" ht="20.25" hidden="1" customHeight="1">
      <c r="A1617" s="102">
        <v>32491</v>
      </c>
      <c r="B1617" s="102">
        <v>36491</v>
      </c>
      <c r="C1617" s="102">
        <f t="shared" si="25"/>
        <v>32491</v>
      </c>
      <c r="D1617" s="102" t="s">
        <v>498</v>
      </c>
      <c r="E1617" s="26" t="s">
        <v>3284</v>
      </c>
      <c r="F1617" s="7"/>
      <c r="G1617" s="22"/>
    </row>
    <row r="1618" spans="1:7" ht="20.25" hidden="1" customHeight="1">
      <c r="A1618" s="102">
        <v>32492</v>
      </c>
      <c r="B1618" s="102">
        <v>36492</v>
      </c>
      <c r="C1618" s="102">
        <f t="shared" si="25"/>
        <v>32492</v>
      </c>
      <c r="D1618" s="102" t="s">
        <v>498</v>
      </c>
      <c r="E1618" s="26" t="s">
        <v>3285</v>
      </c>
      <c r="F1618" s="7"/>
      <c r="G1618" s="22"/>
    </row>
    <row r="1619" spans="1:7" ht="20.25" hidden="1" customHeight="1">
      <c r="A1619" s="102">
        <v>32493</v>
      </c>
      <c r="B1619" s="102">
        <v>36493</v>
      </c>
      <c r="C1619" s="102">
        <f t="shared" si="25"/>
        <v>32493</v>
      </c>
      <c r="D1619" s="102" t="s">
        <v>498</v>
      </c>
      <c r="E1619" s="26" t="s">
        <v>3286</v>
      </c>
      <c r="F1619" s="7"/>
      <c r="G1619" s="22"/>
    </row>
    <row r="1620" spans="1:7" ht="20.25" hidden="1" customHeight="1">
      <c r="A1620" s="102">
        <v>32494</v>
      </c>
      <c r="B1620" s="102">
        <v>36494</v>
      </c>
      <c r="C1620" s="102">
        <f t="shared" si="25"/>
        <v>32494</v>
      </c>
      <c r="D1620" s="102" t="s">
        <v>498</v>
      </c>
      <c r="E1620" s="26" t="s">
        <v>3287</v>
      </c>
      <c r="F1620" s="7"/>
      <c r="G1620" s="22"/>
    </row>
    <row r="1621" spans="1:7" ht="20.25" hidden="1" customHeight="1">
      <c r="A1621" s="102">
        <v>32495</v>
      </c>
      <c r="B1621" s="102">
        <v>36495</v>
      </c>
      <c r="C1621" s="102">
        <f t="shared" si="25"/>
        <v>32495</v>
      </c>
      <c r="D1621" s="102" t="s">
        <v>498</v>
      </c>
      <c r="E1621" s="26" t="s">
        <v>3288</v>
      </c>
      <c r="F1621" s="7"/>
      <c r="G1621" s="22"/>
    </row>
    <row r="1622" spans="1:7" ht="20.25" hidden="1" customHeight="1">
      <c r="A1622" s="102">
        <v>32496</v>
      </c>
      <c r="B1622" s="102">
        <v>36496</v>
      </c>
      <c r="C1622" s="102">
        <f t="shared" si="25"/>
        <v>42496</v>
      </c>
      <c r="D1622" s="102" t="s">
        <v>498</v>
      </c>
      <c r="E1622" s="26" t="s">
        <v>3289</v>
      </c>
      <c r="F1622" s="7"/>
      <c r="G1622" s="22"/>
    </row>
    <row r="1623" spans="1:7" ht="20.25" hidden="1" customHeight="1">
      <c r="A1623" s="102">
        <v>32497</v>
      </c>
      <c r="B1623" s="102">
        <v>36497</v>
      </c>
      <c r="C1623" s="102">
        <f t="shared" si="25"/>
        <v>32497</v>
      </c>
      <c r="D1623" s="102" t="s">
        <v>498</v>
      </c>
      <c r="E1623" s="26" t="s">
        <v>3290</v>
      </c>
      <c r="F1623" s="7"/>
      <c r="G1623" s="22"/>
    </row>
    <row r="1624" spans="1:7" ht="20.25" hidden="1" customHeight="1">
      <c r="A1624" s="102">
        <v>32498</v>
      </c>
      <c r="B1624" s="102">
        <v>36498</v>
      </c>
      <c r="C1624" s="102">
        <f t="shared" si="25"/>
        <v>32498</v>
      </c>
      <c r="D1624" s="102" t="s">
        <v>498</v>
      </c>
      <c r="E1624" s="26" t="s">
        <v>3291</v>
      </c>
      <c r="F1624" s="7"/>
      <c r="G1624" s="22"/>
    </row>
    <row r="1625" spans="1:7" ht="20.25" hidden="1" customHeight="1">
      <c r="A1625" s="102">
        <v>32499</v>
      </c>
      <c r="B1625" s="102">
        <v>36499</v>
      </c>
      <c r="C1625" s="102">
        <f t="shared" si="25"/>
        <v>32499</v>
      </c>
      <c r="D1625" s="102" t="s">
        <v>498</v>
      </c>
      <c r="E1625" s="26" t="s">
        <v>3292</v>
      </c>
      <c r="F1625" s="7"/>
      <c r="G1625" s="22"/>
    </row>
    <row r="1626" spans="1:7" ht="20.25" hidden="1" customHeight="1">
      <c r="A1626" s="102">
        <v>32500</v>
      </c>
      <c r="B1626" s="102">
        <v>36500</v>
      </c>
      <c r="C1626" s="102">
        <f t="shared" si="25"/>
        <v>32500</v>
      </c>
      <c r="D1626" s="102" t="s">
        <v>498</v>
      </c>
      <c r="E1626" s="26" t="s">
        <v>3293</v>
      </c>
      <c r="F1626" s="7"/>
      <c r="G1626" s="22"/>
    </row>
    <row r="1627" spans="1:7" ht="20.25" hidden="1" customHeight="1">
      <c r="A1627" s="102">
        <v>32501</v>
      </c>
      <c r="B1627" s="102">
        <v>36501</v>
      </c>
      <c r="C1627" s="102">
        <f t="shared" si="25"/>
        <v>32501</v>
      </c>
      <c r="D1627" s="102" t="s">
        <v>498</v>
      </c>
      <c r="E1627" s="26" t="s">
        <v>3294</v>
      </c>
      <c r="F1627" s="7"/>
      <c r="G1627" s="22"/>
    </row>
    <row r="1628" spans="1:7" ht="20.25" hidden="1" customHeight="1">
      <c r="A1628" s="102">
        <v>32502</v>
      </c>
      <c r="B1628" s="102">
        <v>36502</v>
      </c>
      <c r="C1628" s="102">
        <f t="shared" si="25"/>
        <v>32502</v>
      </c>
      <c r="D1628" s="102" t="s">
        <v>498</v>
      </c>
      <c r="E1628" s="26" t="s">
        <v>3295</v>
      </c>
      <c r="F1628" s="7"/>
      <c r="G1628" s="22"/>
    </row>
    <row r="1629" spans="1:7" ht="20.25" hidden="1" customHeight="1">
      <c r="A1629" s="102">
        <v>32503</v>
      </c>
      <c r="B1629" s="102">
        <v>36503</v>
      </c>
      <c r="C1629" s="102">
        <f t="shared" si="25"/>
        <v>32503</v>
      </c>
      <c r="D1629" s="102" t="s">
        <v>498</v>
      </c>
      <c r="E1629" s="26" t="s">
        <v>3296</v>
      </c>
      <c r="F1629" s="7"/>
      <c r="G1629" s="22"/>
    </row>
    <row r="1630" spans="1:7" ht="20.25" hidden="1" customHeight="1">
      <c r="A1630" s="102">
        <v>32504</v>
      </c>
      <c r="B1630" s="102">
        <v>36504</v>
      </c>
      <c r="C1630" s="102">
        <f t="shared" si="25"/>
        <v>32504</v>
      </c>
      <c r="D1630" s="102" t="s">
        <v>498</v>
      </c>
      <c r="E1630" s="26" t="s">
        <v>3297</v>
      </c>
      <c r="F1630" s="7"/>
      <c r="G1630" s="22"/>
    </row>
    <row r="1631" spans="1:7" ht="20.25" hidden="1" customHeight="1">
      <c r="A1631" s="102">
        <v>32505</v>
      </c>
      <c r="B1631" s="102">
        <v>36505</v>
      </c>
      <c r="C1631" s="102">
        <f t="shared" si="25"/>
        <v>32505</v>
      </c>
      <c r="D1631" s="102" t="s">
        <v>498</v>
      </c>
      <c r="E1631" s="26" t="s">
        <v>3298</v>
      </c>
      <c r="F1631" s="7"/>
      <c r="G1631" s="22"/>
    </row>
    <row r="1632" spans="1:7" ht="20.25" hidden="1" customHeight="1">
      <c r="A1632" s="102">
        <v>32506</v>
      </c>
      <c r="B1632" s="102">
        <v>36506</v>
      </c>
      <c r="C1632" s="102">
        <f t="shared" si="25"/>
        <v>32506</v>
      </c>
      <c r="D1632" s="102" t="s">
        <v>498</v>
      </c>
      <c r="E1632" s="26" t="s">
        <v>3299</v>
      </c>
      <c r="F1632" s="7"/>
      <c r="G1632" s="22"/>
    </row>
    <row r="1633" spans="1:7" ht="20.25" hidden="1" customHeight="1">
      <c r="A1633" s="102">
        <v>32507</v>
      </c>
      <c r="B1633" s="102">
        <v>36507</v>
      </c>
      <c r="C1633" s="102">
        <f t="shared" si="25"/>
        <v>42507</v>
      </c>
      <c r="D1633" s="102" t="s">
        <v>498</v>
      </c>
      <c r="E1633" s="26" t="s">
        <v>3300</v>
      </c>
      <c r="F1633" s="7"/>
      <c r="G1633" s="22"/>
    </row>
    <row r="1634" spans="1:7" ht="20.25" hidden="1" customHeight="1">
      <c r="A1634" s="102">
        <v>32508</v>
      </c>
      <c r="B1634" s="102">
        <v>36508</v>
      </c>
      <c r="C1634" s="102">
        <f t="shared" si="25"/>
        <v>32508</v>
      </c>
      <c r="D1634" s="102" t="s">
        <v>498</v>
      </c>
      <c r="E1634" s="26" t="s">
        <v>3301</v>
      </c>
      <c r="F1634" s="7"/>
      <c r="G1634" s="22"/>
    </row>
    <row r="1635" spans="1:7" ht="20.25" hidden="1" customHeight="1">
      <c r="A1635" s="102">
        <v>32509</v>
      </c>
      <c r="B1635" s="102">
        <v>36509</v>
      </c>
      <c r="C1635" s="102">
        <f t="shared" si="25"/>
        <v>32509</v>
      </c>
      <c r="D1635" s="102" t="s">
        <v>498</v>
      </c>
      <c r="E1635" s="26" t="s">
        <v>1444</v>
      </c>
      <c r="F1635" s="7" t="s">
        <v>3302</v>
      </c>
      <c r="G1635" s="22"/>
    </row>
    <row r="1636" spans="1:7" ht="20.25" customHeight="1">
      <c r="A1636" s="102">
        <v>32510</v>
      </c>
      <c r="B1636" s="102">
        <v>36510</v>
      </c>
      <c r="C1636" s="102">
        <f t="shared" si="25"/>
        <v>32510</v>
      </c>
      <c r="D1636" s="102" t="s">
        <v>549</v>
      </c>
      <c r="E1636" s="26" t="s">
        <v>1446</v>
      </c>
      <c r="F1636" s="7" t="s">
        <v>3303</v>
      </c>
      <c r="G1636" s="22"/>
    </row>
    <row r="1637" spans="1:7" ht="20.25" hidden="1" customHeight="1">
      <c r="A1637" s="102">
        <v>32511</v>
      </c>
      <c r="B1637" s="102">
        <v>36511</v>
      </c>
      <c r="C1637" s="102">
        <f t="shared" si="25"/>
        <v>32511</v>
      </c>
      <c r="D1637" s="102" t="s">
        <v>498</v>
      </c>
      <c r="E1637" s="26" t="s">
        <v>3304</v>
      </c>
      <c r="F1637" s="7"/>
      <c r="G1637" s="22"/>
    </row>
    <row r="1638" spans="1:7" ht="20.25" hidden="1" customHeight="1">
      <c r="A1638" s="102">
        <v>32512</v>
      </c>
      <c r="B1638" s="102">
        <v>36512</v>
      </c>
      <c r="C1638" s="102">
        <f t="shared" si="25"/>
        <v>32512</v>
      </c>
      <c r="D1638" s="102" t="s">
        <v>498</v>
      </c>
      <c r="E1638" s="26" t="s">
        <v>3305</v>
      </c>
      <c r="F1638" s="7"/>
      <c r="G1638" s="22"/>
    </row>
    <row r="1639" spans="1:7" ht="20.25" hidden="1" customHeight="1">
      <c r="A1639" s="102">
        <v>32513</v>
      </c>
      <c r="B1639" s="102">
        <v>36513</v>
      </c>
      <c r="C1639" s="102">
        <f t="shared" si="25"/>
        <v>32513</v>
      </c>
      <c r="D1639" s="102" t="s">
        <v>498</v>
      </c>
      <c r="E1639" s="26" t="s">
        <v>3306</v>
      </c>
      <c r="F1639" s="7"/>
      <c r="G1639" s="22"/>
    </row>
    <row r="1640" spans="1:7" ht="20.25" hidden="1" customHeight="1">
      <c r="A1640" s="102">
        <v>32514</v>
      </c>
      <c r="B1640" s="102">
        <v>36514</v>
      </c>
      <c r="C1640" s="102">
        <f t="shared" si="25"/>
        <v>32514</v>
      </c>
      <c r="D1640" s="102" t="s">
        <v>498</v>
      </c>
      <c r="E1640" s="26" t="s">
        <v>3307</v>
      </c>
      <c r="F1640" s="7"/>
      <c r="G1640" s="22"/>
    </row>
    <row r="1641" spans="1:7" ht="20.25" hidden="1" customHeight="1">
      <c r="A1641" s="102">
        <v>32515</v>
      </c>
      <c r="B1641" s="102">
        <v>36515</v>
      </c>
      <c r="C1641" s="102">
        <f t="shared" si="25"/>
        <v>32515</v>
      </c>
      <c r="D1641" s="102" t="s">
        <v>498</v>
      </c>
      <c r="E1641" s="26" t="s">
        <v>3308</v>
      </c>
      <c r="F1641" s="7"/>
      <c r="G1641" s="22"/>
    </row>
    <row r="1642" spans="1:7" ht="20.25" hidden="1" customHeight="1">
      <c r="A1642" s="102">
        <v>32516</v>
      </c>
      <c r="B1642" s="102">
        <v>36516</v>
      </c>
      <c r="C1642" s="102">
        <f t="shared" si="25"/>
        <v>32516</v>
      </c>
      <c r="D1642" s="102" t="s">
        <v>498</v>
      </c>
      <c r="E1642" s="26" t="s">
        <v>3309</v>
      </c>
      <c r="F1642" s="7"/>
      <c r="G1642" s="22"/>
    </row>
    <row r="1643" spans="1:7" ht="20.25" hidden="1" customHeight="1">
      <c r="A1643" s="102">
        <v>32517</v>
      </c>
      <c r="B1643" s="102">
        <v>36517</v>
      </c>
      <c r="C1643" s="102">
        <f t="shared" si="25"/>
        <v>32517</v>
      </c>
      <c r="D1643" s="102" t="s">
        <v>498</v>
      </c>
      <c r="E1643" s="26" t="s">
        <v>3310</v>
      </c>
      <c r="F1643" s="7"/>
      <c r="G1643" s="22"/>
    </row>
    <row r="1644" spans="1:7" ht="20.25" hidden="1" customHeight="1">
      <c r="A1644" s="102">
        <v>32518</v>
      </c>
      <c r="B1644" s="102">
        <v>36518</v>
      </c>
      <c r="C1644" s="102">
        <f t="shared" si="25"/>
        <v>32518</v>
      </c>
      <c r="D1644" s="102" t="s">
        <v>498</v>
      </c>
      <c r="E1644" s="26" t="s">
        <v>3311</v>
      </c>
      <c r="F1644" s="7"/>
      <c r="G1644" s="22"/>
    </row>
    <row r="1645" spans="1:7" ht="20.25" hidden="1" customHeight="1">
      <c r="A1645" s="102">
        <v>32519</v>
      </c>
      <c r="B1645" s="102">
        <v>36519</v>
      </c>
      <c r="C1645" s="102">
        <f t="shared" si="25"/>
        <v>32519</v>
      </c>
      <c r="D1645" s="102" t="s">
        <v>498</v>
      </c>
      <c r="E1645" s="26" t="s">
        <v>3312</v>
      </c>
      <c r="F1645" s="7"/>
      <c r="G1645" s="22"/>
    </row>
    <row r="1646" spans="1:7" ht="20.25" hidden="1" customHeight="1">
      <c r="A1646" s="102">
        <v>32520</v>
      </c>
      <c r="B1646" s="102">
        <v>36520</v>
      </c>
      <c r="C1646" s="102">
        <f t="shared" si="25"/>
        <v>32520</v>
      </c>
      <c r="D1646" s="102" t="s">
        <v>498</v>
      </c>
      <c r="E1646" s="26" t="s">
        <v>3313</v>
      </c>
      <c r="F1646" s="7"/>
      <c r="G1646" s="22"/>
    </row>
    <row r="1647" spans="1:7" ht="20.25" hidden="1" customHeight="1">
      <c r="A1647" s="102">
        <v>32521</v>
      </c>
      <c r="B1647" s="102">
        <v>36521</v>
      </c>
      <c r="C1647" s="102">
        <f t="shared" si="25"/>
        <v>32521</v>
      </c>
      <c r="D1647" s="102" t="s">
        <v>67</v>
      </c>
      <c r="E1647" s="26" t="s">
        <v>3314</v>
      </c>
      <c r="F1647" s="7"/>
      <c r="G1647" s="22"/>
    </row>
    <row r="1648" spans="1:7" ht="20.25" hidden="1" customHeight="1">
      <c r="A1648" s="10">
        <v>32522</v>
      </c>
      <c r="B1648" s="10">
        <v>36522</v>
      </c>
      <c r="C1648" s="102">
        <f t="shared" si="25"/>
        <v>32522</v>
      </c>
      <c r="D1648" s="10" t="s">
        <v>67</v>
      </c>
      <c r="E1648" s="7" t="s">
        <v>2753</v>
      </c>
      <c r="F1648" s="7"/>
      <c r="G1648" s="22"/>
    </row>
    <row r="1649" spans="1:7" ht="20.25" hidden="1" customHeight="1">
      <c r="A1649" s="10">
        <v>32523</v>
      </c>
      <c r="B1649" s="10">
        <v>36523</v>
      </c>
      <c r="C1649" s="102">
        <f t="shared" si="25"/>
        <v>32523</v>
      </c>
      <c r="D1649" s="10" t="s">
        <v>498</v>
      </c>
      <c r="E1649" s="7" t="s">
        <v>3315</v>
      </c>
      <c r="F1649" s="7"/>
      <c r="G1649" s="22"/>
    </row>
    <row r="1650" spans="1:7" ht="20.25" hidden="1" customHeight="1">
      <c r="A1650" s="10">
        <v>32524</v>
      </c>
      <c r="B1650" s="10">
        <v>36524</v>
      </c>
      <c r="C1650" s="102">
        <f t="shared" si="25"/>
        <v>32524</v>
      </c>
      <c r="D1650" s="10" t="s">
        <v>498</v>
      </c>
      <c r="E1650" s="7" t="s">
        <v>3316</v>
      </c>
      <c r="F1650" s="7"/>
      <c r="G1650" s="22"/>
    </row>
    <row r="1651" spans="1:7" ht="20.25" hidden="1" customHeight="1">
      <c r="A1651" s="10">
        <v>32525</v>
      </c>
      <c r="B1651" s="10">
        <v>36525</v>
      </c>
      <c r="C1651" s="102">
        <f t="shared" si="25"/>
        <v>32525</v>
      </c>
      <c r="D1651" s="10" t="s">
        <v>498</v>
      </c>
      <c r="E1651" s="7" t="s">
        <v>3317</v>
      </c>
      <c r="F1651" s="7"/>
      <c r="G1651" s="22"/>
    </row>
    <row r="1652" spans="1:7" ht="20.25" hidden="1" customHeight="1">
      <c r="A1652" s="10">
        <v>32526</v>
      </c>
      <c r="B1652" s="10">
        <v>36526</v>
      </c>
      <c r="C1652" s="102">
        <f t="shared" si="25"/>
        <v>32526</v>
      </c>
      <c r="D1652" s="10" t="s">
        <v>498</v>
      </c>
      <c r="F1652" s="7"/>
      <c r="G1652" s="22"/>
    </row>
    <row r="1653" spans="1:7" ht="20.25" hidden="1" customHeight="1">
      <c r="A1653" s="10">
        <v>32527</v>
      </c>
      <c r="B1653" s="10">
        <v>36527</v>
      </c>
      <c r="C1653" s="102">
        <f t="shared" si="25"/>
        <v>32527</v>
      </c>
      <c r="D1653" s="10" t="s">
        <v>498</v>
      </c>
      <c r="E1653" s="7" t="s">
        <v>3318</v>
      </c>
      <c r="F1653" s="7"/>
      <c r="G1653" s="22"/>
    </row>
    <row r="1654" spans="1:7" ht="20.25" hidden="1" customHeight="1">
      <c r="A1654" s="10">
        <v>32528</v>
      </c>
      <c r="B1654" s="10">
        <v>36528</v>
      </c>
      <c r="C1654" s="102">
        <f t="shared" si="25"/>
        <v>32528</v>
      </c>
      <c r="D1654" s="10" t="s">
        <v>498</v>
      </c>
      <c r="E1654" s="7" t="s">
        <v>3319</v>
      </c>
      <c r="F1654" s="7"/>
      <c r="G1654" s="22"/>
    </row>
    <row r="1655" spans="1:7" ht="20.25" hidden="1" customHeight="1">
      <c r="A1655" s="10">
        <v>32529</v>
      </c>
      <c r="B1655" s="10">
        <v>36529</v>
      </c>
      <c r="C1655" s="102">
        <f t="shared" si="25"/>
        <v>32529</v>
      </c>
      <c r="D1655" s="10" t="s">
        <v>498</v>
      </c>
      <c r="E1655" s="7" t="s">
        <v>3320</v>
      </c>
      <c r="F1655" s="7"/>
      <c r="G1655" s="22"/>
    </row>
    <row r="1656" spans="1:7" ht="20.25" hidden="1" customHeight="1">
      <c r="A1656" s="10">
        <v>32530</v>
      </c>
      <c r="B1656" s="10">
        <v>36530</v>
      </c>
      <c r="C1656" s="102">
        <f t="shared" si="25"/>
        <v>32530</v>
      </c>
      <c r="D1656" s="10" t="s">
        <v>498</v>
      </c>
      <c r="E1656" s="7" t="s">
        <v>3321</v>
      </c>
      <c r="F1656" s="7"/>
      <c r="G1656" s="22"/>
    </row>
    <row r="1657" spans="1:7" ht="20.25" hidden="1" customHeight="1">
      <c r="A1657" s="10">
        <v>32531</v>
      </c>
      <c r="B1657" s="10">
        <v>36531</v>
      </c>
      <c r="C1657" s="102">
        <f t="shared" si="25"/>
        <v>32531</v>
      </c>
      <c r="D1657" s="10" t="s">
        <v>498</v>
      </c>
      <c r="E1657" s="7" t="s">
        <v>3322</v>
      </c>
      <c r="F1657" s="7"/>
      <c r="G1657" s="22"/>
    </row>
    <row r="1658" spans="1:7" ht="20.25" hidden="1" customHeight="1">
      <c r="A1658" s="10">
        <v>32532</v>
      </c>
      <c r="B1658" s="10">
        <v>36532</v>
      </c>
      <c r="C1658" s="102">
        <f t="shared" si="25"/>
        <v>32532</v>
      </c>
      <c r="D1658" s="10" t="s">
        <v>498</v>
      </c>
      <c r="E1658" s="7" t="s">
        <v>3323</v>
      </c>
      <c r="F1658" s="7"/>
      <c r="G1658" s="22"/>
    </row>
    <row r="1659" spans="1:7" ht="20.25" hidden="1" customHeight="1">
      <c r="A1659" s="10">
        <v>32533</v>
      </c>
      <c r="B1659" s="10">
        <v>36533</v>
      </c>
      <c r="C1659" s="102">
        <f t="shared" si="25"/>
        <v>32533</v>
      </c>
      <c r="D1659" s="10" t="s">
        <v>498</v>
      </c>
      <c r="E1659" s="7" t="s">
        <v>3324</v>
      </c>
      <c r="F1659" s="7"/>
      <c r="G1659" s="22"/>
    </row>
    <row r="1660" spans="1:7" ht="20.25" hidden="1" customHeight="1">
      <c r="A1660" s="10">
        <v>32534</v>
      </c>
      <c r="B1660" s="10">
        <v>36534</v>
      </c>
      <c r="C1660" s="102">
        <f t="shared" si="25"/>
        <v>32534</v>
      </c>
      <c r="D1660" s="10" t="s">
        <v>498</v>
      </c>
      <c r="E1660" s="7" t="s">
        <v>3325</v>
      </c>
      <c r="F1660" s="7"/>
      <c r="G1660" s="22"/>
    </row>
    <row r="1661" spans="1:7" ht="20.25" hidden="1" customHeight="1">
      <c r="A1661" s="10">
        <v>32535</v>
      </c>
      <c r="B1661" s="10">
        <v>36535</v>
      </c>
      <c r="C1661" s="102">
        <f t="shared" si="25"/>
        <v>32535</v>
      </c>
      <c r="D1661" s="10" t="s">
        <v>498</v>
      </c>
      <c r="E1661" s="7" t="s">
        <v>3326</v>
      </c>
      <c r="F1661" s="7"/>
      <c r="G1661" s="22"/>
    </row>
    <row r="1662" spans="1:7" ht="20.25" hidden="1" customHeight="1">
      <c r="A1662" s="10">
        <v>32536</v>
      </c>
      <c r="B1662" s="10">
        <v>36536</v>
      </c>
      <c r="C1662" s="102">
        <f t="shared" si="25"/>
        <v>32536</v>
      </c>
      <c r="D1662" s="10" t="s">
        <v>498</v>
      </c>
      <c r="E1662" s="7" t="s">
        <v>3327</v>
      </c>
      <c r="F1662" s="7"/>
      <c r="G1662" s="22"/>
    </row>
    <row r="1663" spans="1:7" ht="20.25" hidden="1" customHeight="1">
      <c r="A1663" s="10">
        <v>32537</v>
      </c>
      <c r="B1663" s="10">
        <v>36537</v>
      </c>
      <c r="C1663" s="102">
        <f t="shared" si="25"/>
        <v>32537</v>
      </c>
      <c r="D1663" s="10" t="s">
        <v>498</v>
      </c>
      <c r="E1663" s="7" t="s">
        <v>3328</v>
      </c>
      <c r="F1663" s="7"/>
      <c r="G1663" s="22"/>
    </row>
    <row r="1664" spans="1:7" ht="20.25" hidden="1" customHeight="1">
      <c r="A1664" s="10">
        <v>32538</v>
      </c>
      <c r="B1664" s="10">
        <v>36538</v>
      </c>
      <c r="C1664" s="102">
        <f t="shared" si="25"/>
        <v>32538</v>
      </c>
      <c r="D1664" s="10" t="s">
        <v>498</v>
      </c>
      <c r="E1664" s="7" t="s">
        <v>3329</v>
      </c>
      <c r="F1664" s="7"/>
      <c r="G1664" s="22"/>
    </row>
    <row r="1665" spans="1:7" ht="20.25" hidden="1" customHeight="1">
      <c r="A1665" s="10">
        <v>32539</v>
      </c>
      <c r="B1665" s="10">
        <v>36539</v>
      </c>
      <c r="C1665" s="102">
        <f t="shared" si="25"/>
        <v>32539</v>
      </c>
      <c r="D1665" s="10" t="s">
        <v>498</v>
      </c>
      <c r="E1665" s="7" t="s">
        <v>3330</v>
      </c>
      <c r="F1665" s="7"/>
      <c r="G1665" s="22"/>
    </row>
    <row r="1666" spans="1:7" ht="20.25" hidden="1" customHeight="1">
      <c r="A1666" s="10">
        <v>32540</v>
      </c>
      <c r="B1666" s="10">
        <v>36540</v>
      </c>
      <c r="C1666" s="102">
        <f t="shared" si="25"/>
        <v>32540</v>
      </c>
      <c r="D1666" s="10" t="s">
        <v>498</v>
      </c>
      <c r="E1666" s="7" t="s">
        <v>3331</v>
      </c>
      <c r="F1666" s="7"/>
      <c r="G1666" s="22"/>
    </row>
    <row r="1667" spans="1:7" ht="20.25" hidden="1" customHeight="1">
      <c r="A1667" s="10">
        <v>32541</v>
      </c>
      <c r="B1667" s="10">
        <v>36541</v>
      </c>
      <c r="C1667" s="102">
        <f t="shared" si="25"/>
        <v>32541</v>
      </c>
      <c r="D1667" s="10" t="s">
        <v>498</v>
      </c>
      <c r="E1667" s="7" t="s">
        <v>3332</v>
      </c>
      <c r="F1667" s="7"/>
      <c r="G1667" s="22"/>
    </row>
    <row r="1668" spans="1:7" ht="20.25" hidden="1" customHeight="1">
      <c r="A1668" s="10">
        <v>32542</v>
      </c>
      <c r="B1668" s="10">
        <v>36542</v>
      </c>
      <c r="C1668" s="102">
        <f t="shared" ref="C1668:C1731" si="26">IF(ISERROR(FIND("B_Epic",E1668)),A1668,A1668+10000)</f>
        <v>32542</v>
      </c>
      <c r="D1668" s="10" t="s">
        <v>498</v>
      </c>
      <c r="E1668" s="7" t="s">
        <v>3333</v>
      </c>
      <c r="F1668" s="7"/>
      <c r="G1668" s="22"/>
    </row>
    <row r="1669" spans="1:7" ht="20.25" hidden="1" customHeight="1">
      <c r="A1669" s="10">
        <v>32543</v>
      </c>
      <c r="B1669" s="10">
        <v>36543</v>
      </c>
      <c r="C1669" s="102">
        <f t="shared" si="26"/>
        <v>32543</v>
      </c>
      <c r="D1669" s="10" t="s">
        <v>498</v>
      </c>
      <c r="E1669" s="7" t="s">
        <v>3334</v>
      </c>
      <c r="F1669" s="7"/>
      <c r="G1669" s="22"/>
    </row>
    <row r="1670" spans="1:7" ht="20.25" hidden="1" customHeight="1">
      <c r="A1670" s="10">
        <v>32544</v>
      </c>
      <c r="B1670" s="10">
        <v>36544</v>
      </c>
      <c r="C1670" s="102">
        <f t="shared" si="26"/>
        <v>32544</v>
      </c>
      <c r="D1670" s="10" t="s">
        <v>498</v>
      </c>
      <c r="E1670" s="7" t="s">
        <v>3335</v>
      </c>
      <c r="F1670" s="7"/>
      <c r="G1670" s="22"/>
    </row>
    <row r="1671" spans="1:7" ht="20.25" hidden="1" customHeight="1">
      <c r="A1671" s="10">
        <v>32545</v>
      </c>
      <c r="B1671" s="10">
        <v>36545</v>
      </c>
      <c r="C1671" s="102">
        <f t="shared" si="26"/>
        <v>32545</v>
      </c>
      <c r="D1671" s="10" t="s">
        <v>498</v>
      </c>
      <c r="E1671" s="7" t="s">
        <v>3336</v>
      </c>
      <c r="F1671" s="7"/>
      <c r="G1671" s="22"/>
    </row>
    <row r="1672" spans="1:7" ht="20.25" hidden="1" customHeight="1">
      <c r="A1672" s="10">
        <v>32546</v>
      </c>
      <c r="B1672" s="10">
        <v>36546</v>
      </c>
      <c r="C1672" s="102">
        <f t="shared" si="26"/>
        <v>32546</v>
      </c>
      <c r="D1672" s="10" t="s">
        <v>498</v>
      </c>
      <c r="E1672" s="7" t="s">
        <v>3337</v>
      </c>
      <c r="F1672" s="7"/>
      <c r="G1672" s="22"/>
    </row>
    <row r="1673" spans="1:7" ht="20.25" hidden="1" customHeight="1">
      <c r="A1673" s="10">
        <v>32547</v>
      </c>
      <c r="B1673" s="10">
        <v>36547</v>
      </c>
      <c r="C1673" s="102">
        <f t="shared" si="26"/>
        <v>32547</v>
      </c>
      <c r="D1673" s="10" t="s">
        <v>498</v>
      </c>
      <c r="E1673" s="7" t="s">
        <v>3338</v>
      </c>
      <c r="F1673" s="7"/>
      <c r="G1673" s="22"/>
    </row>
    <row r="1674" spans="1:7" ht="20.25" hidden="1" customHeight="1">
      <c r="A1674" s="10">
        <v>32548</v>
      </c>
      <c r="B1674" s="10">
        <v>36548</v>
      </c>
      <c r="C1674" s="102">
        <f t="shared" si="26"/>
        <v>32548</v>
      </c>
      <c r="D1674" s="10" t="s">
        <v>498</v>
      </c>
      <c r="E1674" s="7" t="s">
        <v>3339</v>
      </c>
      <c r="F1674" s="7"/>
      <c r="G1674" s="22"/>
    </row>
    <row r="1675" spans="1:7" ht="20.25" hidden="1" customHeight="1">
      <c r="A1675" s="10">
        <v>32549</v>
      </c>
      <c r="B1675" s="10">
        <v>36549</v>
      </c>
      <c r="C1675" s="102">
        <f t="shared" si="26"/>
        <v>32549</v>
      </c>
      <c r="D1675" s="10" t="s">
        <v>498</v>
      </c>
      <c r="E1675" s="7" t="s">
        <v>3340</v>
      </c>
      <c r="F1675" s="7"/>
      <c r="G1675" s="22"/>
    </row>
    <row r="1676" spans="1:7" ht="20.25" hidden="1" customHeight="1">
      <c r="A1676" s="10">
        <v>32550</v>
      </c>
      <c r="B1676" s="10">
        <v>36550</v>
      </c>
      <c r="C1676" s="102">
        <f t="shared" si="26"/>
        <v>32550</v>
      </c>
      <c r="D1676" s="10" t="s">
        <v>498</v>
      </c>
      <c r="E1676" s="7" t="s">
        <v>3341</v>
      </c>
      <c r="F1676" s="7"/>
      <c r="G1676" s="22"/>
    </row>
    <row r="1677" spans="1:7" ht="20.25" hidden="1" customHeight="1">
      <c r="A1677" s="10">
        <v>32551</v>
      </c>
      <c r="B1677" s="10">
        <v>36551</v>
      </c>
      <c r="C1677" s="102">
        <f t="shared" si="26"/>
        <v>32551</v>
      </c>
      <c r="D1677" s="10" t="s">
        <v>498</v>
      </c>
      <c r="E1677" s="7" t="s">
        <v>3342</v>
      </c>
      <c r="F1677" s="7"/>
      <c r="G1677" s="22"/>
    </row>
    <row r="1678" spans="1:7" ht="20.25" hidden="1" customHeight="1">
      <c r="A1678" s="10">
        <v>32552</v>
      </c>
      <c r="B1678" s="10">
        <v>36552</v>
      </c>
      <c r="C1678" s="102">
        <f t="shared" si="26"/>
        <v>32552</v>
      </c>
      <c r="D1678" s="10" t="s">
        <v>498</v>
      </c>
      <c r="E1678" s="7" t="s">
        <v>3343</v>
      </c>
      <c r="F1678" s="7"/>
      <c r="G1678" s="22"/>
    </row>
    <row r="1679" spans="1:7" ht="20.25" hidden="1" customHeight="1">
      <c r="A1679" s="10">
        <v>32553</v>
      </c>
      <c r="B1679" s="10">
        <v>36553</v>
      </c>
      <c r="C1679" s="102">
        <f t="shared" si="26"/>
        <v>32553</v>
      </c>
      <c r="D1679" s="10" t="s">
        <v>498</v>
      </c>
      <c r="E1679" s="7" t="s">
        <v>3344</v>
      </c>
      <c r="F1679" s="7"/>
      <c r="G1679" s="22"/>
    </row>
    <row r="1680" spans="1:7" ht="20.25" hidden="1" customHeight="1">
      <c r="A1680" s="10">
        <v>32554</v>
      </c>
      <c r="B1680" s="10">
        <v>36554</v>
      </c>
      <c r="C1680" s="102">
        <f t="shared" si="26"/>
        <v>32554</v>
      </c>
      <c r="D1680" s="10" t="s">
        <v>498</v>
      </c>
      <c r="E1680" s="7" t="s">
        <v>3345</v>
      </c>
      <c r="F1680" s="7"/>
      <c r="G1680" s="22"/>
    </row>
    <row r="1681" spans="1:7" ht="20.25" hidden="1" customHeight="1">
      <c r="A1681" s="10">
        <v>32555</v>
      </c>
      <c r="B1681" s="10">
        <v>36555</v>
      </c>
      <c r="C1681" s="102">
        <f t="shared" si="26"/>
        <v>32555</v>
      </c>
      <c r="D1681" s="10" t="s">
        <v>498</v>
      </c>
      <c r="E1681" s="7" t="s">
        <v>3346</v>
      </c>
      <c r="F1681" s="7"/>
      <c r="G1681" s="22"/>
    </row>
    <row r="1682" spans="1:7" ht="20.25" hidden="1" customHeight="1">
      <c r="A1682" s="10">
        <v>32556</v>
      </c>
      <c r="B1682" s="10">
        <v>36556</v>
      </c>
      <c r="C1682" s="102">
        <f t="shared" si="26"/>
        <v>32556</v>
      </c>
      <c r="D1682" s="10" t="s">
        <v>498</v>
      </c>
      <c r="E1682" s="7" t="s">
        <v>3347</v>
      </c>
      <c r="F1682" s="7"/>
      <c r="G1682" s="22"/>
    </row>
    <row r="1683" spans="1:7" ht="20.25" hidden="1" customHeight="1">
      <c r="A1683" s="10">
        <v>32557</v>
      </c>
      <c r="B1683" s="10">
        <v>36557</v>
      </c>
      <c r="C1683" s="102">
        <f t="shared" si="26"/>
        <v>32557</v>
      </c>
      <c r="D1683" s="10" t="s">
        <v>498</v>
      </c>
      <c r="E1683" s="7" t="s">
        <v>3348</v>
      </c>
      <c r="F1683" s="7"/>
      <c r="G1683" s="22"/>
    </row>
    <row r="1684" spans="1:7" ht="20.25" hidden="1" customHeight="1">
      <c r="A1684" s="10">
        <v>32558</v>
      </c>
      <c r="B1684" s="10">
        <v>36558</v>
      </c>
      <c r="C1684" s="102">
        <f t="shared" si="26"/>
        <v>32558</v>
      </c>
      <c r="D1684" s="10" t="s">
        <v>498</v>
      </c>
      <c r="E1684" s="7" t="s">
        <v>3349</v>
      </c>
      <c r="F1684" s="7"/>
      <c r="G1684" s="22"/>
    </row>
    <row r="1685" spans="1:7" ht="20.25" hidden="1" customHeight="1">
      <c r="A1685" s="10">
        <v>32559</v>
      </c>
      <c r="B1685" s="10">
        <v>36559</v>
      </c>
      <c r="C1685" s="102">
        <f t="shared" si="26"/>
        <v>32559</v>
      </c>
      <c r="D1685" s="10" t="s">
        <v>498</v>
      </c>
      <c r="E1685" s="7" t="s">
        <v>3350</v>
      </c>
      <c r="F1685" s="7"/>
      <c r="G1685" s="22"/>
    </row>
    <row r="1686" spans="1:7" ht="20.25" hidden="1" customHeight="1">
      <c r="A1686" s="10">
        <v>32560</v>
      </c>
      <c r="B1686" s="10">
        <v>36560</v>
      </c>
      <c r="C1686" s="102">
        <f t="shared" si="26"/>
        <v>32560</v>
      </c>
      <c r="D1686" s="10" t="s">
        <v>498</v>
      </c>
      <c r="E1686" s="7" t="s">
        <v>3351</v>
      </c>
      <c r="F1686" s="7"/>
      <c r="G1686" s="22"/>
    </row>
    <row r="1687" spans="1:7" ht="20.25" hidden="1" customHeight="1">
      <c r="A1687" s="10">
        <v>32561</v>
      </c>
      <c r="B1687" s="10">
        <v>36561</v>
      </c>
      <c r="C1687" s="102">
        <f t="shared" si="26"/>
        <v>32561</v>
      </c>
      <c r="D1687" s="10" t="s">
        <v>498</v>
      </c>
      <c r="E1687" s="7" t="s">
        <v>3352</v>
      </c>
      <c r="F1687" s="7"/>
      <c r="G1687" s="22"/>
    </row>
    <row r="1688" spans="1:7" ht="20.25" hidden="1" customHeight="1">
      <c r="A1688" s="10">
        <v>32562</v>
      </c>
      <c r="B1688" s="10">
        <v>36562</v>
      </c>
      <c r="C1688" s="102">
        <f t="shared" si="26"/>
        <v>32562</v>
      </c>
      <c r="D1688" s="10" t="s">
        <v>498</v>
      </c>
      <c r="E1688" s="7" t="s">
        <v>3353</v>
      </c>
      <c r="F1688" s="7"/>
      <c r="G1688" s="22"/>
    </row>
    <row r="1689" spans="1:7" ht="20.25" hidden="1" customHeight="1">
      <c r="A1689" s="10">
        <v>32563</v>
      </c>
      <c r="B1689" s="10">
        <v>36563</v>
      </c>
      <c r="C1689" s="102">
        <f t="shared" si="26"/>
        <v>32563</v>
      </c>
      <c r="D1689" s="10" t="s">
        <v>498</v>
      </c>
      <c r="E1689" s="7" t="s">
        <v>3354</v>
      </c>
      <c r="F1689" s="7"/>
      <c r="G1689" s="22" t="s">
        <v>147</v>
      </c>
    </row>
    <row r="1690" spans="1:7" ht="20.25" hidden="1" customHeight="1">
      <c r="A1690" s="10">
        <v>32564</v>
      </c>
      <c r="B1690" s="10">
        <v>36564</v>
      </c>
      <c r="C1690" s="102">
        <f t="shared" si="26"/>
        <v>32564</v>
      </c>
      <c r="D1690" s="10" t="s">
        <v>498</v>
      </c>
      <c r="E1690" s="7" t="s">
        <v>3355</v>
      </c>
      <c r="F1690" s="7"/>
      <c r="G1690" s="22" t="s">
        <v>147</v>
      </c>
    </row>
    <row r="1691" spans="1:7" ht="20.25" hidden="1" customHeight="1">
      <c r="A1691" s="10">
        <v>32565</v>
      </c>
      <c r="B1691" s="10">
        <v>36565</v>
      </c>
      <c r="C1691" s="102">
        <f t="shared" si="26"/>
        <v>32565</v>
      </c>
      <c r="D1691" s="10" t="s">
        <v>498</v>
      </c>
      <c r="E1691" s="7"/>
      <c r="F1691" s="7"/>
      <c r="G1691" s="22"/>
    </row>
    <row r="1692" spans="1:7" ht="20.25" hidden="1" customHeight="1">
      <c r="A1692" s="10">
        <v>32566</v>
      </c>
      <c r="B1692" s="10">
        <v>36566</v>
      </c>
      <c r="C1692" s="102">
        <f t="shared" si="26"/>
        <v>32566</v>
      </c>
      <c r="D1692" s="10" t="s">
        <v>498</v>
      </c>
      <c r="E1692" s="7"/>
      <c r="F1692" s="7"/>
      <c r="G1692" s="22"/>
    </row>
    <row r="1693" spans="1:7" ht="20.25" hidden="1" customHeight="1">
      <c r="A1693" s="10">
        <v>32567</v>
      </c>
      <c r="B1693" s="10">
        <v>36567</v>
      </c>
      <c r="C1693" s="102">
        <f t="shared" si="26"/>
        <v>32567</v>
      </c>
      <c r="D1693" s="10" t="s">
        <v>498</v>
      </c>
      <c r="E1693" s="7"/>
      <c r="F1693" s="7"/>
      <c r="G1693" s="22"/>
    </row>
    <row r="1694" spans="1:7" ht="20.25" hidden="1" customHeight="1">
      <c r="A1694" s="10">
        <v>32568</v>
      </c>
      <c r="B1694" s="10">
        <v>36568</v>
      </c>
      <c r="C1694" s="102">
        <f t="shared" si="26"/>
        <v>32568</v>
      </c>
      <c r="D1694" s="10" t="s">
        <v>498</v>
      </c>
      <c r="E1694" s="7"/>
      <c r="F1694" s="7"/>
      <c r="G1694" s="22"/>
    </row>
    <row r="1695" spans="1:7" ht="20.25" hidden="1" customHeight="1">
      <c r="A1695" s="10">
        <v>32569</v>
      </c>
      <c r="B1695" s="10">
        <v>36569</v>
      </c>
      <c r="C1695" s="102">
        <f t="shared" si="26"/>
        <v>32569</v>
      </c>
      <c r="D1695" s="10" t="s">
        <v>498</v>
      </c>
      <c r="E1695" s="7" t="s">
        <v>3356</v>
      </c>
      <c r="F1695" s="7"/>
      <c r="G1695" s="22"/>
    </row>
    <row r="1696" spans="1:7" ht="20.25" hidden="1" customHeight="1">
      <c r="A1696" s="10">
        <v>32570</v>
      </c>
      <c r="B1696" s="10">
        <v>36570</v>
      </c>
      <c r="C1696" s="102">
        <f t="shared" si="26"/>
        <v>32570</v>
      </c>
      <c r="D1696" s="10" t="s">
        <v>498</v>
      </c>
      <c r="E1696" s="7" t="s">
        <v>3357</v>
      </c>
      <c r="F1696" s="7"/>
      <c r="G1696" s="22"/>
    </row>
    <row r="1697" spans="1:7" ht="20.25" hidden="1" customHeight="1">
      <c r="A1697" s="10">
        <v>32571</v>
      </c>
      <c r="B1697" s="10">
        <v>36571</v>
      </c>
      <c r="C1697" s="102">
        <f t="shared" si="26"/>
        <v>32571</v>
      </c>
      <c r="D1697" s="10" t="s">
        <v>498</v>
      </c>
      <c r="E1697" s="7" t="s">
        <v>3358</v>
      </c>
      <c r="F1697" s="7"/>
      <c r="G1697" s="22"/>
    </row>
    <row r="1698" spans="1:7" ht="20.25" hidden="1" customHeight="1">
      <c r="A1698" s="10">
        <v>32572</v>
      </c>
      <c r="B1698" s="10">
        <v>36572</v>
      </c>
      <c r="C1698" s="102">
        <f t="shared" si="26"/>
        <v>32572</v>
      </c>
      <c r="D1698" s="10" t="s">
        <v>498</v>
      </c>
      <c r="E1698" s="7" t="s">
        <v>3359</v>
      </c>
      <c r="F1698" s="7"/>
      <c r="G1698" s="22"/>
    </row>
    <row r="1699" spans="1:7" ht="20.25" hidden="1" customHeight="1">
      <c r="A1699" s="10">
        <v>32573</v>
      </c>
      <c r="B1699" s="10">
        <v>36573</v>
      </c>
      <c r="C1699" s="102">
        <f t="shared" si="26"/>
        <v>32573</v>
      </c>
      <c r="D1699" s="10" t="s">
        <v>498</v>
      </c>
      <c r="E1699" s="7" t="s">
        <v>3360</v>
      </c>
      <c r="F1699" s="7"/>
      <c r="G1699" s="22"/>
    </row>
    <row r="1700" spans="1:7" ht="20.25" hidden="1" customHeight="1">
      <c r="A1700" s="10">
        <v>32574</v>
      </c>
      <c r="B1700" s="10">
        <v>36574</v>
      </c>
      <c r="C1700" s="102">
        <f t="shared" si="26"/>
        <v>32574</v>
      </c>
      <c r="D1700" s="10" t="s">
        <v>498</v>
      </c>
      <c r="E1700" s="7" t="s">
        <v>3361</v>
      </c>
      <c r="F1700" s="7"/>
      <c r="G1700" s="22"/>
    </row>
    <row r="1701" spans="1:7" ht="20.25" hidden="1" customHeight="1">
      <c r="A1701" s="10">
        <v>32575</v>
      </c>
      <c r="B1701" s="10">
        <v>36575</v>
      </c>
      <c r="C1701" s="102">
        <f t="shared" si="26"/>
        <v>32575</v>
      </c>
      <c r="D1701" s="10" t="s">
        <v>498</v>
      </c>
      <c r="E1701" s="7" t="s">
        <v>3362</v>
      </c>
      <c r="F1701" s="7"/>
      <c r="G1701" s="22"/>
    </row>
    <row r="1702" spans="1:7" ht="20.25" hidden="1" customHeight="1">
      <c r="A1702" s="10">
        <v>32576</v>
      </c>
      <c r="B1702" s="10">
        <v>36576</v>
      </c>
      <c r="C1702" s="102">
        <f t="shared" si="26"/>
        <v>32576</v>
      </c>
      <c r="D1702" s="10" t="s">
        <v>498</v>
      </c>
      <c r="E1702" s="7" t="s">
        <v>3363</v>
      </c>
      <c r="F1702" s="7"/>
      <c r="G1702" s="22"/>
    </row>
    <row r="1703" spans="1:7" ht="20.25" hidden="1" customHeight="1">
      <c r="A1703" s="10">
        <v>32577</v>
      </c>
      <c r="B1703" s="10">
        <v>36577</v>
      </c>
      <c r="C1703" s="102">
        <f t="shared" si="26"/>
        <v>32577</v>
      </c>
      <c r="D1703" s="10" t="s">
        <v>498</v>
      </c>
      <c r="E1703" s="7" t="s">
        <v>3364</v>
      </c>
      <c r="F1703" s="7"/>
      <c r="G1703" s="22"/>
    </row>
    <row r="1704" spans="1:7" ht="20.25" hidden="1" customHeight="1">
      <c r="A1704" s="10">
        <v>32578</v>
      </c>
      <c r="B1704" s="10">
        <v>36578</v>
      </c>
      <c r="C1704" s="102">
        <f t="shared" si="26"/>
        <v>32578</v>
      </c>
      <c r="D1704" s="10" t="s">
        <v>498</v>
      </c>
    </row>
    <row r="1705" spans="1:7" ht="20.25" hidden="1" customHeight="1">
      <c r="A1705" s="10">
        <v>32579</v>
      </c>
      <c r="B1705" s="10">
        <v>36579</v>
      </c>
      <c r="C1705" s="102">
        <f t="shared" si="26"/>
        <v>32579</v>
      </c>
      <c r="D1705" s="10" t="s">
        <v>498</v>
      </c>
    </row>
    <row r="1706" spans="1:7" ht="20.25" hidden="1" customHeight="1">
      <c r="A1706" s="10">
        <v>32580</v>
      </c>
      <c r="B1706" s="10">
        <v>36580</v>
      </c>
      <c r="C1706" s="102">
        <f t="shared" si="26"/>
        <v>32580</v>
      </c>
      <c r="D1706" s="10" t="s">
        <v>498</v>
      </c>
    </row>
    <row r="1707" spans="1:7" ht="20.25" hidden="1" customHeight="1">
      <c r="A1707" s="10">
        <v>32581</v>
      </c>
      <c r="B1707" s="10">
        <v>36581</v>
      </c>
      <c r="C1707" s="102">
        <f t="shared" si="26"/>
        <v>32581</v>
      </c>
      <c r="D1707" s="10" t="s">
        <v>498</v>
      </c>
    </row>
    <row r="1708" spans="1:7" ht="20.25" hidden="1" customHeight="1">
      <c r="A1708" s="10">
        <v>32582</v>
      </c>
      <c r="B1708" s="10">
        <v>36582</v>
      </c>
      <c r="C1708" s="102">
        <f t="shared" si="26"/>
        <v>42582</v>
      </c>
      <c r="D1708" s="10" t="s">
        <v>498</v>
      </c>
      <c r="E1708" s="7" t="s">
        <v>3365</v>
      </c>
      <c r="F1708" s="7" t="s">
        <v>2676</v>
      </c>
      <c r="G1708" s="22"/>
    </row>
    <row r="1709" spans="1:7" ht="20.25" hidden="1" customHeight="1">
      <c r="A1709" s="10">
        <v>32583</v>
      </c>
      <c r="B1709" s="10">
        <v>36583</v>
      </c>
      <c r="C1709" s="102">
        <f t="shared" si="26"/>
        <v>42583</v>
      </c>
      <c r="D1709" s="10" t="s">
        <v>498</v>
      </c>
      <c r="E1709" s="7" t="s">
        <v>3366</v>
      </c>
      <c r="F1709" s="7" t="s">
        <v>2678</v>
      </c>
      <c r="G1709" s="22"/>
    </row>
    <row r="1710" spans="1:7" ht="20.25" hidden="1" customHeight="1">
      <c r="A1710" s="10">
        <v>32584</v>
      </c>
      <c r="B1710" s="10">
        <v>36584</v>
      </c>
      <c r="C1710" s="102">
        <f t="shared" si="26"/>
        <v>32584</v>
      </c>
      <c r="D1710" s="10" t="s">
        <v>498</v>
      </c>
      <c r="E1710" s="7" t="s">
        <v>3367</v>
      </c>
      <c r="F1710" s="7"/>
      <c r="G1710" s="22"/>
    </row>
    <row r="1711" spans="1:7" ht="20.25" hidden="1" customHeight="1">
      <c r="A1711" s="10">
        <v>32585</v>
      </c>
      <c r="B1711" s="10">
        <v>36585</v>
      </c>
      <c r="C1711" s="102">
        <f t="shared" si="26"/>
        <v>32585</v>
      </c>
      <c r="D1711" s="10" t="s">
        <v>498</v>
      </c>
      <c r="E1711" s="7" t="s">
        <v>3368</v>
      </c>
      <c r="F1711" s="7"/>
      <c r="G1711" s="22"/>
    </row>
    <row r="1712" spans="1:7" ht="20.25" hidden="1" customHeight="1">
      <c r="A1712" s="10">
        <v>32586</v>
      </c>
      <c r="B1712" s="10">
        <v>36586</v>
      </c>
      <c r="C1712" s="102">
        <f t="shared" si="26"/>
        <v>32586</v>
      </c>
      <c r="D1712" s="10" t="s">
        <v>498</v>
      </c>
      <c r="E1712" s="7" t="s">
        <v>3369</v>
      </c>
      <c r="F1712" s="7"/>
      <c r="G1712" s="22"/>
    </row>
    <row r="1713" spans="1:7" ht="20.25" hidden="1" customHeight="1">
      <c r="A1713" s="10">
        <v>32587</v>
      </c>
      <c r="B1713" s="10">
        <v>36587</v>
      </c>
      <c r="C1713" s="102">
        <f t="shared" si="26"/>
        <v>32587</v>
      </c>
      <c r="D1713" s="10" t="s">
        <v>498</v>
      </c>
      <c r="E1713" s="7" t="s">
        <v>3370</v>
      </c>
      <c r="F1713" s="7"/>
      <c r="G1713" s="22"/>
    </row>
    <row r="1714" spans="1:7" ht="20.25" hidden="1" customHeight="1">
      <c r="A1714" s="10">
        <v>32588</v>
      </c>
      <c r="B1714" s="10">
        <v>36588</v>
      </c>
      <c r="C1714" s="102">
        <f t="shared" si="26"/>
        <v>32588</v>
      </c>
      <c r="D1714" s="10" t="s">
        <v>498</v>
      </c>
      <c r="E1714" s="7" t="s">
        <v>3371</v>
      </c>
      <c r="F1714" s="7"/>
      <c r="G1714" s="22"/>
    </row>
    <row r="1715" spans="1:7" ht="20.25" hidden="1" customHeight="1">
      <c r="A1715" s="10">
        <v>32589</v>
      </c>
      <c r="B1715" s="10">
        <v>36589</v>
      </c>
      <c r="C1715" s="102">
        <f t="shared" si="26"/>
        <v>32589</v>
      </c>
      <c r="D1715" s="10" t="s">
        <v>498</v>
      </c>
      <c r="E1715" s="7" t="s">
        <v>3314</v>
      </c>
      <c r="F1715" s="7"/>
      <c r="G1715" s="22"/>
    </row>
    <row r="1716" spans="1:7" ht="20.25" hidden="1" customHeight="1">
      <c r="A1716" s="10">
        <v>32590</v>
      </c>
      <c r="B1716" s="10">
        <v>36590</v>
      </c>
      <c r="C1716" s="102">
        <f t="shared" si="26"/>
        <v>32590</v>
      </c>
      <c r="D1716" s="10" t="s">
        <v>498</v>
      </c>
      <c r="E1716" s="7" t="s">
        <v>3372</v>
      </c>
      <c r="F1716" s="7"/>
      <c r="G1716" s="22"/>
    </row>
    <row r="1717" spans="1:7" ht="20.25" hidden="1" customHeight="1">
      <c r="A1717" s="10">
        <v>32591</v>
      </c>
      <c r="B1717" s="10">
        <v>36591</v>
      </c>
      <c r="C1717" s="102">
        <f t="shared" si="26"/>
        <v>32591</v>
      </c>
      <c r="D1717" s="10" t="s">
        <v>498</v>
      </c>
      <c r="E1717" s="7" t="s">
        <v>3373</v>
      </c>
      <c r="F1717" s="7"/>
      <c r="G1717" s="22"/>
    </row>
    <row r="1718" spans="1:7" ht="20.25" hidden="1" customHeight="1">
      <c r="A1718" s="10">
        <v>32592</v>
      </c>
      <c r="B1718" s="10">
        <v>36592</v>
      </c>
      <c r="C1718" s="102">
        <f t="shared" si="26"/>
        <v>32592</v>
      </c>
      <c r="D1718" s="10" t="s">
        <v>498</v>
      </c>
      <c r="F1718" s="7"/>
      <c r="G1718" s="22"/>
    </row>
    <row r="1719" spans="1:7" ht="20.25" hidden="1" customHeight="1">
      <c r="A1719" s="10">
        <v>32593</v>
      </c>
      <c r="B1719" s="10">
        <v>36593</v>
      </c>
      <c r="C1719" s="102">
        <f t="shared" si="26"/>
        <v>42593</v>
      </c>
      <c r="D1719" s="10" t="s">
        <v>498</v>
      </c>
      <c r="E1719" s="7" t="s">
        <v>3374</v>
      </c>
      <c r="F1719" s="7"/>
      <c r="G1719" s="22"/>
    </row>
    <row r="1720" spans="1:7" ht="20.25" hidden="1" customHeight="1">
      <c r="A1720" s="10">
        <v>32594</v>
      </c>
      <c r="B1720" s="10">
        <v>36594</v>
      </c>
      <c r="C1720" s="102">
        <f t="shared" si="26"/>
        <v>42594</v>
      </c>
      <c r="D1720" s="10" t="s">
        <v>498</v>
      </c>
      <c r="E1720" s="7" t="s">
        <v>3375</v>
      </c>
      <c r="F1720" s="7"/>
      <c r="G1720" s="22"/>
    </row>
    <row r="1721" spans="1:7" ht="20.25" hidden="1" customHeight="1">
      <c r="A1721" s="10">
        <v>32595</v>
      </c>
      <c r="B1721" s="10">
        <v>36595</v>
      </c>
      <c r="C1721" s="102">
        <f t="shared" si="26"/>
        <v>32595</v>
      </c>
      <c r="D1721" s="10" t="s">
        <v>498</v>
      </c>
      <c r="E1721" s="5" t="s">
        <v>3376</v>
      </c>
      <c r="F1721" s="7"/>
      <c r="G1721" s="22"/>
    </row>
    <row r="1722" spans="1:7" ht="20.25" hidden="1" customHeight="1">
      <c r="A1722" s="10">
        <v>32596</v>
      </c>
      <c r="B1722" s="10">
        <v>36596</v>
      </c>
      <c r="C1722" s="102">
        <f t="shared" si="26"/>
        <v>32596</v>
      </c>
      <c r="D1722" s="10" t="s">
        <v>498</v>
      </c>
      <c r="E1722" s="5" t="s">
        <v>3377</v>
      </c>
      <c r="F1722" s="7"/>
      <c r="G1722" s="22"/>
    </row>
    <row r="1723" spans="1:7" ht="20.25" hidden="1" customHeight="1">
      <c r="A1723" s="10">
        <v>32597</v>
      </c>
      <c r="B1723" s="10">
        <v>36597</v>
      </c>
      <c r="C1723" s="102">
        <f t="shared" si="26"/>
        <v>32597</v>
      </c>
      <c r="D1723" s="10" t="s">
        <v>498</v>
      </c>
      <c r="E1723" s="9" t="s">
        <v>3378</v>
      </c>
      <c r="F1723" s="7"/>
      <c r="G1723" s="22"/>
    </row>
    <row r="1724" spans="1:7" ht="20.25" hidden="1" customHeight="1">
      <c r="A1724" s="10">
        <v>32598</v>
      </c>
      <c r="B1724" s="10">
        <v>36598</v>
      </c>
      <c r="C1724" s="102">
        <f t="shared" si="26"/>
        <v>32598</v>
      </c>
      <c r="D1724" s="10" t="s">
        <v>498</v>
      </c>
      <c r="E1724" s="7" t="s">
        <v>3379</v>
      </c>
      <c r="F1724" s="7"/>
      <c r="G1724" s="22"/>
    </row>
    <row r="1725" spans="1:7" ht="20.25" hidden="1" customHeight="1">
      <c r="A1725" s="10">
        <v>32599</v>
      </c>
      <c r="B1725" s="10">
        <v>36599</v>
      </c>
      <c r="C1725" s="102">
        <f t="shared" si="26"/>
        <v>32599</v>
      </c>
      <c r="D1725" s="10" t="s">
        <v>498</v>
      </c>
      <c r="E1725" s="1" t="s">
        <v>3380</v>
      </c>
      <c r="F1725" s="7"/>
      <c r="G1725" s="22"/>
    </row>
    <row r="1726" spans="1:7" ht="20.25" hidden="1" customHeight="1">
      <c r="A1726" s="10">
        <v>32600</v>
      </c>
      <c r="B1726" s="10">
        <v>36600</v>
      </c>
      <c r="C1726" s="102">
        <f t="shared" si="26"/>
        <v>32600</v>
      </c>
      <c r="D1726" s="10" t="s">
        <v>498</v>
      </c>
      <c r="E1726" s="1" t="s">
        <v>3381</v>
      </c>
      <c r="F1726" s="7"/>
      <c r="G1726" s="22"/>
    </row>
    <row r="1727" spans="1:7" ht="20.25" hidden="1" customHeight="1">
      <c r="A1727" s="10">
        <v>32601</v>
      </c>
      <c r="B1727" s="10">
        <v>36601</v>
      </c>
      <c r="C1727" s="102">
        <f t="shared" si="26"/>
        <v>32601</v>
      </c>
      <c r="D1727" s="10" t="s">
        <v>498</v>
      </c>
      <c r="E1727" s="1" t="s">
        <v>3382</v>
      </c>
      <c r="F1727" s="7"/>
      <c r="G1727" s="22"/>
    </row>
    <row r="1728" spans="1:7" ht="20.25" hidden="1" customHeight="1">
      <c r="A1728" s="10">
        <v>32602</v>
      </c>
      <c r="B1728" s="10">
        <v>36602</v>
      </c>
      <c r="C1728" s="102">
        <f t="shared" si="26"/>
        <v>32602</v>
      </c>
      <c r="D1728" s="10" t="s">
        <v>498</v>
      </c>
      <c r="E1728" s="7" t="s">
        <v>3383</v>
      </c>
      <c r="F1728" s="7"/>
      <c r="G1728" s="22"/>
    </row>
    <row r="1729" spans="1:7" ht="20.25" hidden="1" customHeight="1">
      <c r="A1729" s="10">
        <v>32603</v>
      </c>
      <c r="B1729" s="10">
        <v>36603</v>
      </c>
      <c r="C1729" s="102">
        <f t="shared" si="26"/>
        <v>32603</v>
      </c>
      <c r="D1729" s="10" t="s">
        <v>498</v>
      </c>
      <c r="E1729" s="7" t="s">
        <v>3384</v>
      </c>
      <c r="F1729" s="7"/>
      <c r="G1729" s="22"/>
    </row>
    <row r="1730" spans="1:7" ht="20.25" hidden="1" customHeight="1">
      <c r="A1730" s="10">
        <v>32604</v>
      </c>
      <c r="B1730" s="10">
        <v>36604</v>
      </c>
      <c r="C1730" s="102">
        <f t="shared" si="26"/>
        <v>32604</v>
      </c>
      <c r="D1730" s="10" t="s">
        <v>498</v>
      </c>
      <c r="E1730" s="7" t="s">
        <v>3385</v>
      </c>
      <c r="F1730" s="7"/>
      <c r="G1730" s="22"/>
    </row>
    <row r="1731" spans="1:7" ht="20.25" hidden="1" customHeight="1">
      <c r="A1731" s="10">
        <v>32605</v>
      </c>
      <c r="B1731" s="10">
        <v>36605</v>
      </c>
      <c r="C1731" s="102">
        <f t="shared" si="26"/>
        <v>32605</v>
      </c>
      <c r="D1731" s="10" t="s">
        <v>498</v>
      </c>
      <c r="E1731" s="7" t="s">
        <v>3386</v>
      </c>
      <c r="F1731" s="7"/>
      <c r="G1731" s="22"/>
    </row>
    <row r="1732" spans="1:7" ht="20.25" hidden="1" customHeight="1">
      <c r="A1732" s="10">
        <v>32606</v>
      </c>
      <c r="B1732" s="10">
        <v>36606</v>
      </c>
      <c r="C1732" s="102">
        <f t="shared" ref="C1732:C1795" si="27">IF(ISERROR(FIND("B_Epic",E1732)),A1732,A1732+10000)</f>
        <v>32606</v>
      </c>
      <c r="D1732" s="10" t="s">
        <v>498</v>
      </c>
      <c r="E1732" s="7" t="s">
        <v>3387</v>
      </c>
      <c r="F1732" s="7"/>
      <c r="G1732" s="22"/>
    </row>
    <row r="1733" spans="1:7" ht="20.25" hidden="1" customHeight="1">
      <c r="A1733" s="10">
        <v>32607</v>
      </c>
      <c r="B1733" s="10">
        <v>36607</v>
      </c>
      <c r="C1733" s="102">
        <f t="shared" si="27"/>
        <v>32607</v>
      </c>
      <c r="D1733" s="10" t="s">
        <v>498</v>
      </c>
      <c r="E1733" s="7" t="s">
        <v>3388</v>
      </c>
      <c r="F1733" s="7"/>
      <c r="G1733" s="22"/>
    </row>
    <row r="1734" spans="1:7" ht="20.25" hidden="1" customHeight="1">
      <c r="A1734" s="10">
        <v>32608</v>
      </c>
      <c r="B1734" s="10">
        <v>36608</v>
      </c>
      <c r="C1734" s="102">
        <f t="shared" si="27"/>
        <v>32608</v>
      </c>
      <c r="D1734" s="10" t="s">
        <v>498</v>
      </c>
      <c r="E1734" s="7" t="s">
        <v>3389</v>
      </c>
      <c r="F1734" s="7"/>
      <c r="G1734" s="22"/>
    </row>
    <row r="1735" spans="1:7" ht="20.25" hidden="1" customHeight="1">
      <c r="A1735" s="10">
        <v>32609</v>
      </c>
      <c r="B1735" s="10">
        <v>36609</v>
      </c>
      <c r="C1735" s="102">
        <f t="shared" si="27"/>
        <v>32609</v>
      </c>
      <c r="D1735" s="10" t="s">
        <v>498</v>
      </c>
      <c r="E1735" s="7" t="s">
        <v>3390</v>
      </c>
      <c r="F1735" s="7"/>
      <c r="G1735" s="22"/>
    </row>
    <row r="1736" spans="1:7" ht="20.25" hidden="1" customHeight="1">
      <c r="A1736" s="10">
        <v>32610</v>
      </c>
      <c r="B1736" s="10">
        <v>36610</v>
      </c>
      <c r="C1736" s="102">
        <f t="shared" si="27"/>
        <v>32610</v>
      </c>
      <c r="D1736" s="10" t="s">
        <v>498</v>
      </c>
      <c r="E1736" s="7" t="s">
        <v>3391</v>
      </c>
      <c r="F1736" s="7"/>
      <c r="G1736" s="22"/>
    </row>
    <row r="1737" spans="1:7" ht="20.25" hidden="1" customHeight="1">
      <c r="A1737" s="10">
        <v>32611</v>
      </c>
      <c r="B1737" s="10">
        <v>36611</v>
      </c>
      <c r="C1737" s="102">
        <f t="shared" si="27"/>
        <v>32611</v>
      </c>
      <c r="D1737" s="10" t="s">
        <v>498</v>
      </c>
      <c r="E1737" s="7" t="s">
        <v>3392</v>
      </c>
      <c r="F1737" s="7"/>
      <c r="G1737" s="22"/>
    </row>
    <row r="1738" spans="1:7" ht="20.25" hidden="1" customHeight="1">
      <c r="A1738" s="10">
        <v>32612</v>
      </c>
      <c r="B1738" s="10">
        <v>36612</v>
      </c>
      <c r="C1738" s="102">
        <f t="shared" si="27"/>
        <v>32612</v>
      </c>
      <c r="D1738" s="10" t="s">
        <v>498</v>
      </c>
      <c r="E1738" s="7" t="s">
        <v>3393</v>
      </c>
      <c r="F1738" s="7"/>
      <c r="G1738" s="22"/>
    </row>
    <row r="1739" spans="1:7" ht="20.25" hidden="1" customHeight="1">
      <c r="A1739" s="10">
        <v>32613</v>
      </c>
      <c r="B1739" s="10">
        <v>36613</v>
      </c>
      <c r="C1739" s="102">
        <f t="shared" si="27"/>
        <v>32613</v>
      </c>
      <c r="D1739" s="10" t="s">
        <v>498</v>
      </c>
      <c r="E1739" s="7" t="s">
        <v>3394</v>
      </c>
      <c r="F1739" s="7"/>
      <c r="G1739" s="22"/>
    </row>
    <row r="1740" spans="1:7" ht="20.25" hidden="1" customHeight="1">
      <c r="A1740" s="10">
        <v>32614</v>
      </c>
      <c r="B1740" s="10">
        <v>36614</v>
      </c>
      <c r="C1740" s="102">
        <f t="shared" si="27"/>
        <v>32614</v>
      </c>
      <c r="D1740" s="10" t="s">
        <v>498</v>
      </c>
      <c r="E1740" s="7" t="s">
        <v>3395</v>
      </c>
      <c r="F1740" s="7"/>
      <c r="G1740" s="22"/>
    </row>
    <row r="1741" spans="1:7" ht="20.25" hidden="1" customHeight="1">
      <c r="A1741" s="10">
        <v>32615</v>
      </c>
      <c r="B1741" s="10">
        <v>36615</v>
      </c>
      <c r="C1741" s="102">
        <f t="shared" si="27"/>
        <v>32615</v>
      </c>
      <c r="D1741" s="10" t="s">
        <v>498</v>
      </c>
      <c r="E1741" s="7"/>
      <c r="F1741" s="7"/>
      <c r="G1741" s="22"/>
    </row>
    <row r="1742" spans="1:7" ht="20.25" hidden="1" customHeight="1">
      <c r="A1742" s="10">
        <v>32616</v>
      </c>
      <c r="B1742" s="10">
        <v>36616</v>
      </c>
      <c r="C1742" s="102">
        <f t="shared" si="27"/>
        <v>32616</v>
      </c>
      <c r="D1742" s="10" t="s">
        <v>498</v>
      </c>
      <c r="E1742" s="7" t="s">
        <v>3396</v>
      </c>
      <c r="F1742" s="7"/>
      <c r="G1742" s="22"/>
    </row>
    <row r="1743" spans="1:7" ht="20.25" hidden="1" customHeight="1">
      <c r="A1743" s="10">
        <v>32617</v>
      </c>
      <c r="B1743" s="10">
        <v>36617</v>
      </c>
      <c r="C1743" s="102">
        <f t="shared" si="27"/>
        <v>32617</v>
      </c>
      <c r="D1743" s="10" t="s">
        <v>498</v>
      </c>
      <c r="E1743" s="7" t="s">
        <v>3397</v>
      </c>
      <c r="F1743" s="7"/>
      <c r="G1743" s="22"/>
    </row>
    <row r="1744" spans="1:7" ht="20.25" hidden="1" customHeight="1">
      <c r="A1744" s="10">
        <v>32618</v>
      </c>
      <c r="B1744" s="10">
        <v>36618</v>
      </c>
      <c r="C1744" s="102">
        <f t="shared" si="27"/>
        <v>32618</v>
      </c>
      <c r="D1744" s="10" t="s">
        <v>498</v>
      </c>
      <c r="E1744" s="7" t="s">
        <v>3398</v>
      </c>
      <c r="F1744" s="7"/>
      <c r="G1744" s="22"/>
    </row>
    <row r="1745" spans="1:7" ht="20.25" hidden="1" customHeight="1">
      <c r="A1745" s="10">
        <v>32619</v>
      </c>
      <c r="B1745" s="10">
        <v>36619</v>
      </c>
      <c r="C1745" s="102">
        <f t="shared" si="27"/>
        <v>32619</v>
      </c>
      <c r="D1745" s="10" t="s">
        <v>498</v>
      </c>
      <c r="E1745" s="7" t="s">
        <v>3399</v>
      </c>
      <c r="F1745" s="7"/>
      <c r="G1745" s="22"/>
    </row>
    <row r="1746" spans="1:7" ht="20.25" hidden="1" customHeight="1">
      <c r="A1746" s="10">
        <v>32620</v>
      </c>
      <c r="B1746" s="10">
        <v>36620</v>
      </c>
      <c r="C1746" s="102">
        <f t="shared" si="27"/>
        <v>32620</v>
      </c>
      <c r="D1746" s="10" t="s">
        <v>498</v>
      </c>
      <c r="E1746" s="7" t="s">
        <v>3400</v>
      </c>
      <c r="F1746" s="7"/>
      <c r="G1746" s="22"/>
    </row>
    <row r="1747" spans="1:7" ht="20.25" hidden="1" customHeight="1">
      <c r="A1747" s="10">
        <v>32621</v>
      </c>
      <c r="B1747" s="10">
        <v>36621</v>
      </c>
      <c r="C1747" s="102">
        <f t="shared" si="27"/>
        <v>32621</v>
      </c>
      <c r="D1747" s="10" t="s">
        <v>498</v>
      </c>
      <c r="E1747" s="7" t="s">
        <v>3401</v>
      </c>
      <c r="F1747" s="7"/>
      <c r="G1747" s="22"/>
    </row>
    <row r="1748" spans="1:7" ht="20.25" hidden="1" customHeight="1">
      <c r="A1748" s="10">
        <v>32622</v>
      </c>
      <c r="B1748" s="10">
        <v>36622</v>
      </c>
      <c r="C1748" s="102">
        <f t="shared" si="27"/>
        <v>32622</v>
      </c>
      <c r="D1748" s="10" t="s">
        <v>498</v>
      </c>
      <c r="E1748" s="103" t="s">
        <v>3402</v>
      </c>
      <c r="F1748" s="7"/>
      <c r="G1748" s="22"/>
    </row>
    <row r="1749" spans="1:7" ht="20.25" hidden="1" customHeight="1">
      <c r="A1749" s="10">
        <v>32623</v>
      </c>
      <c r="B1749" s="10">
        <v>36623</v>
      </c>
      <c r="C1749" s="102">
        <f t="shared" si="27"/>
        <v>32623</v>
      </c>
      <c r="D1749" s="10" t="s">
        <v>498</v>
      </c>
      <c r="E1749" s="11" t="s">
        <v>3403</v>
      </c>
      <c r="F1749" s="7"/>
      <c r="G1749" s="22"/>
    </row>
    <row r="1750" spans="1:7" ht="20.25" hidden="1" customHeight="1">
      <c r="A1750" s="10">
        <v>32624</v>
      </c>
      <c r="B1750" s="10">
        <v>36624</v>
      </c>
      <c r="C1750" s="102">
        <f t="shared" si="27"/>
        <v>32624</v>
      </c>
      <c r="D1750" s="10" t="s">
        <v>498</v>
      </c>
      <c r="E1750" s="11" t="s">
        <v>3404</v>
      </c>
      <c r="F1750" s="7"/>
      <c r="G1750" s="22"/>
    </row>
    <row r="1751" spans="1:7" ht="20.25" hidden="1" customHeight="1" thickBot="1">
      <c r="A1751" s="10">
        <v>32625</v>
      </c>
      <c r="B1751" s="10">
        <v>36625</v>
      </c>
      <c r="C1751" s="102">
        <f t="shared" si="27"/>
        <v>32625</v>
      </c>
      <c r="D1751" s="10" t="s">
        <v>498</v>
      </c>
      <c r="E1751" s="7" t="s">
        <v>3405</v>
      </c>
      <c r="F1751" s="7"/>
      <c r="G1751" s="22"/>
    </row>
    <row r="1752" spans="1:7" ht="20.25" hidden="1" customHeight="1">
      <c r="A1752" s="10">
        <v>32626</v>
      </c>
      <c r="B1752" s="10">
        <v>36626</v>
      </c>
      <c r="C1752" s="102">
        <f t="shared" si="27"/>
        <v>32626</v>
      </c>
      <c r="D1752" s="87" t="s">
        <v>498</v>
      </c>
      <c r="E1752" s="204" t="s">
        <v>3406</v>
      </c>
      <c r="F1752" s="101"/>
      <c r="G1752" s="22"/>
    </row>
    <row r="1753" spans="1:7" ht="20.25" hidden="1" customHeight="1">
      <c r="A1753" s="10">
        <v>32627</v>
      </c>
      <c r="B1753" s="10">
        <v>36627</v>
      </c>
      <c r="C1753" s="102">
        <f t="shared" si="27"/>
        <v>32627</v>
      </c>
      <c r="D1753" s="10" t="s">
        <v>498</v>
      </c>
      <c r="E1753" s="7" t="s">
        <v>2939</v>
      </c>
      <c r="F1753" s="7"/>
      <c r="G1753" s="22"/>
    </row>
    <row r="1754" spans="1:7" ht="20.25" hidden="1" customHeight="1">
      <c r="A1754" s="10">
        <v>32628</v>
      </c>
      <c r="B1754" s="10">
        <v>36628</v>
      </c>
      <c r="C1754" s="102">
        <f t="shared" si="27"/>
        <v>32628</v>
      </c>
      <c r="D1754" s="10" t="s">
        <v>498</v>
      </c>
      <c r="E1754" s="7" t="s">
        <v>2940</v>
      </c>
      <c r="F1754" s="7"/>
      <c r="G1754" s="22"/>
    </row>
    <row r="1755" spans="1:7" ht="20.25" hidden="1" customHeight="1">
      <c r="A1755" s="10">
        <v>32629</v>
      </c>
      <c r="B1755" s="10">
        <v>36629</v>
      </c>
      <c r="C1755" s="102">
        <f t="shared" si="27"/>
        <v>42629</v>
      </c>
      <c r="D1755" s="10" t="s">
        <v>498</v>
      </c>
      <c r="E1755" s="7" t="s">
        <v>3407</v>
      </c>
      <c r="F1755" s="7" t="s">
        <v>3408</v>
      </c>
      <c r="G1755" s="22"/>
    </row>
    <row r="1756" spans="1:7" ht="20.25" hidden="1" customHeight="1">
      <c r="A1756" s="10">
        <v>32630</v>
      </c>
      <c r="B1756" s="10">
        <v>36630</v>
      </c>
      <c r="C1756" s="102">
        <f t="shared" si="27"/>
        <v>32630</v>
      </c>
      <c r="D1756" s="10" t="s">
        <v>498</v>
      </c>
      <c r="E1756" s="7" t="s">
        <v>3409</v>
      </c>
      <c r="F1756" s="7"/>
      <c r="G1756" s="22"/>
    </row>
    <row r="1757" spans="1:7" ht="20.25" hidden="1" customHeight="1">
      <c r="A1757" s="10">
        <v>32631</v>
      </c>
      <c r="B1757" s="10">
        <v>36631</v>
      </c>
      <c r="C1757" s="102">
        <f t="shared" si="27"/>
        <v>32631</v>
      </c>
      <c r="D1757" s="10" t="s">
        <v>498</v>
      </c>
      <c r="E1757" s="7" t="s">
        <v>3410</v>
      </c>
      <c r="F1757" s="7"/>
      <c r="G1757" s="22"/>
    </row>
    <row r="1758" spans="1:7" ht="20.25" hidden="1" customHeight="1">
      <c r="A1758" s="10">
        <v>32632</v>
      </c>
      <c r="B1758" s="10">
        <v>36632</v>
      </c>
      <c r="C1758" s="102">
        <f t="shared" si="27"/>
        <v>32632</v>
      </c>
      <c r="D1758" s="10" t="s">
        <v>498</v>
      </c>
      <c r="E1758" s="7" t="s">
        <v>3411</v>
      </c>
      <c r="F1758" s="7"/>
      <c r="G1758" s="22"/>
    </row>
    <row r="1759" spans="1:7" ht="20.25" hidden="1" customHeight="1">
      <c r="A1759" s="10">
        <v>32633</v>
      </c>
      <c r="B1759" s="10">
        <v>36633</v>
      </c>
      <c r="C1759" s="102">
        <f t="shared" si="27"/>
        <v>32633</v>
      </c>
      <c r="D1759" s="10" t="s">
        <v>498</v>
      </c>
      <c r="E1759" s="7" t="s">
        <v>3412</v>
      </c>
      <c r="F1759" s="7"/>
      <c r="G1759" s="22"/>
    </row>
    <row r="1760" spans="1:7" ht="20.25" hidden="1" customHeight="1">
      <c r="A1760" s="10">
        <v>32634</v>
      </c>
      <c r="B1760" s="10">
        <v>36634</v>
      </c>
      <c r="C1760" s="102">
        <f t="shared" si="27"/>
        <v>32634</v>
      </c>
      <c r="D1760" s="10" t="s">
        <v>498</v>
      </c>
      <c r="E1760" s="7" t="s">
        <v>3413</v>
      </c>
      <c r="F1760" s="7"/>
      <c r="G1760" s="22"/>
    </row>
    <row r="1761" spans="1:7" ht="20.25" hidden="1" customHeight="1">
      <c r="A1761" s="10">
        <v>32635</v>
      </c>
      <c r="B1761" s="10">
        <v>36635</v>
      </c>
      <c r="C1761" s="102">
        <f t="shared" si="27"/>
        <v>32635</v>
      </c>
      <c r="D1761" s="10" t="s">
        <v>498</v>
      </c>
      <c r="E1761" s="7" t="s">
        <v>3414</v>
      </c>
      <c r="F1761" s="7"/>
      <c r="G1761" s="22"/>
    </row>
    <row r="1762" spans="1:7" ht="20.25" hidden="1" customHeight="1">
      <c r="A1762" s="10">
        <v>32636</v>
      </c>
      <c r="B1762" s="10">
        <v>36636</v>
      </c>
      <c r="C1762" s="102">
        <f t="shared" si="27"/>
        <v>32636</v>
      </c>
      <c r="D1762" s="10" t="s">
        <v>498</v>
      </c>
      <c r="E1762" s="7" t="s">
        <v>3415</v>
      </c>
      <c r="F1762" s="7"/>
      <c r="G1762" s="22"/>
    </row>
    <row r="1763" spans="1:7" ht="20.25" hidden="1" customHeight="1">
      <c r="A1763" s="10">
        <v>32637</v>
      </c>
      <c r="B1763" s="10">
        <v>36637</v>
      </c>
      <c r="C1763" s="102">
        <f t="shared" si="27"/>
        <v>32637</v>
      </c>
      <c r="D1763" s="10" t="s">
        <v>498</v>
      </c>
      <c r="E1763" s="7" t="s">
        <v>3416</v>
      </c>
      <c r="F1763" s="7"/>
      <c r="G1763" s="22"/>
    </row>
    <row r="1764" spans="1:7" ht="20.25" hidden="1" customHeight="1">
      <c r="A1764" s="10">
        <v>32638</v>
      </c>
      <c r="B1764" s="10">
        <v>36638</v>
      </c>
      <c r="C1764" s="102">
        <f t="shared" si="27"/>
        <v>32638</v>
      </c>
      <c r="D1764" s="10" t="s">
        <v>498</v>
      </c>
      <c r="E1764" s="7" t="s">
        <v>3417</v>
      </c>
      <c r="F1764" s="7"/>
      <c r="G1764" s="22"/>
    </row>
    <row r="1765" spans="1:7" ht="20.25" hidden="1" customHeight="1">
      <c r="A1765" s="10">
        <v>32639</v>
      </c>
      <c r="B1765" s="10">
        <v>36639</v>
      </c>
      <c r="C1765" s="102">
        <f t="shared" si="27"/>
        <v>32639</v>
      </c>
      <c r="D1765" s="10" t="s">
        <v>498</v>
      </c>
      <c r="E1765" s="7" t="s">
        <v>3418</v>
      </c>
      <c r="F1765" s="7" t="s">
        <v>2574</v>
      </c>
      <c r="G1765" s="22"/>
    </row>
    <row r="1766" spans="1:7" ht="20.25" hidden="1" customHeight="1">
      <c r="A1766" s="10">
        <v>32640</v>
      </c>
      <c r="B1766" s="10">
        <v>36640</v>
      </c>
      <c r="C1766" s="102">
        <f t="shared" si="27"/>
        <v>32640</v>
      </c>
      <c r="D1766" s="10" t="s">
        <v>498</v>
      </c>
      <c r="E1766" s="7" t="s">
        <v>3419</v>
      </c>
      <c r="F1766" s="7"/>
      <c r="G1766" s="22"/>
    </row>
    <row r="1767" spans="1:7" ht="20.25" hidden="1" customHeight="1">
      <c r="A1767" s="10">
        <v>32641</v>
      </c>
      <c r="B1767" s="10">
        <v>36641</v>
      </c>
      <c r="C1767" s="102">
        <f t="shared" si="27"/>
        <v>32641</v>
      </c>
      <c r="D1767" s="10" t="s">
        <v>498</v>
      </c>
      <c r="E1767" s="7" t="s">
        <v>3420</v>
      </c>
      <c r="F1767" s="7"/>
      <c r="G1767" s="22"/>
    </row>
    <row r="1768" spans="1:7" ht="20.25" hidden="1" customHeight="1">
      <c r="A1768" s="10">
        <v>32642</v>
      </c>
      <c r="B1768" s="10">
        <v>36642</v>
      </c>
      <c r="C1768" s="102">
        <f t="shared" si="27"/>
        <v>32642</v>
      </c>
      <c r="D1768" s="10" t="s">
        <v>498</v>
      </c>
      <c r="E1768" s="7" t="s">
        <v>3421</v>
      </c>
      <c r="F1768" s="7"/>
      <c r="G1768" s="22"/>
    </row>
    <row r="1769" spans="1:7" ht="20.25" hidden="1" customHeight="1">
      <c r="A1769" s="10">
        <v>32643</v>
      </c>
      <c r="B1769" s="10">
        <v>36643</v>
      </c>
      <c r="C1769" s="102">
        <f t="shared" si="27"/>
        <v>32643</v>
      </c>
      <c r="D1769" s="10" t="s">
        <v>498</v>
      </c>
      <c r="E1769" s="7" t="s">
        <v>3422</v>
      </c>
      <c r="F1769" s="7"/>
      <c r="G1769" s="22"/>
    </row>
    <row r="1770" spans="1:7" ht="20.25" hidden="1" customHeight="1">
      <c r="A1770" s="10">
        <v>32644</v>
      </c>
      <c r="B1770" s="10">
        <v>36644</v>
      </c>
      <c r="C1770" s="102">
        <f t="shared" si="27"/>
        <v>32644</v>
      </c>
      <c r="D1770" s="10" t="s">
        <v>498</v>
      </c>
      <c r="E1770" s="7" t="s">
        <v>3423</v>
      </c>
      <c r="F1770" s="7"/>
      <c r="G1770" s="22"/>
    </row>
    <row r="1771" spans="1:7" ht="20.25" hidden="1" customHeight="1">
      <c r="A1771" s="10">
        <v>32645</v>
      </c>
      <c r="B1771" s="10">
        <v>36645</v>
      </c>
      <c r="C1771" s="102">
        <f t="shared" si="27"/>
        <v>32645</v>
      </c>
      <c r="D1771" s="10" t="s">
        <v>498</v>
      </c>
      <c r="E1771" s="7" t="s">
        <v>3424</v>
      </c>
      <c r="F1771" s="7"/>
      <c r="G1771" s="22"/>
    </row>
    <row r="1772" spans="1:7" ht="20.25" hidden="1" customHeight="1">
      <c r="A1772" s="10">
        <v>32646</v>
      </c>
      <c r="B1772" s="10">
        <v>36646</v>
      </c>
      <c r="C1772" s="102">
        <f t="shared" si="27"/>
        <v>32646</v>
      </c>
      <c r="D1772" s="10" t="s">
        <v>498</v>
      </c>
      <c r="E1772" s="7" t="s">
        <v>3425</v>
      </c>
      <c r="F1772" s="7"/>
      <c r="G1772" s="22"/>
    </row>
    <row r="1773" spans="1:7" ht="20.25" hidden="1" customHeight="1">
      <c r="A1773" s="10">
        <v>32647</v>
      </c>
      <c r="B1773" s="10">
        <v>36647</v>
      </c>
      <c r="C1773" s="102">
        <f t="shared" si="27"/>
        <v>32647</v>
      </c>
      <c r="D1773" s="10" t="s">
        <v>498</v>
      </c>
      <c r="E1773" s="7" t="s">
        <v>3426</v>
      </c>
      <c r="F1773" s="7"/>
      <c r="G1773" s="22"/>
    </row>
    <row r="1774" spans="1:7" ht="20.25" hidden="1" customHeight="1">
      <c r="A1774" s="10">
        <v>32648</v>
      </c>
      <c r="B1774" s="10">
        <v>36648</v>
      </c>
      <c r="C1774" s="102">
        <f t="shared" si="27"/>
        <v>32648</v>
      </c>
      <c r="D1774" s="10" t="s">
        <v>498</v>
      </c>
      <c r="E1774" s="7" t="s">
        <v>3427</v>
      </c>
      <c r="F1774" s="7"/>
      <c r="G1774" s="22"/>
    </row>
    <row r="1775" spans="1:7" ht="20.25" hidden="1" customHeight="1">
      <c r="A1775" s="10">
        <v>32649</v>
      </c>
      <c r="B1775" s="10">
        <v>36649</v>
      </c>
      <c r="C1775" s="102">
        <f t="shared" si="27"/>
        <v>32649</v>
      </c>
      <c r="D1775" s="10" t="s">
        <v>498</v>
      </c>
      <c r="E1775" s="7" t="s">
        <v>3428</v>
      </c>
      <c r="F1775" s="7"/>
      <c r="G1775" s="22"/>
    </row>
    <row r="1776" spans="1:7" ht="20.25" hidden="1" customHeight="1">
      <c r="A1776" s="10">
        <v>32650</v>
      </c>
      <c r="B1776" s="10">
        <v>36650</v>
      </c>
      <c r="C1776" s="102">
        <f t="shared" si="27"/>
        <v>32650</v>
      </c>
      <c r="D1776" s="10" t="s">
        <v>498</v>
      </c>
      <c r="E1776" s="7" t="s">
        <v>3429</v>
      </c>
      <c r="F1776" s="7"/>
      <c r="G1776" s="22"/>
    </row>
    <row r="1777" spans="1:7" ht="20.25" hidden="1" customHeight="1">
      <c r="A1777" s="10">
        <v>32651</v>
      </c>
      <c r="B1777" s="10">
        <v>36651</v>
      </c>
      <c r="C1777" s="102">
        <f t="shared" si="27"/>
        <v>32651</v>
      </c>
      <c r="D1777" s="10" t="s">
        <v>498</v>
      </c>
      <c r="E1777" s="7" t="s">
        <v>3430</v>
      </c>
      <c r="F1777" s="7"/>
      <c r="G1777" s="22"/>
    </row>
    <row r="1778" spans="1:7" ht="20.25" hidden="1" customHeight="1">
      <c r="A1778" s="10">
        <v>32652</v>
      </c>
      <c r="B1778" s="10">
        <v>36652</v>
      </c>
      <c r="C1778" s="102">
        <f t="shared" si="27"/>
        <v>42652</v>
      </c>
      <c r="D1778" s="10" t="s">
        <v>498</v>
      </c>
      <c r="E1778" s="7" t="s">
        <v>3431</v>
      </c>
      <c r="F1778" s="7"/>
      <c r="G1778" s="22"/>
    </row>
    <row r="1779" spans="1:7" ht="20.25" hidden="1" customHeight="1">
      <c r="A1779" s="10">
        <v>32653</v>
      </c>
      <c r="B1779" s="10">
        <v>36653</v>
      </c>
      <c r="C1779" s="102">
        <f t="shared" si="27"/>
        <v>32653</v>
      </c>
      <c r="D1779" s="10" t="s">
        <v>498</v>
      </c>
      <c r="E1779" s="7"/>
      <c r="F1779" s="7"/>
      <c r="G1779" s="22"/>
    </row>
    <row r="1780" spans="1:7" ht="20.25" hidden="1" customHeight="1">
      <c r="A1780" s="10">
        <v>32654</v>
      </c>
      <c r="B1780" s="10">
        <v>36654</v>
      </c>
      <c r="C1780" s="102">
        <f t="shared" si="27"/>
        <v>32654</v>
      </c>
      <c r="D1780" s="10" t="s">
        <v>498</v>
      </c>
      <c r="E1780" s="7" t="s">
        <v>3432</v>
      </c>
      <c r="F1780" s="7"/>
      <c r="G1780" s="22"/>
    </row>
    <row r="1781" spans="1:7" ht="20.25" hidden="1" customHeight="1">
      <c r="A1781" s="10">
        <v>32655</v>
      </c>
      <c r="B1781" s="10">
        <v>36655</v>
      </c>
      <c r="C1781" s="102">
        <f t="shared" si="27"/>
        <v>32655</v>
      </c>
      <c r="D1781" s="10" t="s">
        <v>498</v>
      </c>
      <c r="E1781" s="7" t="s">
        <v>3433</v>
      </c>
      <c r="F1781" s="7"/>
      <c r="G1781" s="22"/>
    </row>
    <row r="1782" spans="1:7" ht="20.25" hidden="1" customHeight="1">
      <c r="A1782" s="10">
        <v>32656</v>
      </c>
      <c r="B1782" s="10">
        <v>36656</v>
      </c>
      <c r="C1782" s="102">
        <f t="shared" si="27"/>
        <v>32656</v>
      </c>
      <c r="D1782" s="10" t="s">
        <v>498</v>
      </c>
      <c r="E1782" s="7"/>
      <c r="F1782" s="7"/>
      <c r="G1782" s="22"/>
    </row>
    <row r="1783" spans="1:7" ht="20.25" hidden="1" customHeight="1">
      <c r="A1783" s="10">
        <v>32657</v>
      </c>
      <c r="B1783" s="10">
        <v>36657</v>
      </c>
      <c r="C1783" s="102">
        <f t="shared" si="27"/>
        <v>32657</v>
      </c>
      <c r="D1783" s="10" t="s">
        <v>498</v>
      </c>
      <c r="E1783" s="7"/>
      <c r="F1783" s="7"/>
      <c r="G1783" s="22"/>
    </row>
    <row r="1784" spans="1:7" ht="20.25" hidden="1" customHeight="1">
      <c r="A1784" s="10">
        <v>32658</v>
      </c>
      <c r="B1784" s="10">
        <v>36658</v>
      </c>
      <c r="C1784" s="102">
        <f t="shared" si="27"/>
        <v>32658</v>
      </c>
      <c r="D1784" s="10" t="s">
        <v>498</v>
      </c>
      <c r="E1784" s="7" t="s">
        <v>3434</v>
      </c>
      <c r="F1784" s="7"/>
      <c r="G1784" s="22"/>
    </row>
    <row r="1785" spans="1:7" ht="20.25" hidden="1" customHeight="1">
      <c r="A1785" s="10">
        <v>32659</v>
      </c>
      <c r="B1785" s="10">
        <v>36659</v>
      </c>
      <c r="C1785" s="102">
        <f t="shared" si="27"/>
        <v>32659</v>
      </c>
      <c r="D1785" s="10" t="s">
        <v>498</v>
      </c>
      <c r="E1785" s="7" t="s">
        <v>3435</v>
      </c>
      <c r="F1785" s="7"/>
      <c r="G1785" s="22"/>
    </row>
    <row r="1786" spans="1:7" ht="20.25" hidden="1" customHeight="1">
      <c r="A1786" s="10">
        <v>32660</v>
      </c>
      <c r="B1786" s="10">
        <v>36660</v>
      </c>
      <c r="C1786" s="102">
        <f t="shared" si="27"/>
        <v>32660</v>
      </c>
      <c r="D1786" s="10" t="s">
        <v>498</v>
      </c>
      <c r="E1786" s="7" t="s">
        <v>3436</v>
      </c>
      <c r="F1786" s="7"/>
      <c r="G1786" s="22"/>
    </row>
    <row r="1787" spans="1:7" ht="20.25" hidden="1" customHeight="1">
      <c r="A1787" s="10">
        <v>32661</v>
      </c>
      <c r="B1787" s="10">
        <v>36661</v>
      </c>
      <c r="C1787" s="102">
        <f t="shared" si="27"/>
        <v>32661</v>
      </c>
      <c r="D1787" s="10" t="s">
        <v>498</v>
      </c>
      <c r="E1787" s="7" t="s">
        <v>3437</v>
      </c>
      <c r="F1787" s="7"/>
      <c r="G1787" s="22"/>
    </row>
    <row r="1788" spans="1:7" ht="20.25" hidden="1" customHeight="1">
      <c r="A1788" s="10">
        <v>32662</v>
      </c>
      <c r="B1788" s="10">
        <v>36662</v>
      </c>
      <c r="C1788" s="102">
        <f t="shared" si="27"/>
        <v>32662</v>
      </c>
      <c r="D1788" s="10" t="s">
        <v>498</v>
      </c>
      <c r="E1788" s="7" t="s">
        <v>3438</v>
      </c>
      <c r="F1788" s="7"/>
      <c r="G1788" s="22"/>
    </row>
    <row r="1789" spans="1:7" ht="20.25" hidden="1" customHeight="1">
      <c r="A1789" s="10">
        <v>32663</v>
      </c>
      <c r="B1789" s="10">
        <v>36663</v>
      </c>
      <c r="C1789" s="102">
        <f t="shared" si="27"/>
        <v>32663</v>
      </c>
      <c r="D1789" s="10" t="s">
        <v>498</v>
      </c>
      <c r="E1789" s="7" t="s">
        <v>3439</v>
      </c>
      <c r="F1789" s="7"/>
      <c r="G1789" s="22"/>
    </row>
    <row r="1790" spans="1:7" ht="20.25" hidden="1" customHeight="1">
      <c r="A1790" s="10">
        <v>32664</v>
      </c>
      <c r="B1790" s="10">
        <v>36664</v>
      </c>
      <c r="C1790" s="102">
        <f t="shared" si="27"/>
        <v>32664</v>
      </c>
      <c r="D1790" s="10" t="s">
        <v>498</v>
      </c>
      <c r="E1790" s="7" t="s">
        <v>3440</v>
      </c>
      <c r="F1790" s="7"/>
      <c r="G1790" s="22"/>
    </row>
    <row r="1791" spans="1:7" ht="20.25" hidden="1" customHeight="1">
      <c r="A1791" s="10">
        <v>32665</v>
      </c>
      <c r="B1791" s="10">
        <v>36665</v>
      </c>
      <c r="C1791" s="102">
        <f t="shared" si="27"/>
        <v>32665</v>
      </c>
      <c r="D1791" s="10" t="s">
        <v>498</v>
      </c>
      <c r="E1791" s="7" t="s">
        <v>3441</v>
      </c>
      <c r="F1791" s="7"/>
      <c r="G1791" s="22"/>
    </row>
    <row r="1792" spans="1:7" ht="20.25" hidden="1" customHeight="1">
      <c r="A1792" s="10">
        <v>32666</v>
      </c>
      <c r="B1792" s="10">
        <v>36666</v>
      </c>
      <c r="C1792" s="102">
        <f t="shared" si="27"/>
        <v>32666</v>
      </c>
      <c r="D1792" s="10" t="s">
        <v>498</v>
      </c>
      <c r="E1792" s="7" t="s">
        <v>3442</v>
      </c>
      <c r="F1792" s="7"/>
      <c r="G1792" s="22"/>
    </row>
    <row r="1793" spans="1:7" ht="20.25" hidden="1" customHeight="1">
      <c r="A1793" s="10">
        <v>32667</v>
      </c>
      <c r="B1793" s="10">
        <v>36667</v>
      </c>
      <c r="C1793" s="102">
        <f t="shared" si="27"/>
        <v>32667</v>
      </c>
      <c r="D1793" s="10" t="s">
        <v>498</v>
      </c>
      <c r="E1793" s="7" t="s">
        <v>3443</v>
      </c>
      <c r="F1793" s="7"/>
      <c r="G1793" s="22"/>
    </row>
    <row r="1794" spans="1:7" ht="20.25" hidden="1" customHeight="1">
      <c r="A1794" s="10">
        <v>32668</v>
      </c>
      <c r="B1794" s="10">
        <v>36668</v>
      </c>
      <c r="C1794" s="102">
        <f t="shared" si="27"/>
        <v>32668</v>
      </c>
      <c r="D1794" s="10" t="s">
        <v>498</v>
      </c>
      <c r="E1794" s="7" t="s">
        <v>3444</v>
      </c>
      <c r="F1794" s="7"/>
      <c r="G1794" s="22"/>
    </row>
    <row r="1795" spans="1:7" ht="20.25" hidden="1" customHeight="1">
      <c r="A1795" s="10">
        <v>32669</v>
      </c>
      <c r="B1795" s="10">
        <v>36669</v>
      </c>
      <c r="C1795" s="102">
        <f t="shared" si="27"/>
        <v>32669</v>
      </c>
      <c r="D1795" s="10" t="s">
        <v>498</v>
      </c>
      <c r="E1795" s="7" t="s">
        <v>3445</v>
      </c>
      <c r="F1795" s="7"/>
      <c r="G1795" s="22"/>
    </row>
    <row r="1796" spans="1:7" ht="20.25" hidden="1" customHeight="1">
      <c r="A1796" s="10">
        <v>32670</v>
      </c>
      <c r="B1796" s="10">
        <v>36670</v>
      </c>
      <c r="C1796" s="102">
        <f t="shared" ref="C1796:C1859" si="28">IF(ISERROR(FIND("B_Epic",E1796)),A1796,A1796+10000)</f>
        <v>32670</v>
      </c>
      <c r="D1796" s="10" t="s">
        <v>498</v>
      </c>
      <c r="E1796" s="7" t="s">
        <v>3446</v>
      </c>
      <c r="F1796" s="7"/>
      <c r="G1796" s="22"/>
    </row>
    <row r="1797" spans="1:7" ht="20.25" hidden="1" customHeight="1">
      <c r="A1797" s="10">
        <v>32671</v>
      </c>
      <c r="B1797" s="10">
        <v>36671</v>
      </c>
      <c r="C1797" s="102">
        <f t="shared" si="28"/>
        <v>32671</v>
      </c>
      <c r="D1797" s="10" t="s">
        <v>498</v>
      </c>
      <c r="E1797" s="7" t="s">
        <v>3447</v>
      </c>
      <c r="F1797" s="7"/>
      <c r="G1797" s="22"/>
    </row>
    <row r="1798" spans="1:7" ht="20.25" hidden="1" customHeight="1">
      <c r="A1798" s="10">
        <v>32672</v>
      </c>
      <c r="B1798" s="10">
        <v>36672</v>
      </c>
      <c r="C1798" s="102">
        <f t="shared" si="28"/>
        <v>32672</v>
      </c>
      <c r="D1798" s="10" t="s">
        <v>498</v>
      </c>
      <c r="E1798" s="7" t="s">
        <v>3448</v>
      </c>
      <c r="F1798" s="7"/>
      <c r="G1798" s="22"/>
    </row>
    <row r="1799" spans="1:7" ht="20.25" hidden="1" customHeight="1">
      <c r="A1799" s="10">
        <v>32673</v>
      </c>
      <c r="B1799" s="10">
        <v>36673</v>
      </c>
      <c r="C1799" s="102">
        <f t="shared" si="28"/>
        <v>32673</v>
      </c>
      <c r="D1799" s="10" t="s">
        <v>498</v>
      </c>
      <c r="E1799" s="7" t="s">
        <v>3449</v>
      </c>
      <c r="F1799" s="7"/>
      <c r="G1799" s="22"/>
    </row>
    <row r="1800" spans="1:7" ht="20.25" hidden="1" customHeight="1">
      <c r="A1800" s="10">
        <v>32674</v>
      </c>
      <c r="B1800" s="10">
        <v>36674</v>
      </c>
      <c r="C1800" s="102">
        <f t="shared" si="28"/>
        <v>32674</v>
      </c>
      <c r="D1800" s="10" t="s">
        <v>498</v>
      </c>
      <c r="E1800" s="7" t="s">
        <v>3450</v>
      </c>
      <c r="F1800" s="7"/>
      <c r="G1800" s="22"/>
    </row>
    <row r="1801" spans="1:7" ht="20.25" hidden="1" customHeight="1">
      <c r="A1801" s="10">
        <v>32675</v>
      </c>
      <c r="B1801" s="10">
        <v>36675</v>
      </c>
      <c r="C1801" s="102">
        <f t="shared" si="28"/>
        <v>32675</v>
      </c>
      <c r="D1801" s="10" t="s">
        <v>498</v>
      </c>
      <c r="E1801" s="7" t="s">
        <v>3451</v>
      </c>
      <c r="F1801" s="7"/>
      <c r="G1801" s="22"/>
    </row>
    <row r="1802" spans="1:7" ht="20.25" hidden="1" customHeight="1">
      <c r="A1802" s="10">
        <v>32676</v>
      </c>
      <c r="B1802" s="10">
        <v>36676</v>
      </c>
      <c r="C1802" s="102">
        <f t="shared" si="28"/>
        <v>32676</v>
      </c>
      <c r="D1802" s="10" t="s">
        <v>498</v>
      </c>
      <c r="E1802" s="7" t="s">
        <v>3452</v>
      </c>
      <c r="F1802" s="7"/>
      <c r="G1802" s="22"/>
    </row>
    <row r="1803" spans="1:7" ht="20.25" hidden="1" customHeight="1">
      <c r="A1803" s="10">
        <v>32677</v>
      </c>
      <c r="B1803" s="10">
        <v>36677</v>
      </c>
      <c r="C1803" s="102">
        <f t="shared" si="28"/>
        <v>32677</v>
      </c>
      <c r="D1803" s="10" t="s">
        <v>498</v>
      </c>
      <c r="E1803" s="7" t="s">
        <v>3453</v>
      </c>
      <c r="F1803" s="7"/>
      <c r="G1803" s="22"/>
    </row>
    <row r="1804" spans="1:7" ht="20.25" hidden="1" customHeight="1">
      <c r="A1804" s="10">
        <v>32678</v>
      </c>
      <c r="B1804" s="10">
        <v>36678</v>
      </c>
      <c r="C1804" s="102">
        <f t="shared" si="28"/>
        <v>32678</v>
      </c>
      <c r="D1804" s="10" t="s">
        <v>498</v>
      </c>
      <c r="E1804" s="7" t="s">
        <v>3454</v>
      </c>
      <c r="F1804" s="7"/>
      <c r="G1804" s="22"/>
    </row>
    <row r="1805" spans="1:7" ht="20.25" hidden="1" customHeight="1">
      <c r="A1805" s="10">
        <v>32679</v>
      </c>
      <c r="B1805" s="10">
        <v>36679</v>
      </c>
      <c r="C1805" s="102">
        <f t="shared" si="28"/>
        <v>32679</v>
      </c>
      <c r="D1805" s="10" t="s">
        <v>498</v>
      </c>
      <c r="E1805" s="7" t="s">
        <v>3455</v>
      </c>
      <c r="F1805" s="7"/>
      <c r="G1805" s="22"/>
    </row>
    <row r="1806" spans="1:7" ht="20.25" hidden="1" customHeight="1">
      <c r="A1806" s="10">
        <v>32680</v>
      </c>
      <c r="B1806" s="10">
        <v>36680</v>
      </c>
      <c r="C1806" s="102">
        <f t="shared" si="28"/>
        <v>32680</v>
      </c>
      <c r="D1806" s="10" t="s">
        <v>498</v>
      </c>
      <c r="E1806" s="7" t="s">
        <v>3456</v>
      </c>
      <c r="F1806" s="7"/>
      <c r="G1806" s="22"/>
    </row>
    <row r="1807" spans="1:7" ht="20.25" hidden="1" customHeight="1">
      <c r="A1807" s="10">
        <v>32681</v>
      </c>
      <c r="B1807" s="10">
        <v>36681</v>
      </c>
      <c r="C1807" s="102">
        <f t="shared" si="28"/>
        <v>32681</v>
      </c>
      <c r="D1807" s="10" t="s">
        <v>498</v>
      </c>
      <c r="E1807" s="7" t="s">
        <v>3457</v>
      </c>
      <c r="F1807" s="7"/>
      <c r="G1807" s="22"/>
    </row>
    <row r="1808" spans="1:7" ht="20.25" hidden="1" customHeight="1">
      <c r="A1808" s="10">
        <v>32682</v>
      </c>
      <c r="B1808" s="10">
        <v>36682</v>
      </c>
      <c r="C1808" s="102">
        <f t="shared" si="28"/>
        <v>32682</v>
      </c>
      <c r="D1808" s="10" t="s">
        <v>498</v>
      </c>
      <c r="E1808" s="7" t="s">
        <v>3458</v>
      </c>
      <c r="F1808" s="7"/>
      <c r="G1808" s="22"/>
    </row>
    <row r="1809" spans="1:7" ht="20.25" hidden="1" customHeight="1">
      <c r="A1809" s="10">
        <v>32683</v>
      </c>
      <c r="B1809" s="10">
        <v>36683</v>
      </c>
      <c r="C1809" s="102">
        <f t="shared" si="28"/>
        <v>32683</v>
      </c>
      <c r="D1809" s="10" t="s">
        <v>498</v>
      </c>
      <c r="E1809" s="7" t="s">
        <v>3459</v>
      </c>
      <c r="F1809" s="7"/>
      <c r="G1809" s="22"/>
    </row>
    <row r="1810" spans="1:7" ht="20.25" hidden="1" customHeight="1">
      <c r="A1810" s="10">
        <v>32684</v>
      </c>
      <c r="B1810" s="10">
        <v>36684</v>
      </c>
      <c r="C1810" s="102">
        <f t="shared" si="28"/>
        <v>32684</v>
      </c>
      <c r="D1810" s="10" t="s">
        <v>498</v>
      </c>
      <c r="E1810" s="7" t="s">
        <v>3460</v>
      </c>
      <c r="F1810" s="7"/>
      <c r="G1810" s="22"/>
    </row>
    <row r="1811" spans="1:7" ht="20.25" hidden="1" customHeight="1">
      <c r="A1811" s="10">
        <v>32685</v>
      </c>
      <c r="B1811" s="10">
        <v>36685</v>
      </c>
      <c r="C1811" s="102">
        <f t="shared" si="28"/>
        <v>32685</v>
      </c>
      <c r="D1811" s="10" t="s">
        <v>498</v>
      </c>
      <c r="E1811" s="7" t="s">
        <v>3461</v>
      </c>
      <c r="F1811" s="7"/>
      <c r="G1811" s="22"/>
    </row>
    <row r="1812" spans="1:7" ht="20.25" hidden="1" customHeight="1">
      <c r="A1812" s="10">
        <v>32686</v>
      </c>
      <c r="B1812" s="10">
        <v>36686</v>
      </c>
      <c r="C1812" s="102">
        <f t="shared" si="28"/>
        <v>32686</v>
      </c>
      <c r="D1812" s="10" t="s">
        <v>498</v>
      </c>
      <c r="E1812" s="7" t="s">
        <v>3462</v>
      </c>
      <c r="F1812" s="7"/>
      <c r="G1812" s="22"/>
    </row>
    <row r="1813" spans="1:7" ht="20.25" hidden="1" customHeight="1">
      <c r="A1813" s="10">
        <v>32687</v>
      </c>
      <c r="B1813" s="10">
        <v>36687</v>
      </c>
      <c r="C1813" s="102">
        <f t="shared" si="28"/>
        <v>32687</v>
      </c>
      <c r="D1813" s="10" t="s">
        <v>498</v>
      </c>
      <c r="E1813" s="7" t="s">
        <v>3463</v>
      </c>
      <c r="F1813" s="7"/>
      <c r="G1813" s="22"/>
    </row>
    <row r="1814" spans="1:7" ht="20.25" hidden="1" customHeight="1">
      <c r="A1814" s="10">
        <v>32688</v>
      </c>
      <c r="B1814" s="10">
        <v>36688</v>
      </c>
      <c r="C1814" s="102">
        <f t="shared" si="28"/>
        <v>32688</v>
      </c>
      <c r="D1814" s="10" t="s">
        <v>498</v>
      </c>
      <c r="E1814" s="7" t="s">
        <v>3464</v>
      </c>
      <c r="F1814" s="7"/>
      <c r="G1814" s="22"/>
    </row>
    <row r="1815" spans="1:7" ht="20.25" hidden="1" customHeight="1">
      <c r="A1815" s="10">
        <v>32689</v>
      </c>
      <c r="B1815" s="10">
        <v>36689</v>
      </c>
      <c r="C1815" s="102">
        <f t="shared" si="28"/>
        <v>32689</v>
      </c>
      <c r="D1815" s="10" t="s">
        <v>498</v>
      </c>
      <c r="E1815" s="7" t="s">
        <v>3465</v>
      </c>
      <c r="F1815" s="7"/>
      <c r="G1815" s="22"/>
    </row>
    <row r="1816" spans="1:7" ht="20.25" hidden="1" customHeight="1">
      <c r="A1816" s="10">
        <v>32690</v>
      </c>
      <c r="B1816" s="10">
        <v>36690</v>
      </c>
      <c r="C1816" s="102">
        <f t="shared" si="28"/>
        <v>32690</v>
      </c>
      <c r="D1816" s="10" t="s">
        <v>498</v>
      </c>
      <c r="E1816" s="7" t="s">
        <v>3466</v>
      </c>
      <c r="F1816" s="7"/>
      <c r="G1816" s="22"/>
    </row>
    <row r="1817" spans="1:7" ht="20.25" hidden="1" customHeight="1">
      <c r="A1817" s="10">
        <v>32691</v>
      </c>
      <c r="B1817" s="10">
        <v>36691</v>
      </c>
      <c r="C1817" s="102">
        <f t="shared" si="28"/>
        <v>32691</v>
      </c>
      <c r="D1817" s="10" t="s">
        <v>498</v>
      </c>
      <c r="E1817" s="7" t="s">
        <v>3467</v>
      </c>
      <c r="F1817" s="7"/>
      <c r="G1817" s="22"/>
    </row>
    <row r="1818" spans="1:7" ht="20.25" hidden="1" customHeight="1">
      <c r="A1818" s="10">
        <v>32692</v>
      </c>
      <c r="B1818" s="10">
        <v>36692</v>
      </c>
      <c r="C1818" s="102">
        <f t="shared" si="28"/>
        <v>32692</v>
      </c>
      <c r="D1818" s="10" t="s">
        <v>498</v>
      </c>
      <c r="E1818" s="7" t="s">
        <v>3468</v>
      </c>
      <c r="F1818" s="7"/>
      <c r="G1818" s="22"/>
    </row>
    <row r="1819" spans="1:7" ht="20.25" hidden="1" customHeight="1">
      <c r="A1819" s="10">
        <v>32693</v>
      </c>
      <c r="B1819" s="10">
        <v>36693</v>
      </c>
      <c r="C1819" s="102">
        <f t="shared" si="28"/>
        <v>32693</v>
      </c>
      <c r="D1819" s="10" t="s">
        <v>498</v>
      </c>
      <c r="E1819" s="7" t="s">
        <v>3469</v>
      </c>
      <c r="F1819" s="7"/>
      <c r="G1819" s="22"/>
    </row>
    <row r="1820" spans="1:7" ht="20.25" hidden="1" customHeight="1">
      <c r="A1820" s="10">
        <v>32694</v>
      </c>
      <c r="B1820" s="10">
        <v>36694</v>
      </c>
      <c r="C1820" s="102">
        <f t="shared" si="28"/>
        <v>32694</v>
      </c>
      <c r="D1820" s="10" t="s">
        <v>498</v>
      </c>
      <c r="E1820" s="7" t="s">
        <v>3470</v>
      </c>
      <c r="F1820" s="7"/>
      <c r="G1820" s="22"/>
    </row>
    <row r="1821" spans="1:7" ht="20.25" hidden="1" customHeight="1">
      <c r="A1821" s="10">
        <v>32695</v>
      </c>
      <c r="B1821" s="10">
        <v>36695</v>
      </c>
      <c r="C1821" s="102">
        <f t="shared" si="28"/>
        <v>32695</v>
      </c>
      <c r="D1821" s="10" t="s">
        <v>498</v>
      </c>
      <c r="E1821" s="7" t="s">
        <v>3471</v>
      </c>
      <c r="F1821" s="7"/>
      <c r="G1821" s="22"/>
    </row>
    <row r="1822" spans="1:7" ht="20.25" hidden="1" customHeight="1">
      <c r="A1822" s="10">
        <v>32696</v>
      </c>
      <c r="B1822" s="10">
        <v>36696</v>
      </c>
      <c r="C1822" s="102">
        <f t="shared" si="28"/>
        <v>32696</v>
      </c>
      <c r="D1822" s="10" t="s">
        <v>498</v>
      </c>
      <c r="E1822" s="7" t="s">
        <v>3472</v>
      </c>
      <c r="F1822" s="7"/>
      <c r="G1822" s="22"/>
    </row>
    <row r="1823" spans="1:7" ht="20.25" hidden="1" customHeight="1">
      <c r="A1823" s="10">
        <v>32697</v>
      </c>
      <c r="B1823" s="10">
        <v>36697</v>
      </c>
      <c r="C1823" s="102">
        <f t="shared" si="28"/>
        <v>32697</v>
      </c>
      <c r="D1823" s="10" t="s">
        <v>498</v>
      </c>
      <c r="E1823" s="7" t="s">
        <v>3473</v>
      </c>
      <c r="F1823" s="7"/>
      <c r="G1823" s="22"/>
    </row>
    <row r="1824" spans="1:7" ht="20.25" hidden="1" customHeight="1">
      <c r="A1824" s="10">
        <v>32698</v>
      </c>
      <c r="B1824" s="10">
        <v>36698</v>
      </c>
      <c r="C1824" s="102">
        <f t="shared" si="28"/>
        <v>32698</v>
      </c>
      <c r="D1824" s="10" t="s">
        <v>498</v>
      </c>
      <c r="E1824" s="7" t="s">
        <v>3474</v>
      </c>
      <c r="F1824" s="7"/>
      <c r="G1824" s="22"/>
    </row>
    <row r="1825" spans="1:7" ht="20.25" hidden="1" customHeight="1">
      <c r="A1825" s="10">
        <v>32699</v>
      </c>
      <c r="B1825" s="10">
        <v>36699</v>
      </c>
      <c r="C1825" s="102">
        <f t="shared" si="28"/>
        <v>32699</v>
      </c>
      <c r="D1825" s="10" t="s">
        <v>498</v>
      </c>
      <c r="E1825" s="7" t="s">
        <v>3475</v>
      </c>
      <c r="F1825" s="7"/>
      <c r="G1825" s="22"/>
    </row>
    <row r="1826" spans="1:7" ht="20.25" hidden="1" customHeight="1">
      <c r="A1826" s="10">
        <v>32700</v>
      </c>
      <c r="B1826" s="10">
        <v>36700</v>
      </c>
      <c r="C1826" s="102">
        <f t="shared" si="28"/>
        <v>32700</v>
      </c>
      <c r="D1826" s="10" t="s">
        <v>498</v>
      </c>
      <c r="E1826" s="7" t="s">
        <v>3476</v>
      </c>
      <c r="F1826" s="7"/>
      <c r="G1826" s="22"/>
    </row>
    <row r="1827" spans="1:7" ht="20.25" hidden="1" customHeight="1">
      <c r="A1827" s="10">
        <v>32701</v>
      </c>
      <c r="B1827" s="10">
        <v>36701</v>
      </c>
      <c r="C1827" s="102">
        <f t="shared" si="28"/>
        <v>32701</v>
      </c>
      <c r="D1827" s="10" t="s">
        <v>498</v>
      </c>
      <c r="E1827" s="7" t="s">
        <v>3477</v>
      </c>
      <c r="F1827" s="7"/>
      <c r="G1827" s="22"/>
    </row>
    <row r="1828" spans="1:7" ht="20.25" hidden="1" customHeight="1">
      <c r="A1828" s="10">
        <v>32702</v>
      </c>
      <c r="B1828" s="10">
        <v>36702</v>
      </c>
      <c r="C1828" s="102">
        <f t="shared" si="28"/>
        <v>32702</v>
      </c>
      <c r="D1828" s="10" t="s">
        <v>498</v>
      </c>
      <c r="E1828" s="7" t="s">
        <v>3478</v>
      </c>
      <c r="F1828" s="7"/>
      <c r="G1828" s="22"/>
    </row>
    <row r="1829" spans="1:7" ht="20.25" hidden="1" customHeight="1">
      <c r="A1829" s="10">
        <v>32703</v>
      </c>
      <c r="B1829" s="10">
        <v>36703</v>
      </c>
      <c r="C1829" s="102">
        <f t="shared" si="28"/>
        <v>32703</v>
      </c>
      <c r="D1829" s="10" t="s">
        <v>498</v>
      </c>
      <c r="E1829" t="s">
        <v>3479</v>
      </c>
      <c r="F1829" s="7"/>
      <c r="G1829" s="22"/>
    </row>
    <row r="1830" spans="1:7" ht="20.25" hidden="1" customHeight="1">
      <c r="A1830" s="10">
        <v>32704</v>
      </c>
      <c r="B1830" s="10">
        <v>36704</v>
      </c>
      <c r="C1830" s="102">
        <f t="shared" si="28"/>
        <v>32704</v>
      </c>
      <c r="D1830" s="10" t="s">
        <v>498</v>
      </c>
      <c r="E1830" s="121" t="s">
        <v>3480</v>
      </c>
      <c r="F1830" s="7"/>
      <c r="G1830" s="22"/>
    </row>
    <row r="1831" spans="1:7" ht="20.25" hidden="1" customHeight="1">
      <c r="A1831" s="10">
        <v>32705</v>
      </c>
      <c r="B1831" s="10">
        <v>36705</v>
      </c>
      <c r="C1831" s="102">
        <f t="shared" si="28"/>
        <v>32705</v>
      </c>
      <c r="D1831" s="10" t="s">
        <v>498</v>
      </c>
      <c r="E1831" s="7" t="s">
        <v>3481</v>
      </c>
      <c r="F1831" s="7"/>
      <c r="G1831" s="22"/>
    </row>
    <row r="1832" spans="1:7" ht="20.25" hidden="1" customHeight="1">
      <c r="A1832" s="10">
        <v>32706</v>
      </c>
      <c r="B1832" s="10">
        <v>36706</v>
      </c>
      <c r="C1832" s="102">
        <f t="shared" si="28"/>
        <v>32706</v>
      </c>
      <c r="D1832" s="10" t="s">
        <v>498</v>
      </c>
      <c r="E1832" s="7" t="s">
        <v>3482</v>
      </c>
      <c r="F1832" s="7"/>
      <c r="G1832" s="22"/>
    </row>
    <row r="1833" spans="1:7" ht="20.25" hidden="1" customHeight="1">
      <c r="A1833" s="10">
        <v>32707</v>
      </c>
      <c r="B1833" s="10">
        <v>36707</v>
      </c>
      <c r="C1833" s="102">
        <f t="shared" si="28"/>
        <v>32707</v>
      </c>
      <c r="D1833" s="10" t="s">
        <v>498</v>
      </c>
      <c r="E1833" s="7" t="s">
        <v>3483</v>
      </c>
      <c r="F1833" s="7"/>
      <c r="G1833" s="22"/>
    </row>
    <row r="1834" spans="1:7" ht="20.25" hidden="1" customHeight="1">
      <c r="A1834" s="10">
        <v>32708</v>
      </c>
      <c r="B1834" s="10">
        <v>36708</v>
      </c>
      <c r="C1834" s="102">
        <f t="shared" si="28"/>
        <v>32708</v>
      </c>
      <c r="D1834" s="10" t="s">
        <v>498</v>
      </c>
      <c r="E1834" s="7" t="s">
        <v>3484</v>
      </c>
      <c r="F1834" s="7"/>
      <c r="G1834" s="22"/>
    </row>
    <row r="1835" spans="1:7" ht="20.25" hidden="1" customHeight="1">
      <c r="A1835" s="10">
        <v>32709</v>
      </c>
      <c r="B1835" s="10">
        <v>36709</v>
      </c>
      <c r="C1835" s="102">
        <f t="shared" si="28"/>
        <v>32709</v>
      </c>
      <c r="D1835" s="10" t="s">
        <v>498</v>
      </c>
      <c r="E1835" s="7" t="s">
        <v>3485</v>
      </c>
      <c r="F1835" s="7"/>
      <c r="G1835" s="22"/>
    </row>
    <row r="1836" spans="1:7" ht="20.25" hidden="1" customHeight="1">
      <c r="A1836" s="10">
        <v>32710</v>
      </c>
      <c r="B1836" s="10">
        <v>36710</v>
      </c>
      <c r="C1836" s="102">
        <f t="shared" si="28"/>
        <v>32710</v>
      </c>
      <c r="D1836" s="10" t="s">
        <v>498</v>
      </c>
      <c r="E1836" s="7" t="s">
        <v>3486</v>
      </c>
      <c r="F1836" s="7"/>
      <c r="G1836" s="22"/>
    </row>
    <row r="1837" spans="1:7" ht="20.25" hidden="1" customHeight="1">
      <c r="A1837" s="10">
        <v>32711</v>
      </c>
      <c r="B1837" s="10">
        <v>36711</v>
      </c>
      <c r="C1837" s="102">
        <f t="shared" si="28"/>
        <v>32711</v>
      </c>
      <c r="D1837" s="10" t="s">
        <v>498</v>
      </c>
      <c r="E1837" s="7" t="s">
        <v>3487</v>
      </c>
      <c r="F1837" s="7"/>
      <c r="G1837" s="22"/>
    </row>
    <row r="1838" spans="1:7" ht="20.25" hidden="1" customHeight="1">
      <c r="A1838" s="10">
        <v>32712</v>
      </c>
      <c r="B1838" s="10">
        <v>36712</v>
      </c>
      <c r="C1838" s="102">
        <f t="shared" si="28"/>
        <v>32712</v>
      </c>
      <c r="D1838" s="10" t="s">
        <v>498</v>
      </c>
      <c r="E1838" s="7" t="s">
        <v>3488</v>
      </c>
      <c r="F1838" s="7"/>
      <c r="G1838" s="22"/>
    </row>
    <row r="1839" spans="1:7" ht="20.25" hidden="1" customHeight="1">
      <c r="A1839" s="10">
        <v>32713</v>
      </c>
      <c r="B1839" s="10">
        <v>36713</v>
      </c>
      <c r="C1839" s="102">
        <f t="shared" si="28"/>
        <v>32713</v>
      </c>
      <c r="D1839" s="10" t="s">
        <v>498</v>
      </c>
      <c r="E1839" s="7"/>
      <c r="F1839" s="7"/>
      <c r="G1839" s="22"/>
    </row>
    <row r="1840" spans="1:7" ht="20.25" hidden="1" customHeight="1">
      <c r="A1840" s="10">
        <v>32714</v>
      </c>
      <c r="B1840" s="10">
        <v>36714</v>
      </c>
      <c r="C1840" s="102">
        <f t="shared" si="28"/>
        <v>32714</v>
      </c>
      <c r="D1840" s="10" t="s">
        <v>498</v>
      </c>
      <c r="E1840" s="7" t="s">
        <v>3489</v>
      </c>
      <c r="F1840" s="7"/>
      <c r="G1840" s="22"/>
    </row>
    <row r="1841" spans="1:7" ht="20.25" hidden="1" customHeight="1" thickBot="1">
      <c r="A1841" s="10">
        <v>32715</v>
      </c>
      <c r="B1841" s="10">
        <v>36715</v>
      </c>
      <c r="C1841" s="102">
        <f t="shared" si="28"/>
        <v>32715</v>
      </c>
      <c r="D1841" s="10" t="s">
        <v>498</v>
      </c>
      <c r="E1841" s="7" t="s">
        <v>3490</v>
      </c>
      <c r="F1841" s="7"/>
      <c r="G1841" s="22"/>
    </row>
    <row r="1842" spans="1:7" ht="20.25" hidden="1" customHeight="1" thickBot="1">
      <c r="A1842" s="10">
        <v>32716</v>
      </c>
      <c r="B1842" s="10">
        <v>36716</v>
      </c>
      <c r="C1842" s="102">
        <f t="shared" si="28"/>
        <v>32716</v>
      </c>
      <c r="D1842" s="10" t="s">
        <v>498</v>
      </c>
      <c r="E1842" s="207" t="s">
        <v>3491</v>
      </c>
      <c r="F1842" s="7"/>
      <c r="G1842" s="22"/>
    </row>
    <row r="1843" spans="1:7" ht="20.25" hidden="1" customHeight="1" thickBot="1">
      <c r="A1843" s="10">
        <v>32717</v>
      </c>
      <c r="B1843" s="10">
        <v>36717</v>
      </c>
      <c r="C1843" s="102">
        <f t="shared" si="28"/>
        <v>32717</v>
      </c>
      <c r="D1843" s="10" t="s">
        <v>498</v>
      </c>
      <c r="E1843" s="208" t="s">
        <v>3492</v>
      </c>
      <c r="F1843" s="7"/>
      <c r="G1843" s="22"/>
    </row>
    <row r="1844" spans="1:7" ht="20.25" hidden="1" customHeight="1">
      <c r="A1844" s="10">
        <v>32718</v>
      </c>
      <c r="B1844" s="10">
        <v>36718</v>
      </c>
      <c r="C1844" s="102">
        <f t="shared" si="28"/>
        <v>32718</v>
      </c>
      <c r="D1844" s="10" t="s">
        <v>498</v>
      </c>
      <c r="E1844" s="7" t="s">
        <v>3493</v>
      </c>
      <c r="F1844" s="7"/>
      <c r="G1844" s="22"/>
    </row>
    <row r="1845" spans="1:7" ht="20.25" hidden="1" customHeight="1">
      <c r="A1845" s="10">
        <v>32719</v>
      </c>
      <c r="B1845" s="10">
        <v>36719</v>
      </c>
      <c r="C1845" s="102">
        <f t="shared" si="28"/>
        <v>32719</v>
      </c>
      <c r="D1845" s="10" t="s">
        <v>498</v>
      </c>
      <c r="E1845" s="7" t="s">
        <v>3494</v>
      </c>
      <c r="F1845" s="7"/>
      <c r="G1845" s="22"/>
    </row>
    <row r="1846" spans="1:7" ht="20.25" hidden="1" customHeight="1">
      <c r="A1846" s="10">
        <v>32720</v>
      </c>
      <c r="B1846" s="10">
        <v>36720</v>
      </c>
      <c r="C1846" s="102">
        <f t="shared" si="28"/>
        <v>32720</v>
      </c>
      <c r="D1846" s="10" t="s">
        <v>498</v>
      </c>
      <c r="E1846" s="7" t="s">
        <v>3495</v>
      </c>
      <c r="F1846" s="7"/>
      <c r="G1846" s="22"/>
    </row>
    <row r="1847" spans="1:7" ht="20.25" hidden="1" customHeight="1">
      <c r="A1847" s="10">
        <v>32721</v>
      </c>
      <c r="B1847" s="10">
        <v>36721</v>
      </c>
      <c r="C1847" s="102">
        <f t="shared" si="28"/>
        <v>32721</v>
      </c>
      <c r="D1847" s="10" t="s">
        <v>498</v>
      </c>
      <c r="E1847" t="s">
        <v>3496</v>
      </c>
      <c r="F1847" s="7"/>
      <c r="G1847" s="22"/>
    </row>
    <row r="1848" spans="1:7" ht="20.25" hidden="1" customHeight="1">
      <c r="A1848" s="10">
        <v>32722</v>
      </c>
      <c r="B1848" s="10">
        <v>36722</v>
      </c>
      <c r="C1848" s="102">
        <f t="shared" si="28"/>
        <v>32722</v>
      </c>
      <c r="D1848" s="10" t="s">
        <v>498</v>
      </c>
      <c r="E1848" s="7" t="s">
        <v>3497</v>
      </c>
      <c r="F1848" s="7"/>
      <c r="G1848" s="22"/>
    </row>
    <row r="1849" spans="1:7" ht="20.25" hidden="1" customHeight="1">
      <c r="A1849" s="10">
        <v>32723</v>
      </c>
      <c r="B1849" s="10">
        <v>36723</v>
      </c>
      <c r="C1849" s="102">
        <f t="shared" si="28"/>
        <v>32723</v>
      </c>
      <c r="D1849" s="10" t="s">
        <v>498</v>
      </c>
      <c r="E1849" s="7" t="s">
        <v>3498</v>
      </c>
      <c r="F1849" s="7"/>
      <c r="G1849" s="22"/>
    </row>
    <row r="1850" spans="1:7" ht="20.25" hidden="1" customHeight="1">
      <c r="A1850" s="10">
        <v>32724</v>
      </c>
      <c r="B1850" s="10">
        <v>36724</v>
      </c>
      <c r="C1850" s="102">
        <f t="shared" si="28"/>
        <v>32724</v>
      </c>
      <c r="D1850" s="10" t="s">
        <v>498</v>
      </c>
      <c r="E1850" s="7" t="s">
        <v>3499</v>
      </c>
      <c r="F1850" s="7"/>
      <c r="G1850" s="22"/>
    </row>
    <row r="1851" spans="1:7" ht="20.25" hidden="1" customHeight="1">
      <c r="A1851" s="10">
        <v>32725</v>
      </c>
      <c r="B1851" s="10">
        <v>36725</v>
      </c>
      <c r="C1851" s="102">
        <f t="shared" si="28"/>
        <v>32725</v>
      </c>
      <c r="D1851" s="10" t="s">
        <v>498</v>
      </c>
      <c r="E1851" s="7" t="s">
        <v>3500</v>
      </c>
      <c r="F1851" s="7"/>
      <c r="G1851" s="22"/>
    </row>
    <row r="1852" spans="1:7" ht="20.25" hidden="1" customHeight="1">
      <c r="A1852" s="10">
        <v>32726</v>
      </c>
      <c r="B1852" s="10">
        <v>36726</v>
      </c>
      <c r="C1852" s="102">
        <f t="shared" si="28"/>
        <v>32726</v>
      </c>
      <c r="D1852" s="10" t="s">
        <v>498</v>
      </c>
      <c r="E1852" s="7" t="s">
        <v>3501</v>
      </c>
      <c r="F1852" s="7"/>
      <c r="G1852" s="22"/>
    </row>
    <row r="1853" spans="1:7" ht="20.25" hidden="1" customHeight="1">
      <c r="A1853" s="10">
        <v>32727</v>
      </c>
      <c r="B1853" s="10">
        <v>36727</v>
      </c>
      <c r="C1853" s="102">
        <f t="shared" si="28"/>
        <v>32727</v>
      </c>
      <c r="D1853" s="10" t="s">
        <v>498</v>
      </c>
      <c r="E1853" s="7" t="s">
        <v>3502</v>
      </c>
      <c r="F1853" s="7"/>
      <c r="G1853" s="22"/>
    </row>
    <row r="1854" spans="1:7" ht="20.25" hidden="1" customHeight="1">
      <c r="A1854" s="10">
        <v>32728</v>
      </c>
      <c r="B1854" s="10">
        <v>36728</v>
      </c>
      <c r="C1854" s="102">
        <f t="shared" si="28"/>
        <v>32728</v>
      </c>
      <c r="D1854" s="10" t="s">
        <v>498</v>
      </c>
      <c r="E1854" s="7"/>
      <c r="F1854" s="7"/>
      <c r="G1854" s="22"/>
    </row>
    <row r="1855" spans="1:7" ht="20.25" hidden="1" customHeight="1">
      <c r="A1855" s="10">
        <v>32729</v>
      </c>
      <c r="B1855" s="10">
        <v>36729</v>
      </c>
      <c r="C1855" s="102">
        <f t="shared" si="28"/>
        <v>32729</v>
      </c>
      <c r="D1855" s="10" t="s">
        <v>498</v>
      </c>
      <c r="E1855" s="7"/>
      <c r="F1855" s="7"/>
      <c r="G1855" s="22"/>
    </row>
    <row r="1856" spans="1:7" ht="20.25" hidden="1" customHeight="1">
      <c r="A1856" s="10">
        <v>32730</v>
      </c>
      <c r="B1856" s="10">
        <v>36730</v>
      </c>
      <c r="C1856" s="102">
        <f t="shared" si="28"/>
        <v>32730</v>
      </c>
      <c r="D1856" s="10" t="s">
        <v>498</v>
      </c>
      <c r="E1856" s="7" t="s">
        <v>3503</v>
      </c>
      <c r="F1856" s="7"/>
      <c r="G1856" s="22"/>
    </row>
    <row r="1857" spans="1:7" ht="20.25" hidden="1" customHeight="1">
      <c r="A1857" s="10">
        <v>32731</v>
      </c>
      <c r="B1857" s="10">
        <v>36731</v>
      </c>
      <c r="C1857" s="102">
        <f t="shared" si="28"/>
        <v>32731</v>
      </c>
      <c r="D1857" s="10" t="s">
        <v>498</v>
      </c>
      <c r="E1857" s="7" t="s">
        <v>3504</v>
      </c>
      <c r="F1857" s="7"/>
      <c r="G1857" s="22"/>
    </row>
    <row r="1858" spans="1:7" ht="20.25" hidden="1" customHeight="1">
      <c r="A1858" s="10">
        <v>32732</v>
      </c>
      <c r="B1858" s="10">
        <v>36732</v>
      </c>
      <c r="C1858" s="102">
        <f t="shared" si="28"/>
        <v>32732</v>
      </c>
      <c r="D1858" s="10" t="s">
        <v>498</v>
      </c>
      <c r="E1858" s="7" t="s">
        <v>3505</v>
      </c>
      <c r="F1858" s="7"/>
      <c r="G1858" s="22"/>
    </row>
    <row r="1859" spans="1:7" ht="20.25" hidden="1" customHeight="1">
      <c r="A1859" s="10">
        <v>32733</v>
      </c>
      <c r="B1859" s="10">
        <v>36733</v>
      </c>
      <c r="C1859" s="102">
        <f t="shared" si="28"/>
        <v>32733</v>
      </c>
      <c r="D1859" s="10" t="s">
        <v>498</v>
      </c>
      <c r="E1859" s="7" t="s">
        <v>3506</v>
      </c>
      <c r="F1859" s="7"/>
      <c r="G1859" s="22"/>
    </row>
    <row r="1860" spans="1:7" ht="20.25" hidden="1" customHeight="1">
      <c r="A1860" s="10">
        <v>32734</v>
      </c>
      <c r="B1860" s="10">
        <v>36734</v>
      </c>
      <c r="C1860" s="102">
        <f t="shared" ref="C1860:C1923" si="29">IF(ISERROR(FIND("B_Epic",E1860)),A1860,A1860+10000)</f>
        <v>32734</v>
      </c>
      <c r="D1860" s="10" t="s">
        <v>498</v>
      </c>
      <c r="E1860" s="7"/>
      <c r="F1860" s="7"/>
      <c r="G1860" s="22"/>
    </row>
    <row r="1861" spans="1:7" ht="20.25" hidden="1" customHeight="1">
      <c r="A1861" s="10">
        <v>32735</v>
      </c>
      <c r="B1861" s="10">
        <v>36735</v>
      </c>
      <c r="C1861" s="102">
        <f t="shared" si="29"/>
        <v>32735</v>
      </c>
      <c r="D1861" s="10" t="s">
        <v>498</v>
      </c>
      <c r="E1861" s="7" t="s">
        <v>3507</v>
      </c>
      <c r="F1861" s="7"/>
      <c r="G1861" s="22"/>
    </row>
    <row r="1862" spans="1:7" ht="20.25" hidden="1" customHeight="1" thickBot="1">
      <c r="A1862" s="10">
        <v>32736</v>
      </c>
      <c r="B1862" s="10">
        <v>36736</v>
      </c>
      <c r="C1862" s="102">
        <f t="shared" si="29"/>
        <v>32736</v>
      </c>
      <c r="D1862" s="10" t="s">
        <v>498</v>
      </c>
      <c r="E1862" s="226"/>
      <c r="F1862" s="7"/>
      <c r="G1862" s="22"/>
    </row>
    <row r="1863" spans="1:7" ht="20.25" hidden="1" customHeight="1">
      <c r="A1863" s="10">
        <v>32737</v>
      </c>
      <c r="B1863" s="10">
        <v>36737</v>
      </c>
      <c r="C1863" s="102">
        <f t="shared" si="29"/>
        <v>32737</v>
      </c>
      <c r="D1863" s="10" t="s">
        <v>498</v>
      </c>
      <c r="E1863" s="7"/>
      <c r="F1863" s="7"/>
      <c r="G1863" s="22"/>
    </row>
    <row r="1864" spans="1:7" ht="20.25" hidden="1" customHeight="1">
      <c r="A1864" s="10">
        <v>32738</v>
      </c>
      <c r="B1864" s="10">
        <v>36738</v>
      </c>
      <c r="C1864" s="102">
        <f t="shared" si="29"/>
        <v>32738</v>
      </c>
      <c r="D1864" s="10" t="s">
        <v>498</v>
      </c>
      <c r="E1864" s="7"/>
      <c r="F1864" s="7"/>
      <c r="G1864" s="22"/>
    </row>
    <row r="1865" spans="1:7" ht="20.25" hidden="1" customHeight="1">
      <c r="A1865" s="10">
        <v>32739</v>
      </c>
      <c r="B1865" s="10">
        <v>36739</v>
      </c>
      <c r="C1865" s="102">
        <f t="shared" si="29"/>
        <v>32739</v>
      </c>
      <c r="D1865" s="10" t="s">
        <v>498</v>
      </c>
      <c r="E1865" s="7"/>
      <c r="F1865" s="7"/>
      <c r="G1865" s="22"/>
    </row>
    <row r="1866" spans="1:7" ht="20.25" hidden="1" customHeight="1">
      <c r="A1866" s="10">
        <v>32740</v>
      </c>
      <c r="B1866" s="10">
        <v>36740</v>
      </c>
      <c r="C1866" s="102">
        <f t="shared" si="29"/>
        <v>32740</v>
      </c>
      <c r="D1866" s="10" t="s">
        <v>498</v>
      </c>
      <c r="E1866" s="7"/>
      <c r="F1866" s="7"/>
      <c r="G1866" s="22"/>
    </row>
    <row r="1867" spans="1:7" ht="20.25" hidden="1" customHeight="1">
      <c r="A1867" s="10">
        <v>32741</v>
      </c>
      <c r="B1867" s="10">
        <v>36741</v>
      </c>
      <c r="C1867" s="102">
        <f t="shared" si="29"/>
        <v>32741</v>
      </c>
      <c r="D1867" s="10" t="s">
        <v>498</v>
      </c>
      <c r="E1867" s="7"/>
      <c r="F1867" s="7"/>
      <c r="G1867" s="22"/>
    </row>
    <row r="1868" spans="1:7" ht="20.25" hidden="1" customHeight="1">
      <c r="A1868" s="10">
        <v>32742</v>
      </c>
      <c r="B1868" s="10">
        <v>36742</v>
      </c>
      <c r="C1868" s="102">
        <f t="shared" si="29"/>
        <v>32742</v>
      </c>
      <c r="D1868" s="10" t="s">
        <v>498</v>
      </c>
      <c r="E1868" s="7"/>
      <c r="F1868" s="7"/>
      <c r="G1868" s="22"/>
    </row>
    <row r="1869" spans="1:7" ht="20.25" hidden="1" customHeight="1">
      <c r="A1869" s="10">
        <v>32743</v>
      </c>
      <c r="B1869" s="10">
        <v>36743</v>
      </c>
      <c r="C1869" s="102">
        <f t="shared" si="29"/>
        <v>32743</v>
      </c>
      <c r="D1869" s="10" t="s">
        <v>498</v>
      </c>
      <c r="E1869" s="7"/>
      <c r="F1869" s="7"/>
      <c r="G1869" s="22"/>
    </row>
    <row r="1870" spans="1:7" ht="20.25" hidden="1" customHeight="1">
      <c r="A1870" s="10">
        <v>32744</v>
      </c>
      <c r="B1870" s="10">
        <v>36744</v>
      </c>
      <c r="C1870" s="102">
        <f t="shared" si="29"/>
        <v>32744</v>
      </c>
      <c r="D1870" s="10" t="s">
        <v>498</v>
      </c>
      <c r="E1870" s="7"/>
      <c r="F1870" s="7"/>
      <c r="G1870" s="22"/>
    </row>
    <row r="1871" spans="1:7" ht="20.25" hidden="1" customHeight="1">
      <c r="A1871" s="10">
        <v>32745</v>
      </c>
      <c r="B1871" s="10">
        <v>36745</v>
      </c>
      <c r="C1871" s="102">
        <f t="shared" si="29"/>
        <v>32745</v>
      </c>
      <c r="D1871" s="10" t="s">
        <v>498</v>
      </c>
      <c r="E1871" s="7"/>
      <c r="F1871" s="7"/>
      <c r="G1871" s="22"/>
    </row>
    <row r="1872" spans="1:7" ht="20.25" hidden="1" customHeight="1">
      <c r="A1872" s="10">
        <v>32746</v>
      </c>
      <c r="B1872" s="10">
        <v>36746</v>
      </c>
      <c r="C1872" s="102">
        <f t="shared" si="29"/>
        <v>32746</v>
      </c>
      <c r="D1872" s="10" t="s">
        <v>498</v>
      </c>
      <c r="E1872" s="7"/>
      <c r="F1872" s="7"/>
      <c r="G1872" s="22"/>
    </row>
    <row r="1873" spans="1:7" ht="20.25" hidden="1" customHeight="1">
      <c r="A1873" s="10">
        <v>32747</v>
      </c>
      <c r="B1873" s="10">
        <v>36747</v>
      </c>
      <c r="C1873" s="102">
        <f t="shared" si="29"/>
        <v>32747</v>
      </c>
      <c r="D1873" s="10" t="s">
        <v>498</v>
      </c>
      <c r="E1873" s="7"/>
      <c r="F1873" s="7"/>
      <c r="G1873" s="22"/>
    </row>
    <row r="1874" spans="1:7" ht="20.25" hidden="1" customHeight="1">
      <c r="A1874" s="10">
        <v>32748</v>
      </c>
      <c r="B1874" s="10">
        <v>36748</v>
      </c>
      <c r="C1874" s="102">
        <f t="shared" si="29"/>
        <v>32748</v>
      </c>
      <c r="D1874" s="10" t="s">
        <v>498</v>
      </c>
      <c r="E1874" s="7"/>
      <c r="F1874" s="7"/>
      <c r="G1874" s="22"/>
    </row>
    <row r="1875" spans="1:7" ht="20.25" hidden="1" customHeight="1">
      <c r="A1875" s="10">
        <v>32749</v>
      </c>
      <c r="B1875" s="10">
        <v>36749</v>
      </c>
      <c r="C1875" s="102">
        <f t="shared" si="29"/>
        <v>32749</v>
      </c>
      <c r="D1875" s="10" t="s">
        <v>498</v>
      </c>
      <c r="E1875" s="7"/>
      <c r="F1875" s="7"/>
      <c r="G1875" s="22"/>
    </row>
    <row r="1876" spans="1:7" ht="20.25" hidden="1" customHeight="1">
      <c r="A1876" s="10">
        <v>32750</v>
      </c>
      <c r="B1876" s="10">
        <v>36750</v>
      </c>
      <c r="C1876" s="102">
        <f t="shared" si="29"/>
        <v>32750</v>
      </c>
      <c r="D1876" s="10" t="s">
        <v>498</v>
      </c>
      <c r="E1876" s="7"/>
      <c r="F1876" s="7"/>
      <c r="G1876" s="22"/>
    </row>
    <row r="1877" spans="1:7" ht="20.25" hidden="1" customHeight="1">
      <c r="A1877" s="10">
        <v>32751</v>
      </c>
      <c r="B1877" s="10">
        <v>36751</v>
      </c>
      <c r="C1877" s="102">
        <f t="shared" si="29"/>
        <v>32751</v>
      </c>
      <c r="D1877" s="10" t="s">
        <v>498</v>
      </c>
      <c r="E1877" s="7"/>
      <c r="F1877" s="7"/>
      <c r="G1877" s="22"/>
    </row>
    <row r="1878" spans="1:7" ht="20.25" hidden="1" customHeight="1">
      <c r="A1878" s="10">
        <v>32752</v>
      </c>
      <c r="B1878" s="10">
        <v>36752</v>
      </c>
      <c r="C1878" s="102">
        <f t="shared" si="29"/>
        <v>32752</v>
      </c>
      <c r="D1878" s="10" t="s">
        <v>498</v>
      </c>
      <c r="E1878" s="7"/>
      <c r="F1878" s="7"/>
      <c r="G1878" s="22"/>
    </row>
    <row r="1879" spans="1:7" ht="20.25" hidden="1" customHeight="1">
      <c r="A1879" s="10">
        <v>32753</v>
      </c>
      <c r="B1879" s="10">
        <v>36753</v>
      </c>
      <c r="C1879" s="102">
        <f t="shared" si="29"/>
        <v>32753</v>
      </c>
      <c r="D1879" s="10" t="s">
        <v>498</v>
      </c>
      <c r="E1879" s="7" t="s">
        <v>3508</v>
      </c>
      <c r="F1879" s="7"/>
      <c r="G1879" s="22"/>
    </row>
    <row r="1880" spans="1:7" ht="20.25" hidden="1" customHeight="1">
      <c r="A1880" s="10">
        <v>32754</v>
      </c>
      <c r="B1880" s="10">
        <v>36754</v>
      </c>
      <c r="C1880" s="102">
        <f t="shared" si="29"/>
        <v>32754</v>
      </c>
      <c r="D1880" s="10" t="s">
        <v>498</v>
      </c>
      <c r="E1880" s="7"/>
      <c r="F1880" s="7"/>
      <c r="G1880" s="22"/>
    </row>
    <row r="1881" spans="1:7" ht="20.25" hidden="1" customHeight="1">
      <c r="A1881" s="10">
        <v>32755</v>
      </c>
      <c r="B1881" s="10">
        <v>36755</v>
      </c>
      <c r="C1881" s="102">
        <f t="shared" si="29"/>
        <v>32755</v>
      </c>
      <c r="D1881" s="10" t="s">
        <v>498</v>
      </c>
      <c r="E1881" s="7"/>
      <c r="F1881" s="7"/>
      <c r="G1881" s="22"/>
    </row>
    <row r="1882" spans="1:7" ht="20.25" hidden="1" customHeight="1">
      <c r="A1882" s="10">
        <v>32756</v>
      </c>
      <c r="B1882" s="10">
        <v>36756</v>
      </c>
      <c r="C1882" s="102">
        <f t="shared" si="29"/>
        <v>32756</v>
      </c>
      <c r="D1882" s="10" t="s">
        <v>498</v>
      </c>
      <c r="E1882" s="7"/>
      <c r="F1882" s="7"/>
      <c r="G1882" s="22"/>
    </row>
    <row r="1883" spans="1:7" ht="20.25" hidden="1" customHeight="1">
      <c r="A1883" s="10">
        <v>32757</v>
      </c>
      <c r="B1883" s="10">
        <v>36757</v>
      </c>
      <c r="C1883" s="102">
        <f t="shared" si="29"/>
        <v>32757</v>
      </c>
      <c r="D1883" s="10" t="s">
        <v>498</v>
      </c>
      <c r="E1883" s="7"/>
      <c r="F1883" s="7"/>
      <c r="G1883" s="22"/>
    </row>
    <row r="1884" spans="1:7" ht="20.25" hidden="1" customHeight="1">
      <c r="A1884" s="10">
        <v>32758</v>
      </c>
      <c r="B1884" s="10">
        <v>36758</v>
      </c>
      <c r="C1884" s="102">
        <f t="shared" si="29"/>
        <v>32758</v>
      </c>
      <c r="D1884" s="10" t="s">
        <v>498</v>
      </c>
      <c r="E1884" s="7"/>
      <c r="F1884" s="7"/>
      <c r="G1884" s="22"/>
    </row>
    <row r="1885" spans="1:7" ht="20.25" hidden="1" customHeight="1">
      <c r="A1885" s="10">
        <v>32759</v>
      </c>
      <c r="B1885" s="10">
        <v>36759</v>
      </c>
      <c r="C1885" s="102">
        <f t="shared" si="29"/>
        <v>32759</v>
      </c>
      <c r="D1885" s="10" t="s">
        <v>498</v>
      </c>
      <c r="E1885" s="7"/>
      <c r="F1885" s="7"/>
      <c r="G1885" s="22"/>
    </row>
    <row r="1886" spans="1:7" ht="20.25" hidden="1" customHeight="1">
      <c r="A1886" s="10">
        <v>32760</v>
      </c>
      <c r="B1886" s="10">
        <v>36760</v>
      </c>
      <c r="C1886" s="102">
        <f t="shared" si="29"/>
        <v>32760</v>
      </c>
      <c r="D1886" s="10" t="s">
        <v>498</v>
      </c>
      <c r="E1886" s="7"/>
      <c r="F1886" s="7"/>
      <c r="G1886" s="22"/>
    </row>
    <row r="1887" spans="1:7" ht="20.25" hidden="1" customHeight="1">
      <c r="A1887" s="10">
        <v>32761</v>
      </c>
      <c r="B1887" s="10">
        <v>36761</v>
      </c>
      <c r="C1887" s="102">
        <f t="shared" si="29"/>
        <v>32761</v>
      </c>
      <c r="D1887" s="10" t="s">
        <v>498</v>
      </c>
      <c r="E1887" s="7"/>
      <c r="F1887" s="7"/>
      <c r="G1887" s="22"/>
    </row>
    <row r="1888" spans="1:7" ht="20.25" hidden="1" customHeight="1">
      <c r="A1888" s="10">
        <v>32762</v>
      </c>
      <c r="B1888" s="10">
        <v>36762</v>
      </c>
      <c r="C1888" s="102">
        <f t="shared" si="29"/>
        <v>32762</v>
      </c>
      <c r="D1888" s="10" t="s">
        <v>498</v>
      </c>
      <c r="E1888" s="7"/>
      <c r="F1888" s="7"/>
      <c r="G1888" s="22"/>
    </row>
    <row r="1889" spans="1:7" ht="20.25" hidden="1" customHeight="1">
      <c r="A1889" s="10">
        <v>32763</v>
      </c>
      <c r="B1889" s="10">
        <v>36763</v>
      </c>
      <c r="C1889" s="102">
        <f t="shared" si="29"/>
        <v>32763</v>
      </c>
      <c r="D1889" s="10" t="s">
        <v>498</v>
      </c>
      <c r="E1889" s="7"/>
      <c r="F1889" s="7"/>
      <c r="G1889" s="22"/>
    </row>
    <row r="1890" spans="1:7" ht="20.25" hidden="1" customHeight="1">
      <c r="A1890" s="10">
        <v>32764</v>
      </c>
      <c r="B1890" s="10">
        <v>36764</v>
      </c>
      <c r="C1890" s="102">
        <f t="shared" si="29"/>
        <v>32764</v>
      </c>
      <c r="D1890" s="10" t="s">
        <v>498</v>
      </c>
      <c r="E1890" s="7"/>
      <c r="F1890" s="7"/>
      <c r="G1890" s="22"/>
    </row>
    <row r="1891" spans="1:7" ht="20.25" hidden="1" customHeight="1">
      <c r="A1891" s="10">
        <v>32765</v>
      </c>
      <c r="B1891" s="10">
        <v>36765</v>
      </c>
      <c r="C1891" s="102">
        <f t="shared" si="29"/>
        <v>32765</v>
      </c>
      <c r="D1891" s="10" t="s">
        <v>498</v>
      </c>
      <c r="E1891" s="7"/>
      <c r="F1891" s="7"/>
      <c r="G1891" s="22"/>
    </row>
    <row r="1892" spans="1:7" ht="20.25" hidden="1" customHeight="1">
      <c r="A1892" s="10">
        <v>32766</v>
      </c>
      <c r="B1892" s="10">
        <v>36766</v>
      </c>
      <c r="C1892" s="102">
        <f t="shared" si="29"/>
        <v>32766</v>
      </c>
      <c r="D1892" s="10" t="s">
        <v>498</v>
      </c>
      <c r="E1892" s="7"/>
      <c r="F1892" s="7"/>
      <c r="G1892" s="22"/>
    </row>
    <row r="1893" spans="1:7" ht="20.25" hidden="1" customHeight="1">
      <c r="A1893" s="10">
        <v>32767</v>
      </c>
      <c r="B1893" s="10">
        <v>36767</v>
      </c>
      <c r="C1893" s="102">
        <f t="shared" si="29"/>
        <v>32767</v>
      </c>
      <c r="D1893" s="10" t="s">
        <v>498</v>
      </c>
      <c r="E1893" s="7"/>
      <c r="F1893" s="7"/>
      <c r="G1893" s="22"/>
    </row>
    <row r="1894" spans="1:7" ht="20.25" hidden="1" customHeight="1">
      <c r="A1894" s="10">
        <v>32768</v>
      </c>
      <c r="B1894" s="10">
        <v>36768</v>
      </c>
      <c r="C1894" s="102">
        <f t="shared" si="29"/>
        <v>32768</v>
      </c>
      <c r="D1894" s="10" t="s">
        <v>498</v>
      </c>
      <c r="E1894" s="7"/>
      <c r="F1894" s="7"/>
      <c r="G1894" s="22"/>
    </row>
    <row r="1895" spans="1:7" ht="20.25" hidden="1" customHeight="1">
      <c r="A1895" s="10">
        <v>32769</v>
      </c>
      <c r="B1895" s="10">
        <v>36769</v>
      </c>
      <c r="C1895" s="102">
        <f t="shared" si="29"/>
        <v>32769</v>
      </c>
      <c r="D1895" s="10" t="s">
        <v>498</v>
      </c>
      <c r="E1895" s="7"/>
      <c r="F1895" s="7"/>
      <c r="G1895" s="22"/>
    </row>
    <row r="1896" spans="1:7" ht="20.25" hidden="1" customHeight="1">
      <c r="A1896" s="10">
        <v>32770</v>
      </c>
      <c r="B1896" s="10">
        <v>36770</v>
      </c>
      <c r="C1896" s="102">
        <f t="shared" si="29"/>
        <v>32770</v>
      </c>
      <c r="D1896" s="10" t="s">
        <v>498</v>
      </c>
      <c r="E1896" s="7"/>
      <c r="F1896" s="7"/>
      <c r="G1896" s="22"/>
    </row>
    <row r="1897" spans="1:7" ht="20.25" hidden="1" customHeight="1">
      <c r="A1897" s="10">
        <v>32771</v>
      </c>
      <c r="B1897" s="10">
        <v>36771</v>
      </c>
      <c r="C1897" s="102">
        <f t="shared" si="29"/>
        <v>32771</v>
      </c>
      <c r="D1897" s="10" t="s">
        <v>498</v>
      </c>
      <c r="E1897" s="7"/>
      <c r="F1897" s="7"/>
      <c r="G1897" s="22"/>
    </row>
    <row r="1898" spans="1:7" ht="20.25" hidden="1" customHeight="1">
      <c r="A1898" s="10">
        <v>32772</v>
      </c>
      <c r="B1898" s="10">
        <v>36772</v>
      </c>
      <c r="C1898" s="102">
        <f t="shared" si="29"/>
        <v>32772</v>
      </c>
      <c r="D1898" s="10" t="s">
        <v>498</v>
      </c>
      <c r="E1898" s="7"/>
      <c r="F1898" s="7"/>
      <c r="G1898" s="22"/>
    </row>
    <row r="1899" spans="1:7" ht="20.25" hidden="1" customHeight="1">
      <c r="A1899" s="10">
        <v>32773</v>
      </c>
      <c r="B1899" s="10">
        <v>36773</v>
      </c>
      <c r="C1899" s="102">
        <f t="shared" si="29"/>
        <v>32773</v>
      </c>
      <c r="D1899" s="10" t="s">
        <v>498</v>
      </c>
      <c r="E1899" s="7"/>
      <c r="F1899" s="7"/>
      <c r="G1899" s="22"/>
    </row>
    <row r="1900" spans="1:7" ht="20.25" hidden="1" customHeight="1">
      <c r="A1900" s="10">
        <v>32774</v>
      </c>
      <c r="B1900" s="10">
        <v>36774</v>
      </c>
      <c r="C1900" s="102">
        <f t="shared" si="29"/>
        <v>32774</v>
      </c>
      <c r="D1900" s="10" t="s">
        <v>498</v>
      </c>
      <c r="E1900" s="7"/>
      <c r="F1900" s="7"/>
      <c r="G1900" s="22"/>
    </row>
    <row r="1901" spans="1:7" ht="20.25" hidden="1" customHeight="1">
      <c r="A1901" s="10">
        <v>32775</v>
      </c>
      <c r="B1901" s="10">
        <v>36775</v>
      </c>
      <c r="C1901" s="102">
        <f t="shared" si="29"/>
        <v>32775</v>
      </c>
      <c r="D1901" s="10" t="s">
        <v>498</v>
      </c>
      <c r="E1901" s="7"/>
      <c r="F1901" s="7"/>
      <c r="G1901" s="22"/>
    </row>
    <row r="1902" spans="1:7" ht="20.25" hidden="1" customHeight="1">
      <c r="A1902" s="10">
        <v>32776</v>
      </c>
      <c r="B1902" s="10">
        <v>36776</v>
      </c>
      <c r="C1902" s="102">
        <f t="shared" si="29"/>
        <v>32776</v>
      </c>
      <c r="D1902" s="10" t="s">
        <v>498</v>
      </c>
      <c r="E1902" s="7"/>
      <c r="F1902" s="7"/>
      <c r="G1902" s="22"/>
    </row>
    <row r="1903" spans="1:7" ht="20.25" hidden="1" customHeight="1">
      <c r="A1903" s="10">
        <v>32777</v>
      </c>
      <c r="B1903" s="10">
        <v>36777</v>
      </c>
      <c r="C1903" s="102">
        <f t="shared" si="29"/>
        <v>32777</v>
      </c>
      <c r="D1903" s="10" t="s">
        <v>498</v>
      </c>
      <c r="E1903" s="7"/>
      <c r="F1903" s="7"/>
      <c r="G1903" s="22"/>
    </row>
    <row r="1904" spans="1:7" ht="20.25" hidden="1" customHeight="1">
      <c r="A1904" s="10">
        <v>32778</v>
      </c>
      <c r="B1904" s="10">
        <v>36778</v>
      </c>
      <c r="C1904" s="102">
        <f t="shared" si="29"/>
        <v>32778</v>
      </c>
      <c r="D1904" s="10" t="s">
        <v>498</v>
      </c>
      <c r="E1904" s="7"/>
      <c r="F1904" s="7"/>
      <c r="G1904" s="22"/>
    </row>
    <row r="1905" spans="1:7" ht="20.25" hidden="1" customHeight="1">
      <c r="A1905" s="10">
        <v>32779</v>
      </c>
      <c r="B1905" s="10">
        <v>36779</v>
      </c>
      <c r="C1905" s="102">
        <f t="shared" si="29"/>
        <v>32779</v>
      </c>
      <c r="D1905" s="10" t="s">
        <v>498</v>
      </c>
      <c r="E1905" s="7"/>
      <c r="F1905" s="7"/>
      <c r="G1905" s="22"/>
    </row>
    <row r="1906" spans="1:7" ht="20.25" hidden="1" customHeight="1">
      <c r="A1906" s="10">
        <v>32780</v>
      </c>
      <c r="B1906" s="10">
        <v>36780</v>
      </c>
      <c r="C1906" s="102">
        <f t="shared" si="29"/>
        <v>32780</v>
      </c>
      <c r="D1906" s="10" t="s">
        <v>498</v>
      </c>
      <c r="E1906" s="7"/>
      <c r="F1906" s="7"/>
      <c r="G1906" s="22"/>
    </row>
    <row r="1907" spans="1:7" ht="20.25" hidden="1" customHeight="1">
      <c r="A1907" s="10">
        <v>32781</v>
      </c>
      <c r="B1907" s="10">
        <v>36781</v>
      </c>
      <c r="C1907" s="102">
        <f t="shared" si="29"/>
        <v>32781</v>
      </c>
      <c r="D1907" s="10" t="s">
        <v>498</v>
      </c>
      <c r="E1907" s="7"/>
      <c r="F1907" s="7"/>
      <c r="G1907" s="22"/>
    </row>
    <row r="1908" spans="1:7" ht="20.25" hidden="1" customHeight="1">
      <c r="A1908" s="10">
        <v>32782</v>
      </c>
      <c r="B1908" s="10">
        <v>36782</v>
      </c>
      <c r="C1908" s="102">
        <f t="shared" si="29"/>
        <v>32782</v>
      </c>
      <c r="D1908" s="10" t="s">
        <v>498</v>
      </c>
      <c r="E1908" s="7"/>
      <c r="F1908" s="7"/>
      <c r="G1908" s="22"/>
    </row>
    <row r="1909" spans="1:7" ht="20.25" hidden="1" customHeight="1">
      <c r="A1909" s="10">
        <v>32783</v>
      </c>
      <c r="B1909" s="10">
        <v>36783</v>
      </c>
      <c r="C1909" s="102">
        <f t="shared" si="29"/>
        <v>32783</v>
      </c>
      <c r="D1909" s="10" t="s">
        <v>498</v>
      </c>
      <c r="E1909" s="7"/>
      <c r="F1909" s="7"/>
      <c r="G1909" s="22"/>
    </row>
    <row r="1910" spans="1:7" ht="20.25" hidden="1" customHeight="1">
      <c r="A1910" s="10">
        <v>32784</v>
      </c>
      <c r="B1910" s="10">
        <v>36784</v>
      </c>
      <c r="C1910" s="102">
        <f t="shared" si="29"/>
        <v>32784</v>
      </c>
      <c r="D1910" s="10" t="s">
        <v>498</v>
      </c>
      <c r="E1910" s="7"/>
      <c r="F1910" s="7"/>
      <c r="G1910" s="22"/>
    </row>
    <row r="1911" spans="1:7" ht="20.25" hidden="1" customHeight="1">
      <c r="A1911" s="10">
        <v>32785</v>
      </c>
      <c r="B1911" s="10">
        <v>36785</v>
      </c>
      <c r="C1911" s="102">
        <f t="shared" si="29"/>
        <v>32785</v>
      </c>
      <c r="D1911" s="10" t="s">
        <v>498</v>
      </c>
      <c r="E1911" s="7"/>
      <c r="F1911" s="7"/>
      <c r="G1911" s="22"/>
    </row>
    <row r="1912" spans="1:7" ht="20.25" hidden="1" customHeight="1">
      <c r="A1912" s="10">
        <v>32786</v>
      </c>
      <c r="B1912" s="10">
        <v>36786</v>
      </c>
      <c r="C1912" s="102">
        <f t="shared" si="29"/>
        <v>32786</v>
      </c>
      <c r="D1912" s="10" t="s">
        <v>498</v>
      </c>
      <c r="E1912" s="7"/>
      <c r="F1912" s="7"/>
      <c r="G1912" s="22"/>
    </row>
    <row r="1913" spans="1:7" ht="20.25" hidden="1" customHeight="1">
      <c r="A1913" s="10">
        <v>32787</v>
      </c>
      <c r="B1913" s="10">
        <v>36787</v>
      </c>
      <c r="C1913" s="102">
        <f t="shared" si="29"/>
        <v>32787</v>
      </c>
      <c r="D1913" s="10" t="s">
        <v>498</v>
      </c>
      <c r="E1913" s="7"/>
      <c r="F1913" s="7"/>
      <c r="G1913" s="22"/>
    </row>
    <row r="1914" spans="1:7" ht="20.25" hidden="1" customHeight="1">
      <c r="A1914" s="10">
        <v>32788</v>
      </c>
      <c r="B1914" s="10">
        <v>36788</v>
      </c>
      <c r="C1914" s="102">
        <f t="shared" si="29"/>
        <v>32788</v>
      </c>
      <c r="D1914" s="10" t="s">
        <v>498</v>
      </c>
      <c r="E1914" s="7"/>
      <c r="F1914" s="7"/>
      <c r="G1914" s="22"/>
    </row>
    <row r="1915" spans="1:7" ht="20.25" hidden="1" customHeight="1">
      <c r="A1915" s="10">
        <v>32789</v>
      </c>
      <c r="B1915" s="10">
        <v>36789</v>
      </c>
      <c r="C1915" s="102">
        <f t="shared" si="29"/>
        <v>32789</v>
      </c>
      <c r="D1915" s="10" t="s">
        <v>498</v>
      </c>
      <c r="E1915" s="7"/>
      <c r="F1915" s="7"/>
      <c r="G1915" s="22"/>
    </row>
    <row r="1916" spans="1:7" ht="20.25" hidden="1" customHeight="1">
      <c r="A1916" s="10">
        <v>32790</v>
      </c>
      <c r="B1916" s="10">
        <v>36790</v>
      </c>
      <c r="C1916" s="102">
        <f t="shared" si="29"/>
        <v>32790</v>
      </c>
      <c r="D1916" s="10" t="s">
        <v>498</v>
      </c>
      <c r="E1916" s="7"/>
      <c r="F1916" s="7"/>
      <c r="G1916" s="22"/>
    </row>
    <row r="1917" spans="1:7" ht="20.25" hidden="1" customHeight="1">
      <c r="A1917" s="10">
        <v>32791</v>
      </c>
      <c r="B1917" s="10">
        <v>36791</v>
      </c>
      <c r="C1917" s="102">
        <f t="shared" si="29"/>
        <v>32791</v>
      </c>
      <c r="D1917" s="10" t="s">
        <v>498</v>
      </c>
      <c r="E1917" s="7"/>
      <c r="F1917" s="7"/>
      <c r="G1917" s="22"/>
    </row>
    <row r="1918" spans="1:7" ht="20.25" hidden="1" customHeight="1">
      <c r="A1918" s="10">
        <v>32792</v>
      </c>
      <c r="B1918" s="10">
        <v>36792</v>
      </c>
      <c r="C1918" s="102">
        <f t="shared" si="29"/>
        <v>32792</v>
      </c>
      <c r="D1918" s="10" t="s">
        <v>498</v>
      </c>
      <c r="E1918" s="7"/>
      <c r="F1918" s="7"/>
      <c r="G1918" s="22"/>
    </row>
    <row r="1919" spans="1:7" ht="20.25" hidden="1" customHeight="1">
      <c r="A1919" s="10">
        <v>32793</v>
      </c>
      <c r="B1919" s="10">
        <v>36793</v>
      </c>
      <c r="C1919" s="102">
        <f t="shared" si="29"/>
        <v>32793</v>
      </c>
      <c r="D1919" s="10" t="s">
        <v>498</v>
      </c>
      <c r="E1919" s="7"/>
      <c r="F1919" s="7"/>
      <c r="G1919" s="22"/>
    </row>
    <row r="1920" spans="1:7" ht="20.25" hidden="1" customHeight="1">
      <c r="A1920" s="10">
        <v>32794</v>
      </c>
      <c r="B1920" s="10">
        <v>36794</v>
      </c>
      <c r="C1920" s="102">
        <f t="shared" si="29"/>
        <v>32794</v>
      </c>
      <c r="D1920" s="10" t="s">
        <v>498</v>
      </c>
      <c r="E1920" s="7"/>
      <c r="F1920" s="7"/>
      <c r="G1920" s="22"/>
    </row>
    <row r="1921" spans="1:7" ht="20.25" hidden="1" customHeight="1">
      <c r="A1921" s="10">
        <v>32795</v>
      </c>
      <c r="B1921" s="10">
        <v>36795</v>
      </c>
      <c r="C1921" s="102">
        <f t="shared" si="29"/>
        <v>32795</v>
      </c>
      <c r="D1921" s="10" t="s">
        <v>498</v>
      </c>
      <c r="E1921" s="7"/>
      <c r="F1921" s="7"/>
      <c r="G1921" s="22"/>
    </row>
    <row r="1922" spans="1:7" ht="20.25" hidden="1" customHeight="1">
      <c r="A1922" s="10">
        <v>32796</v>
      </c>
      <c r="B1922" s="10">
        <v>36796</v>
      </c>
      <c r="C1922" s="102">
        <f t="shared" si="29"/>
        <v>32796</v>
      </c>
      <c r="D1922" s="10" t="s">
        <v>498</v>
      </c>
      <c r="E1922" s="7"/>
      <c r="F1922" s="7"/>
      <c r="G1922" s="22"/>
    </row>
    <row r="1923" spans="1:7" ht="20.25" hidden="1" customHeight="1">
      <c r="A1923" s="10">
        <v>32797</v>
      </c>
      <c r="B1923" s="10">
        <v>36797</v>
      </c>
      <c r="C1923" s="102">
        <f t="shared" si="29"/>
        <v>32797</v>
      </c>
      <c r="D1923" s="10" t="s">
        <v>498</v>
      </c>
      <c r="E1923" s="7"/>
      <c r="F1923" s="7"/>
      <c r="G1923" s="22"/>
    </row>
    <row r="1924" spans="1:7" ht="20.25" hidden="1" customHeight="1">
      <c r="A1924" s="10">
        <v>32798</v>
      </c>
      <c r="B1924" s="10">
        <v>36798</v>
      </c>
      <c r="C1924" s="102">
        <f t="shared" ref="C1924:C1987" si="30">IF(ISERROR(FIND("B_Epic",E1924)),A1924,A1924+10000)</f>
        <v>32798</v>
      </c>
      <c r="D1924" s="10" t="s">
        <v>498</v>
      </c>
      <c r="E1924" s="7"/>
      <c r="F1924" s="7"/>
      <c r="G1924" s="22"/>
    </row>
    <row r="1925" spans="1:7" ht="20.25" hidden="1" customHeight="1">
      <c r="A1925" s="10">
        <v>32799</v>
      </c>
      <c r="B1925" s="10">
        <v>36799</v>
      </c>
      <c r="C1925" s="102">
        <f t="shared" si="30"/>
        <v>32799</v>
      </c>
      <c r="D1925" s="10" t="s">
        <v>498</v>
      </c>
      <c r="E1925" s="7"/>
      <c r="F1925" s="7"/>
      <c r="G1925" s="22"/>
    </row>
    <row r="1926" spans="1:7" ht="20.25" hidden="1" customHeight="1">
      <c r="A1926" s="10">
        <v>32800</v>
      </c>
      <c r="B1926" s="10">
        <v>36800</v>
      </c>
      <c r="C1926" s="102">
        <f t="shared" si="30"/>
        <v>32800</v>
      </c>
      <c r="D1926" s="10" t="s">
        <v>498</v>
      </c>
      <c r="E1926" s="7"/>
      <c r="F1926" s="7"/>
      <c r="G1926" s="22"/>
    </row>
    <row r="1927" spans="1:7" ht="20.25" hidden="1" customHeight="1">
      <c r="A1927" s="10">
        <v>32801</v>
      </c>
      <c r="B1927" s="10">
        <v>36801</v>
      </c>
      <c r="C1927" s="102">
        <f t="shared" si="30"/>
        <v>32801</v>
      </c>
      <c r="D1927" s="10" t="s">
        <v>498</v>
      </c>
      <c r="E1927" s="7"/>
      <c r="F1927" s="7"/>
      <c r="G1927" s="22"/>
    </row>
    <row r="1928" spans="1:7" ht="20.25" hidden="1" customHeight="1">
      <c r="A1928" s="10">
        <v>32802</v>
      </c>
      <c r="B1928" s="10">
        <v>36802</v>
      </c>
      <c r="C1928" s="102">
        <f t="shared" si="30"/>
        <v>32802</v>
      </c>
      <c r="D1928" s="10" t="s">
        <v>498</v>
      </c>
      <c r="E1928" s="7"/>
      <c r="F1928" s="7"/>
      <c r="G1928" s="22"/>
    </row>
    <row r="1929" spans="1:7" ht="20.25" hidden="1" customHeight="1">
      <c r="A1929" s="10">
        <v>32803</v>
      </c>
      <c r="B1929" s="10">
        <v>36803</v>
      </c>
      <c r="C1929" s="102">
        <f t="shared" si="30"/>
        <v>32803</v>
      </c>
      <c r="D1929" s="10" t="s">
        <v>498</v>
      </c>
      <c r="E1929" s="7"/>
      <c r="F1929" s="7"/>
      <c r="G1929" s="22"/>
    </row>
    <row r="1930" spans="1:7" ht="20.25" hidden="1" customHeight="1">
      <c r="A1930" s="10">
        <v>32804</v>
      </c>
      <c r="B1930" s="10">
        <v>36804</v>
      </c>
      <c r="C1930" s="102">
        <f t="shared" si="30"/>
        <v>32804</v>
      </c>
      <c r="D1930" s="10" t="s">
        <v>498</v>
      </c>
      <c r="E1930" s="7"/>
      <c r="F1930" s="7"/>
      <c r="G1930" s="22"/>
    </row>
    <row r="1931" spans="1:7" ht="20.25" hidden="1" customHeight="1">
      <c r="A1931" s="10">
        <v>32805</v>
      </c>
      <c r="B1931" s="10">
        <v>36805</v>
      </c>
      <c r="C1931" s="102">
        <f t="shared" si="30"/>
        <v>32805</v>
      </c>
      <c r="D1931" s="10" t="s">
        <v>498</v>
      </c>
      <c r="E1931" s="7"/>
      <c r="F1931" s="7"/>
      <c r="G1931" s="22"/>
    </row>
    <row r="1932" spans="1:7" ht="20.25" hidden="1" customHeight="1">
      <c r="A1932" s="10">
        <v>32806</v>
      </c>
      <c r="B1932" s="10">
        <v>36806</v>
      </c>
      <c r="C1932" s="102">
        <f t="shared" si="30"/>
        <v>32806</v>
      </c>
      <c r="D1932" s="10" t="s">
        <v>498</v>
      </c>
      <c r="E1932" s="7"/>
      <c r="F1932" s="7"/>
      <c r="G1932" s="22"/>
    </row>
    <row r="1933" spans="1:7" ht="20.25" hidden="1" customHeight="1">
      <c r="A1933" s="10">
        <v>32807</v>
      </c>
      <c r="B1933" s="10">
        <v>36807</v>
      </c>
      <c r="C1933" s="102">
        <f t="shared" si="30"/>
        <v>32807</v>
      </c>
      <c r="D1933" s="10" t="s">
        <v>498</v>
      </c>
      <c r="E1933" s="7"/>
      <c r="F1933" s="7"/>
      <c r="G1933" s="22"/>
    </row>
    <row r="1934" spans="1:7" ht="20.25" hidden="1" customHeight="1">
      <c r="A1934" s="10">
        <v>32808</v>
      </c>
      <c r="B1934" s="10">
        <v>36808</v>
      </c>
      <c r="C1934" s="102">
        <f t="shared" si="30"/>
        <v>32808</v>
      </c>
      <c r="D1934" s="10" t="s">
        <v>498</v>
      </c>
      <c r="E1934" s="7"/>
      <c r="F1934" s="7"/>
      <c r="G1934" s="22"/>
    </row>
    <row r="1935" spans="1:7" ht="20.25" hidden="1" customHeight="1">
      <c r="A1935" s="10">
        <v>32809</v>
      </c>
      <c r="B1935" s="10">
        <v>36809</v>
      </c>
      <c r="C1935" s="102">
        <f t="shared" si="30"/>
        <v>32809</v>
      </c>
      <c r="D1935" s="10" t="s">
        <v>498</v>
      </c>
      <c r="E1935" s="7"/>
      <c r="F1935" s="7"/>
      <c r="G1935" s="22"/>
    </row>
    <row r="1936" spans="1:7" ht="20.25" hidden="1" customHeight="1">
      <c r="A1936" s="10">
        <v>32810</v>
      </c>
      <c r="B1936" s="10">
        <v>36810</v>
      </c>
      <c r="C1936" s="102">
        <f t="shared" si="30"/>
        <v>32810</v>
      </c>
      <c r="D1936" s="10" t="s">
        <v>498</v>
      </c>
      <c r="E1936" s="7"/>
      <c r="F1936" s="7"/>
      <c r="G1936" s="22"/>
    </row>
    <row r="1937" spans="1:7" ht="20.25" hidden="1" customHeight="1">
      <c r="A1937" s="10">
        <v>32811</v>
      </c>
      <c r="B1937" s="10">
        <v>36811</v>
      </c>
      <c r="C1937" s="102">
        <f t="shared" si="30"/>
        <v>32811</v>
      </c>
      <c r="D1937" s="10" t="s">
        <v>498</v>
      </c>
      <c r="E1937" s="7"/>
      <c r="F1937" s="7"/>
      <c r="G1937" s="22"/>
    </row>
    <row r="1938" spans="1:7" ht="20.25" hidden="1" customHeight="1">
      <c r="A1938" s="10">
        <v>32812</v>
      </c>
      <c r="B1938" s="10">
        <v>36812</v>
      </c>
      <c r="C1938" s="102">
        <f t="shared" si="30"/>
        <v>32812</v>
      </c>
      <c r="D1938" s="10" t="s">
        <v>498</v>
      </c>
      <c r="E1938" s="7"/>
      <c r="F1938" s="7"/>
      <c r="G1938" s="22"/>
    </row>
    <row r="1939" spans="1:7" ht="20.25" hidden="1" customHeight="1">
      <c r="A1939" s="10">
        <v>32813</v>
      </c>
      <c r="B1939" s="10">
        <v>36813</v>
      </c>
      <c r="C1939" s="102">
        <f t="shared" si="30"/>
        <v>32813</v>
      </c>
      <c r="D1939" s="10" t="s">
        <v>498</v>
      </c>
      <c r="E1939" s="7"/>
      <c r="F1939" s="7"/>
      <c r="G1939" s="22"/>
    </row>
    <row r="1940" spans="1:7" ht="20.25" hidden="1" customHeight="1">
      <c r="A1940" s="10">
        <v>32814</v>
      </c>
      <c r="B1940" s="10">
        <v>36814</v>
      </c>
      <c r="C1940" s="102">
        <f t="shared" si="30"/>
        <v>32814</v>
      </c>
      <c r="D1940" s="10" t="s">
        <v>498</v>
      </c>
      <c r="E1940" s="7"/>
      <c r="F1940" s="7"/>
      <c r="G1940" s="22"/>
    </row>
    <row r="1941" spans="1:7" ht="20.25" hidden="1" customHeight="1">
      <c r="A1941" s="10">
        <v>32815</v>
      </c>
      <c r="B1941" s="10">
        <v>36815</v>
      </c>
      <c r="C1941" s="102">
        <f t="shared" si="30"/>
        <v>32815</v>
      </c>
      <c r="D1941" s="10" t="s">
        <v>498</v>
      </c>
      <c r="E1941" s="7"/>
      <c r="F1941" s="7"/>
      <c r="G1941" s="22"/>
    </row>
    <row r="1942" spans="1:7" ht="20.25" hidden="1" customHeight="1">
      <c r="A1942" s="10">
        <v>32816</v>
      </c>
      <c r="B1942" s="10">
        <v>36816</v>
      </c>
      <c r="C1942" s="102">
        <f t="shared" si="30"/>
        <v>32816</v>
      </c>
      <c r="D1942" s="10" t="s">
        <v>498</v>
      </c>
      <c r="E1942" s="7"/>
      <c r="F1942" s="7"/>
      <c r="G1942" s="22"/>
    </row>
    <row r="1943" spans="1:7" ht="20.25" hidden="1" customHeight="1">
      <c r="A1943" s="10">
        <v>32817</v>
      </c>
      <c r="B1943" s="10">
        <v>36817</v>
      </c>
      <c r="C1943" s="102">
        <f t="shared" si="30"/>
        <v>32817</v>
      </c>
      <c r="D1943" s="10" t="s">
        <v>498</v>
      </c>
      <c r="E1943" s="7"/>
      <c r="F1943" s="7"/>
      <c r="G1943" s="22"/>
    </row>
    <row r="1944" spans="1:7" ht="20.25" hidden="1" customHeight="1">
      <c r="A1944" s="10">
        <v>32818</v>
      </c>
      <c r="B1944" s="10">
        <v>36818</v>
      </c>
      <c r="C1944" s="102">
        <f t="shared" si="30"/>
        <v>32818</v>
      </c>
      <c r="D1944" s="10" t="s">
        <v>498</v>
      </c>
      <c r="E1944" s="7"/>
      <c r="F1944" s="7"/>
      <c r="G1944" s="22"/>
    </row>
    <row r="1945" spans="1:7" ht="20.25" hidden="1" customHeight="1">
      <c r="A1945" s="10">
        <v>32819</v>
      </c>
      <c r="B1945" s="10">
        <v>36819</v>
      </c>
      <c r="C1945" s="102">
        <f t="shared" si="30"/>
        <v>32819</v>
      </c>
      <c r="D1945" s="10" t="s">
        <v>498</v>
      </c>
      <c r="E1945" s="7"/>
      <c r="F1945" s="7"/>
      <c r="G1945" s="22"/>
    </row>
    <row r="1946" spans="1:7" ht="20.25" hidden="1" customHeight="1">
      <c r="A1946" s="10">
        <v>32820</v>
      </c>
      <c r="B1946" s="10">
        <v>36820</v>
      </c>
      <c r="C1946" s="102">
        <f t="shared" si="30"/>
        <v>32820</v>
      </c>
      <c r="D1946" s="10" t="s">
        <v>498</v>
      </c>
      <c r="E1946" s="7"/>
      <c r="F1946" s="7"/>
      <c r="G1946" s="22"/>
    </row>
    <row r="1947" spans="1:7" ht="20.25" hidden="1" customHeight="1">
      <c r="A1947" s="10">
        <v>32821</v>
      </c>
      <c r="B1947" s="10">
        <v>36821</v>
      </c>
      <c r="C1947" s="102">
        <f t="shared" si="30"/>
        <v>32821</v>
      </c>
      <c r="D1947" s="10" t="s">
        <v>498</v>
      </c>
      <c r="E1947" s="7"/>
      <c r="F1947" s="7"/>
      <c r="G1947" s="22"/>
    </row>
    <row r="1948" spans="1:7" ht="20.25" hidden="1" customHeight="1">
      <c r="A1948" s="10">
        <v>32822</v>
      </c>
      <c r="B1948" s="10">
        <v>36822</v>
      </c>
      <c r="C1948" s="102">
        <f t="shared" si="30"/>
        <v>32822</v>
      </c>
      <c r="D1948" s="10" t="s">
        <v>498</v>
      </c>
      <c r="E1948" s="7"/>
      <c r="F1948" s="7"/>
      <c r="G1948" s="22"/>
    </row>
    <row r="1949" spans="1:7" ht="20.25" hidden="1" customHeight="1">
      <c r="A1949" s="10">
        <v>32823</v>
      </c>
      <c r="B1949" s="10">
        <v>36823</v>
      </c>
      <c r="C1949" s="102">
        <f t="shared" si="30"/>
        <v>32823</v>
      </c>
      <c r="D1949" s="10" t="s">
        <v>498</v>
      </c>
      <c r="E1949" s="7"/>
      <c r="F1949" s="7"/>
      <c r="G1949" s="22"/>
    </row>
    <row r="1950" spans="1:7" ht="20.25" hidden="1" customHeight="1">
      <c r="A1950" s="10">
        <v>32824</v>
      </c>
      <c r="B1950" s="10">
        <v>36824</v>
      </c>
      <c r="C1950" s="102">
        <f t="shared" si="30"/>
        <v>32824</v>
      </c>
      <c r="D1950" s="10" t="s">
        <v>498</v>
      </c>
      <c r="E1950" s="7"/>
      <c r="F1950" s="7"/>
      <c r="G1950" s="22"/>
    </row>
    <row r="1951" spans="1:7" ht="20.25" hidden="1" customHeight="1">
      <c r="A1951" s="10">
        <v>32825</v>
      </c>
      <c r="B1951" s="10">
        <v>36825</v>
      </c>
      <c r="C1951" s="102">
        <f t="shared" si="30"/>
        <v>32825</v>
      </c>
      <c r="D1951" s="10" t="s">
        <v>498</v>
      </c>
      <c r="E1951" s="7"/>
      <c r="F1951" s="7"/>
      <c r="G1951" s="22"/>
    </row>
    <row r="1952" spans="1:7" ht="20.25" hidden="1" customHeight="1">
      <c r="A1952" s="10">
        <v>32826</v>
      </c>
      <c r="B1952" s="10">
        <v>36826</v>
      </c>
      <c r="C1952" s="102">
        <f t="shared" si="30"/>
        <v>32826</v>
      </c>
      <c r="D1952" s="10" t="s">
        <v>498</v>
      </c>
      <c r="E1952" s="7"/>
      <c r="F1952" s="7"/>
      <c r="G1952" s="22"/>
    </row>
    <row r="1953" spans="1:7" ht="20.25" hidden="1" customHeight="1">
      <c r="A1953" s="10">
        <v>32827</v>
      </c>
      <c r="B1953" s="10">
        <v>36827</v>
      </c>
      <c r="C1953" s="102">
        <f t="shared" si="30"/>
        <v>32827</v>
      </c>
      <c r="D1953" s="10" t="s">
        <v>498</v>
      </c>
      <c r="E1953" s="7"/>
      <c r="F1953" s="7"/>
      <c r="G1953" s="22"/>
    </row>
    <row r="1954" spans="1:7" ht="20.25" hidden="1" customHeight="1">
      <c r="A1954" s="10">
        <v>32828</v>
      </c>
      <c r="B1954" s="10">
        <v>36828</v>
      </c>
      <c r="C1954" s="102">
        <f t="shared" si="30"/>
        <v>32828</v>
      </c>
      <c r="D1954" s="10" t="s">
        <v>498</v>
      </c>
      <c r="E1954" s="7"/>
      <c r="F1954" s="7"/>
      <c r="G1954" s="22"/>
    </row>
    <row r="1955" spans="1:7" ht="20.25" hidden="1" customHeight="1">
      <c r="A1955" s="10">
        <v>32829</v>
      </c>
      <c r="B1955" s="10">
        <v>36829</v>
      </c>
      <c r="C1955" s="102">
        <f t="shared" si="30"/>
        <v>32829</v>
      </c>
      <c r="D1955" s="10" t="s">
        <v>498</v>
      </c>
      <c r="E1955" s="7"/>
      <c r="F1955" s="7"/>
      <c r="G1955" s="22"/>
    </row>
    <row r="1956" spans="1:7" ht="20.25" hidden="1" customHeight="1">
      <c r="A1956" s="10">
        <v>32830</v>
      </c>
      <c r="B1956" s="10">
        <v>36830</v>
      </c>
      <c r="C1956" s="102">
        <f t="shared" si="30"/>
        <v>32830</v>
      </c>
      <c r="D1956" s="10" t="s">
        <v>498</v>
      </c>
      <c r="E1956" s="7"/>
      <c r="F1956" s="7"/>
      <c r="G1956" s="22"/>
    </row>
    <row r="1957" spans="1:7" ht="20.25" hidden="1" customHeight="1">
      <c r="A1957" s="10">
        <v>32831</v>
      </c>
      <c r="B1957" s="10">
        <v>36831</v>
      </c>
      <c r="C1957" s="102">
        <f t="shared" si="30"/>
        <v>32831</v>
      </c>
      <c r="D1957" s="10" t="s">
        <v>498</v>
      </c>
      <c r="E1957" s="7"/>
      <c r="F1957" s="7"/>
      <c r="G1957" s="22"/>
    </row>
    <row r="1958" spans="1:7" ht="20.25" hidden="1" customHeight="1">
      <c r="A1958" s="10">
        <v>32832</v>
      </c>
      <c r="B1958" s="10">
        <v>36832</v>
      </c>
      <c r="C1958" s="102">
        <f t="shared" si="30"/>
        <v>32832</v>
      </c>
      <c r="D1958" s="10" t="s">
        <v>498</v>
      </c>
      <c r="E1958" s="7"/>
      <c r="F1958" s="7"/>
      <c r="G1958" s="22"/>
    </row>
    <row r="1959" spans="1:7" ht="20.25" hidden="1" customHeight="1">
      <c r="A1959" s="10">
        <v>32833</v>
      </c>
      <c r="B1959" s="10">
        <v>36833</v>
      </c>
      <c r="C1959" s="102">
        <f t="shared" si="30"/>
        <v>32833</v>
      </c>
      <c r="D1959" s="10" t="s">
        <v>498</v>
      </c>
      <c r="E1959" s="7"/>
      <c r="F1959" s="7"/>
      <c r="G1959" s="22"/>
    </row>
    <row r="1960" spans="1:7" ht="20.25" hidden="1" customHeight="1">
      <c r="A1960" s="10">
        <v>32834</v>
      </c>
      <c r="B1960" s="10">
        <v>36834</v>
      </c>
      <c r="C1960" s="102">
        <f t="shared" si="30"/>
        <v>32834</v>
      </c>
      <c r="D1960" s="10" t="s">
        <v>498</v>
      </c>
      <c r="E1960" s="7"/>
      <c r="F1960" s="7"/>
      <c r="G1960" s="22"/>
    </row>
    <row r="1961" spans="1:7" ht="20.25" hidden="1" customHeight="1">
      <c r="A1961" s="10">
        <v>32835</v>
      </c>
      <c r="B1961" s="10">
        <v>36835</v>
      </c>
      <c r="C1961" s="102">
        <f t="shared" si="30"/>
        <v>32835</v>
      </c>
      <c r="D1961" s="10" t="s">
        <v>498</v>
      </c>
      <c r="E1961" s="7"/>
      <c r="F1961" s="7"/>
      <c r="G1961" s="22"/>
    </row>
    <row r="1962" spans="1:7" ht="20.25" hidden="1" customHeight="1">
      <c r="A1962" s="10">
        <v>32836</v>
      </c>
      <c r="B1962" s="10">
        <v>36836</v>
      </c>
      <c r="C1962" s="102">
        <f t="shared" si="30"/>
        <v>32836</v>
      </c>
      <c r="D1962" s="10" t="s">
        <v>498</v>
      </c>
      <c r="E1962" s="7"/>
      <c r="F1962" s="7"/>
      <c r="G1962" s="22"/>
    </row>
    <row r="1963" spans="1:7" ht="20.25" hidden="1" customHeight="1">
      <c r="A1963" s="10">
        <v>32837</v>
      </c>
      <c r="B1963" s="10">
        <v>36837</v>
      </c>
      <c r="C1963" s="102">
        <f t="shared" si="30"/>
        <v>32837</v>
      </c>
      <c r="D1963" s="10" t="s">
        <v>498</v>
      </c>
      <c r="E1963" s="7"/>
      <c r="F1963" s="7"/>
      <c r="G1963" s="22"/>
    </row>
    <row r="1964" spans="1:7" ht="20.25" hidden="1" customHeight="1">
      <c r="A1964" s="10">
        <v>32838</v>
      </c>
      <c r="B1964" s="10">
        <v>36838</v>
      </c>
      <c r="C1964" s="102">
        <f t="shared" si="30"/>
        <v>32838</v>
      </c>
      <c r="D1964" s="10" t="s">
        <v>498</v>
      </c>
      <c r="E1964" s="7"/>
      <c r="F1964" s="7"/>
      <c r="G1964" s="22"/>
    </row>
    <row r="1965" spans="1:7" ht="20.25" hidden="1" customHeight="1">
      <c r="A1965" s="10">
        <v>32839</v>
      </c>
      <c r="B1965" s="10">
        <v>36839</v>
      </c>
      <c r="C1965" s="102">
        <f t="shared" si="30"/>
        <v>32839</v>
      </c>
      <c r="D1965" s="10" t="s">
        <v>498</v>
      </c>
      <c r="E1965" s="7"/>
      <c r="F1965" s="7"/>
      <c r="G1965" s="22"/>
    </row>
    <row r="1966" spans="1:7" ht="20.25" hidden="1" customHeight="1">
      <c r="A1966" s="10">
        <v>32840</v>
      </c>
      <c r="B1966" s="10">
        <v>36840</v>
      </c>
      <c r="C1966" s="102">
        <f t="shared" si="30"/>
        <v>32840</v>
      </c>
      <c r="D1966" s="10" t="s">
        <v>498</v>
      </c>
      <c r="E1966" s="7"/>
      <c r="F1966" s="7"/>
      <c r="G1966" s="22"/>
    </row>
    <row r="1967" spans="1:7" ht="20.25" hidden="1" customHeight="1">
      <c r="A1967" s="10">
        <v>32841</v>
      </c>
      <c r="B1967" s="10">
        <v>36841</v>
      </c>
      <c r="C1967" s="102">
        <f t="shared" si="30"/>
        <v>32841</v>
      </c>
      <c r="D1967" s="10" t="s">
        <v>498</v>
      </c>
      <c r="E1967" s="7"/>
      <c r="F1967" s="7"/>
      <c r="G1967" s="22"/>
    </row>
    <row r="1968" spans="1:7" ht="20.25" hidden="1" customHeight="1">
      <c r="A1968" s="10">
        <v>32842</v>
      </c>
      <c r="B1968" s="10">
        <v>36842</v>
      </c>
      <c r="C1968" s="102">
        <f t="shared" si="30"/>
        <v>32842</v>
      </c>
      <c r="D1968" s="10" t="s">
        <v>498</v>
      </c>
      <c r="E1968" s="7"/>
      <c r="F1968" s="7"/>
      <c r="G1968" s="22"/>
    </row>
    <row r="1969" spans="1:7" ht="20.25" hidden="1" customHeight="1">
      <c r="A1969" s="10">
        <v>32843</v>
      </c>
      <c r="B1969" s="10">
        <v>36843</v>
      </c>
      <c r="C1969" s="102">
        <f t="shared" si="30"/>
        <v>32843</v>
      </c>
      <c r="D1969" s="10" t="s">
        <v>498</v>
      </c>
      <c r="E1969" s="7"/>
      <c r="F1969" s="7"/>
      <c r="G1969" s="22"/>
    </row>
    <row r="1970" spans="1:7" ht="20.25" hidden="1" customHeight="1">
      <c r="A1970" s="10">
        <v>32844</v>
      </c>
      <c r="B1970" s="10">
        <v>36844</v>
      </c>
      <c r="C1970" s="102">
        <f t="shared" si="30"/>
        <v>32844</v>
      </c>
      <c r="D1970" s="10" t="s">
        <v>498</v>
      </c>
      <c r="E1970" s="7"/>
      <c r="F1970" s="7"/>
      <c r="G1970" s="22"/>
    </row>
    <row r="1971" spans="1:7" ht="20.25" hidden="1" customHeight="1">
      <c r="A1971" s="10">
        <v>32845</v>
      </c>
      <c r="B1971" s="10">
        <v>36845</v>
      </c>
      <c r="C1971" s="102">
        <f t="shared" si="30"/>
        <v>32845</v>
      </c>
      <c r="D1971" s="10" t="s">
        <v>498</v>
      </c>
      <c r="E1971" s="7"/>
      <c r="F1971" s="7"/>
      <c r="G1971" s="22"/>
    </row>
    <row r="1972" spans="1:7" ht="20.25" hidden="1" customHeight="1">
      <c r="A1972" s="10">
        <v>32846</v>
      </c>
      <c r="B1972" s="10">
        <v>36846</v>
      </c>
      <c r="C1972" s="102">
        <f t="shared" si="30"/>
        <v>32846</v>
      </c>
      <c r="D1972" s="10" t="s">
        <v>498</v>
      </c>
      <c r="E1972" s="7"/>
      <c r="F1972" s="7"/>
      <c r="G1972" s="22"/>
    </row>
    <row r="1973" spans="1:7" ht="20.25" hidden="1" customHeight="1">
      <c r="A1973" s="10">
        <v>32847</v>
      </c>
      <c r="B1973" s="10">
        <v>36847</v>
      </c>
      <c r="C1973" s="102">
        <f t="shared" si="30"/>
        <v>32847</v>
      </c>
      <c r="D1973" s="10" t="s">
        <v>498</v>
      </c>
      <c r="E1973" s="7"/>
      <c r="F1973" s="7"/>
      <c r="G1973" s="22"/>
    </row>
    <row r="1974" spans="1:7" ht="20.25" hidden="1" customHeight="1">
      <c r="A1974" s="10">
        <v>32848</v>
      </c>
      <c r="B1974" s="10">
        <v>36848</v>
      </c>
      <c r="C1974" s="102">
        <f t="shared" si="30"/>
        <v>32848</v>
      </c>
      <c r="D1974" s="10" t="s">
        <v>498</v>
      </c>
      <c r="E1974" s="7"/>
      <c r="F1974" s="7"/>
      <c r="G1974" s="22"/>
    </row>
    <row r="1975" spans="1:7" ht="20.25" hidden="1" customHeight="1">
      <c r="A1975" s="10">
        <v>32849</v>
      </c>
      <c r="B1975" s="10">
        <v>36849</v>
      </c>
      <c r="C1975" s="102">
        <f t="shared" si="30"/>
        <v>32849</v>
      </c>
      <c r="D1975" s="10" t="s">
        <v>498</v>
      </c>
      <c r="E1975" s="7"/>
      <c r="F1975" s="7"/>
      <c r="G1975" s="22"/>
    </row>
    <row r="1976" spans="1:7" ht="20.25" hidden="1" customHeight="1">
      <c r="A1976" s="10">
        <v>32850</v>
      </c>
      <c r="B1976" s="10">
        <v>36850</v>
      </c>
      <c r="C1976" s="102">
        <f t="shared" si="30"/>
        <v>32850</v>
      </c>
      <c r="D1976" s="10" t="s">
        <v>498</v>
      </c>
      <c r="E1976" s="7"/>
      <c r="F1976" s="7"/>
      <c r="G1976" s="22"/>
    </row>
    <row r="1977" spans="1:7" ht="20.25" hidden="1" customHeight="1">
      <c r="A1977" s="10">
        <v>32851</v>
      </c>
      <c r="B1977" s="10">
        <v>36851</v>
      </c>
      <c r="C1977" s="102">
        <f t="shared" si="30"/>
        <v>32851</v>
      </c>
      <c r="D1977" s="10" t="s">
        <v>498</v>
      </c>
      <c r="E1977" s="7"/>
      <c r="F1977" s="7"/>
      <c r="G1977" s="22"/>
    </row>
    <row r="1978" spans="1:7" ht="20.25" hidden="1" customHeight="1">
      <c r="A1978" s="10">
        <v>32852</v>
      </c>
      <c r="B1978" s="10">
        <v>36852</v>
      </c>
      <c r="C1978" s="102">
        <f t="shared" si="30"/>
        <v>32852</v>
      </c>
      <c r="D1978" s="10" t="s">
        <v>498</v>
      </c>
      <c r="E1978" s="7"/>
      <c r="F1978" s="7"/>
      <c r="G1978" s="22"/>
    </row>
    <row r="1979" spans="1:7" ht="20.25" hidden="1" customHeight="1">
      <c r="A1979" s="10">
        <v>32853</v>
      </c>
      <c r="B1979" s="10">
        <v>36853</v>
      </c>
      <c r="C1979" s="102">
        <f t="shared" si="30"/>
        <v>32853</v>
      </c>
      <c r="D1979" s="10" t="s">
        <v>498</v>
      </c>
      <c r="E1979" s="7"/>
      <c r="F1979" s="7"/>
      <c r="G1979" s="22"/>
    </row>
    <row r="1980" spans="1:7" ht="20.25" hidden="1" customHeight="1">
      <c r="A1980" s="10">
        <v>32854</v>
      </c>
      <c r="B1980" s="10">
        <v>36854</v>
      </c>
      <c r="C1980" s="102">
        <f t="shared" si="30"/>
        <v>32854</v>
      </c>
      <c r="D1980" s="10" t="s">
        <v>498</v>
      </c>
      <c r="E1980" s="7"/>
      <c r="F1980" s="7"/>
      <c r="G1980" s="22"/>
    </row>
    <row r="1981" spans="1:7" ht="20.25" hidden="1" customHeight="1">
      <c r="A1981" s="10">
        <v>32855</v>
      </c>
      <c r="B1981" s="10">
        <v>36855</v>
      </c>
      <c r="C1981" s="102">
        <f t="shared" si="30"/>
        <v>32855</v>
      </c>
      <c r="D1981" s="10" t="s">
        <v>498</v>
      </c>
      <c r="E1981" s="7"/>
      <c r="F1981" s="7"/>
      <c r="G1981" s="22"/>
    </row>
    <row r="1982" spans="1:7" ht="20.25" hidden="1" customHeight="1">
      <c r="A1982" s="10">
        <v>32856</v>
      </c>
      <c r="B1982" s="10">
        <v>36856</v>
      </c>
      <c r="C1982" s="102">
        <f t="shared" si="30"/>
        <v>32856</v>
      </c>
      <c r="D1982" s="10" t="s">
        <v>498</v>
      </c>
      <c r="E1982" s="7"/>
      <c r="F1982" s="7"/>
      <c r="G1982" s="22"/>
    </row>
    <row r="1983" spans="1:7" ht="20.25" hidden="1" customHeight="1">
      <c r="A1983" s="10">
        <v>32857</v>
      </c>
      <c r="B1983" s="10">
        <v>36857</v>
      </c>
      <c r="C1983" s="102">
        <f t="shared" si="30"/>
        <v>32857</v>
      </c>
      <c r="D1983" s="10" t="s">
        <v>498</v>
      </c>
      <c r="E1983" s="7"/>
      <c r="F1983" s="7"/>
      <c r="G1983" s="22"/>
    </row>
    <row r="1984" spans="1:7" ht="20.25" hidden="1" customHeight="1">
      <c r="A1984" s="10">
        <v>32858</v>
      </c>
      <c r="B1984" s="10">
        <v>36858</v>
      </c>
      <c r="C1984" s="102">
        <f t="shared" si="30"/>
        <v>32858</v>
      </c>
      <c r="D1984" s="10" t="s">
        <v>498</v>
      </c>
      <c r="E1984" s="7"/>
      <c r="F1984" s="7"/>
      <c r="G1984" s="22"/>
    </row>
    <row r="1985" spans="1:7" ht="20.25" hidden="1" customHeight="1">
      <c r="A1985" s="10">
        <v>32859</v>
      </c>
      <c r="B1985" s="10">
        <v>36859</v>
      </c>
      <c r="C1985" s="102">
        <f t="shared" si="30"/>
        <v>32859</v>
      </c>
      <c r="D1985" s="10" t="s">
        <v>498</v>
      </c>
      <c r="E1985" s="7"/>
      <c r="F1985" s="7"/>
      <c r="G1985" s="22"/>
    </row>
    <row r="1986" spans="1:7" ht="20.25" hidden="1" customHeight="1">
      <c r="A1986" s="10">
        <v>32860</v>
      </c>
      <c r="B1986" s="10">
        <v>36860</v>
      </c>
      <c r="C1986" s="102">
        <f t="shared" si="30"/>
        <v>32860</v>
      </c>
      <c r="D1986" s="10" t="s">
        <v>498</v>
      </c>
      <c r="E1986" s="7"/>
      <c r="F1986" s="7"/>
      <c r="G1986" s="22"/>
    </row>
    <row r="1987" spans="1:7" ht="20.25" hidden="1" customHeight="1">
      <c r="A1987" s="10">
        <v>32861</v>
      </c>
      <c r="B1987" s="10">
        <v>36861</v>
      </c>
      <c r="C1987" s="102">
        <f t="shared" si="30"/>
        <v>32861</v>
      </c>
      <c r="D1987" s="10" t="s">
        <v>498</v>
      </c>
      <c r="E1987" s="7"/>
      <c r="F1987" s="7"/>
      <c r="G1987" s="22"/>
    </row>
    <row r="1988" spans="1:7" ht="20.25" hidden="1" customHeight="1">
      <c r="A1988" s="10">
        <v>32862</v>
      </c>
      <c r="B1988" s="10">
        <v>36862</v>
      </c>
      <c r="C1988" s="102">
        <f t="shared" ref="C1988:C2051" si="31">IF(ISERROR(FIND("B_Epic",E1988)),A1988,A1988+10000)</f>
        <v>32862</v>
      </c>
      <c r="D1988" s="10" t="s">
        <v>498</v>
      </c>
      <c r="E1988" s="7"/>
      <c r="F1988" s="7"/>
      <c r="G1988" s="22"/>
    </row>
    <row r="1989" spans="1:7" ht="20.25" hidden="1" customHeight="1">
      <c r="A1989" s="10">
        <v>32863</v>
      </c>
      <c r="B1989" s="10">
        <v>36863</v>
      </c>
      <c r="C1989" s="102">
        <f t="shared" si="31"/>
        <v>32863</v>
      </c>
      <c r="D1989" s="10" t="s">
        <v>498</v>
      </c>
      <c r="E1989" s="7"/>
      <c r="F1989" s="7"/>
      <c r="G1989" s="22"/>
    </row>
    <row r="1990" spans="1:7" ht="20.25" hidden="1" customHeight="1">
      <c r="A1990" s="10">
        <v>32864</v>
      </c>
      <c r="B1990" s="10">
        <v>36864</v>
      </c>
      <c r="C1990" s="102">
        <f t="shared" si="31"/>
        <v>32864</v>
      </c>
      <c r="D1990" s="10" t="s">
        <v>498</v>
      </c>
      <c r="E1990" s="7"/>
      <c r="F1990" s="7"/>
      <c r="G1990" s="22"/>
    </row>
    <row r="1991" spans="1:7" ht="20.25" hidden="1" customHeight="1">
      <c r="A1991" s="10">
        <v>32865</v>
      </c>
      <c r="B1991" s="10">
        <v>36865</v>
      </c>
      <c r="C1991" s="102">
        <f t="shared" si="31"/>
        <v>32865</v>
      </c>
      <c r="D1991" s="10" t="s">
        <v>498</v>
      </c>
      <c r="E1991" s="7"/>
      <c r="F1991" s="7"/>
      <c r="G1991" s="22"/>
    </row>
    <row r="1992" spans="1:7" ht="20.25" hidden="1" customHeight="1">
      <c r="A1992" s="10">
        <v>32866</v>
      </c>
      <c r="B1992" s="10">
        <v>36866</v>
      </c>
      <c r="C1992" s="102">
        <f t="shared" si="31"/>
        <v>32866</v>
      </c>
      <c r="D1992" s="10" t="s">
        <v>498</v>
      </c>
      <c r="E1992" s="7"/>
      <c r="F1992" s="7"/>
      <c r="G1992" s="22"/>
    </row>
    <row r="1993" spans="1:7" ht="20.25" hidden="1" customHeight="1">
      <c r="A1993" s="10">
        <v>32867</v>
      </c>
      <c r="B1993" s="10">
        <v>36867</v>
      </c>
      <c r="C1993" s="102">
        <f t="shared" si="31"/>
        <v>32867</v>
      </c>
      <c r="D1993" s="10" t="s">
        <v>498</v>
      </c>
      <c r="E1993" s="7"/>
      <c r="F1993" s="7"/>
      <c r="G1993" s="22"/>
    </row>
    <row r="1994" spans="1:7" ht="20.25" hidden="1" customHeight="1">
      <c r="A1994" s="10">
        <v>32868</v>
      </c>
      <c r="B1994" s="10">
        <v>36868</v>
      </c>
      <c r="C1994" s="102">
        <f t="shared" si="31"/>
        <v>32868</v>
      </c>
      <c r="D1994" s="10" t="s">
        <v>498</v>
      </c>
      <c r="E1994" s="7"/>
      <c r="F1994" s="7"/>
      <c r="G1994" s="22"/>
    </row>
    <row r="1995" spans="1:7" ht="20.25" hidden="1" customHeight="1">
      <c r="A1995" s="10">
        <v>32869</v>
      </c>
      <c r="B1995" s="10">
        <v>36869</v>
      </c>
      <c r="C1995" s="102">
        <f t="shared" si="31"/>
        <v>32869</v>
      </c>
      <c r="D1995" s="10" t="s">
        <v>498</v>
      </c>
      <c r="E1995" s="7"/>
      <c r="F1995" s="7"/>
      <c r="G1995" s="22"/>
    </row>
    <row r="1996" spans="1:7" ht="20.25" hidden="1" customHeight="1">
      <c r="A1996" s="10">
        <v>32870</v>
      </c>
      <c r="B1996" s="10">
        <v>36870</v>
      </c>
      <c r="C1996" s="102">
        <f t="shared" si="31"/>
        <v>32870</v>
      </c>
      <c r="D1996" s="10" t="s">
        <v>498</v>
      </c>
      <c r="E1996" s="7"/>
      <c r="F1996" s="7"/>
      <c r="G1996" s="22"/>
    </row>
    <row r="1997" spans="1:7" ht="20.25" hidden="1" customHeight="1">
      <c r="A1997" s="10">
        <v>32871</v>
      </c>
      <c r="B1997" s="10">
        <v>36871</v>
      </c>
      <c r="C1997" s="102">
        <f t="shared" si="31"/>
        <v>32871</v>
      </c>
      <c r="D1997" s="10" t="s">
        <v>498</v>
      </c>
      <c r="E1997" s="7"/>
      <c r="F1997" s="7"/>
      <c r="G1997" s="22"/>
    </row>
    <row r="1998" spans="1:7" ht="20.25" hidden="1" customHeight="1">
      <c r="A1998" s="10">
        <v>32872</v>
      </c>
      <c r="B1998" s="10">
        <v>36872</v>
      </c>
      <c r="C1998" s="102">
        <f t="shared" si="31"/>
        <v>32872</v>
      </c>
      <c r="D1998" s="10" t="s">
        <v>498</v>
      </c>
      <c r="E1998" s="7"/>
      <c r="F1998" s="7"/>
      <c r="G1998" s="22"/>
    </row>
    <row r="1999" spans="1:7" ht="20.25" hidden="1" customHeight="1">
      <c r="A1999" s="10">
        <v>32873</v>
      </c>
      <c r="B1999" s="10">
        <v>36873</v>
      </c>
      <c r="C1999" s="102">
        <f t="shared" si="31"/>
        <v>32873</v>
      </c>
      <c r="D1999" s="10" t="s">
        <v>498</v>
      </c>
      <c r="E1999" s="7"/>
      <c r="F1999" s="7"/>
      <c r="G1999" s="22"/>
    </row>
    <row r="2000" spans="1:7" ht="20.25" hidden="1" customHeight="1">
      <c r="A2000" s="10">
        <v>32874</v>
      </c>
      <c r="B2000" s="10">
        <v>36874</v>
      </c>
      <c r="C2000" s="102">
        <f t="shared" si="31"/>
        <v>32874</v>
      </c>
      <c r="D2000" s="10" t="s">
        <v>498</v>
      </c>
      <c r="E2000" s="7"/>
      <c r="F2000" s="7"/>
      <c r="G2000" s="22"/>
    </row>
    <row r="2001" spans="1:7" ht="20.25" hidden="1" customHeight="1">
      <c r="A2001" s="10">
        <v>32875</v>
      </c>
      <c r="B2001" s="10">
        <v>36875</v>
      </c>
      <c r="C2001" s="102">
        <f t="shared" si="31"/>
        <v>32875</v>
      </c>
      <c r="D2001" s="10" t="s">
        <v>498</v>
      </c>
      <c r="E2001" s="7"/>
      <c r="F2001" s="7"/>
      <c r="G2001" s="22"/>
    </row>
    <row r="2002" spans="1:7" ht="20.25" hidden="1" customHeight="1">
      <c r="A2002" s="10">
        <v>32876</v>
      </c>
      <c r="B2002" s="10">
        <v>36876</v>
      </c>
      <c r="C2002" s="102">
        <f t="shared" si="31"/>
        <v>32876</v>
      </c>
      <c r="D2002" s="10" t="s">
        <v>498</v>
      </c>
      <c r="E2002" s="7"/>
      <c r="F2002" s="7"/>
      <c r="G2002" s="22"/>
    </row>
    <row r="2003" spans="1:7" ht="20.25" hidden="1" customHeight="1">
      <c r="A2003" s="10">
        <v>32877</v>
      </c>
      <c r="B2003" s="10">
        <v>36877</v>
      </c>
      <c r="C2003" s="102">
        <f t="shared" si="31"/>
        <v>32877</v>
      </c>
      <c r="D2003" s="10" t="s">
        <v>498</v>
      </c>
      <c r="E2003" s="7"/>
      <c r="F2003" s="7"/>
      <c r="G2003" s="22"/>
    </row>
    <row r="2004" spans="1:7" ht="20.25" hidden="1" customHeight="1">
      <c r="A2004" s="10">
        <v>32878</v>
      </c>
      <c r="B2004" s="10">
        <v>36878</v>
      </c>
      <c r="C2004" s="102">
        <f t="shared" si="31"/>
        <v>32878</v>
      </c>
      <c r="D2004" s="10" t="s">
        <v>498</v>
      </c>
      <c r="E2004" s="7"/>
      <c r="F2004" s="7"/>
      <c r="G2004" s="22"/>
    </row>
    <row r="2005" spans="1:7" ht="20.25" hidden="1" customHeight="1">
      <c r="A2005" s="10">
        <v>32879</v>
      </c>
      <c r="B2005" s="10">
        <v>36879</v>
      </c>
      <c r="C2005" s="102">
        <f t="shared" si="31"/>
        <v>32879</v>
      </c>
      <c r="D2005" s="10" t="s">
        <v>498</v>
      </c>
      <c r="E2005" s="7"/>
      <c r="F2005" s="7"/>
      <c r="G2005" s="22"/>
    </row>
    <row r="2006" spans="1:7" ht="20.25" hidden="1" customHeight="1">
      <c r="A2006" s="10">
        <v>32880</v>
      </c>
      <c r="B2006" s="10">
        <v>36880</v>
      </c>
      <c r="C2006" s="102">
        <f t="shared" si="31"/>
        <v>32880</v>
      </c>
      <c r="D2006" s="10" t="s">
        <v>498</v>
      </c>
      <c r="E2006" s="7"/>
      <c r="F2006" s="7"/>
      <c r="G2006" s="22"/>
    </row>
    <row r="2007" spans="1:7" ht="20.25" hidden="1" customHeight="1">
      <c r="A2007" s="10">
        <v>32881</v>
      </c>
      <c r="B2007" s="10">
        <v>36881</v>
      </c>
      <c r="C2007" s="102">
        <f t="shared" si="31"/>
        <v>32881</v>
      </c>
      <c r="D2007" s="10" t="s">
        <v>498</v>
      </c>
      <c r="E2007" s="7"/>
      <c r="F2007" s="7"/>
      <c r="G2007" s="22"/>
    </row>
    <row r="2008" spans="1:7" ht="20.25" hidden="1" customHeight="1">
      <c r="A2008" s="10">
        <v>32882</v>
      </c>
      <c r="B2008" s="10">
        <v>36882</v>
      </c>
      <c r="C2008" s="102">
        <f t="shared" si="31"/>
        <v>32882</v>
      </c>
      <c r="D2008" s="10" t="s">
        <v>498</v>
      </c>
      <c r="E2008" s="7"/>
      <c r="F2008" s="7"/>
      <c r="G2008" s="22"/>
    </row>
    <row r="2009" spans="1:7" ht="20.25" hidden="1" customHeight="1">
      <c r="A2009" s="10">
        <v>32883</v>
      </c>
      <c r="B2009" s="10">
        <v>36883</v>
      </c>
      <c r="C2009" s="102">
        <f t="shared" si="31"/>
        <v>32883</v>
      </c>
      <c r="D2009" s="10" t="s">
        <v>498</v>
      </c>
      <c r="E2009" s="7"/>
      <c r="F2009" s="7"/>
      <c r="G2009" s="22"/>
    </row>
    <row r="2010" spans="1:7" ht="20.25" hidden="1" customHeight="1">
      <c r="A2010" s="10">
        <v>32884</v>
      </c>
      <c r="B2010" s="10">
        <v>36884</v>
      </c>
      <c r="C2010" s="102">
        <f t="shared" si="31"/>
        <v>32884</v>
      </c>
      <c r="D2010" s="10" t="s">
        <v>498</v>
      </c>
      <c r="E2010" s="7"/>
      <c r="F2010" s="7"/>
      <c r="G2010" s="22"/>
    </row>
    <row r="2011" spans="1:7" ht="20.25" hidden="1" customHeight="1">
      <c r="A2011" s="10">
        <v>32885</v>
      </c>
      <c r="B2011" s="10">
        <v>36885</v>
      </c>
      <c r="C2011" s="102">
        <f t="shared" si="31"/>
        <v>32885</v>
      </c>
      <c r="D2011" s="10" t="s">
        <v>498</v>
      </c>
      <c r="E2011" s="7"/>
      <c r="F2011" s="7"/>
      <c r="G2011" s="22"/>
    </row>
    <row r="2012" spans="1:7" ht="20.25" hidden="1" customHeight="1">
      <c r="A2012" s="10">
        <v>32886</v>
      </c>
      <c r="B2012" s="10">
        <v>36886</v>
      </c>
      <c r="C2012" s="102">
        <f t="shared" si="31"/>
        <v>32886</v>
      </c>
      <c r="D2012" s="10" t="s">
        <v>498</v>
      </c>
      <c r="E2012" s="7"/>
      <c r="F2012" s="7"/>
      <c r="G2012" s="22"/>
    </row>
    <row r="2013" spans="1:7" ht="20.25" hidden="1" customHeight="1">
      <c r="A2013" s="10">
        <v>32887</v>
      </c>
      <c r="B2013" s="10">
        <v>36887</v>
      </c>
      <c r="C2013" s="102">
        <f t="shared" si="31"/>
        <v>32887</v>
      </c>
      <c r="D2013" s="10" t="s">
        <v>498</v>
      </c>
      <c r="E2013" s="7"/>
      <c r="F2013" s="7"/>
      <c r="G2013" s="22"/>
    </row>
    <row r="2014" spans="1:7" ht="20.25" hidden="1" customHeight="1">
      <c r="A2014" s="10">
        <v>32888</v>
      </c>
      <c r="B2014" s="10">
        <v>36888</v>
      </c>
      <c r="C2014" s="102">
        <f t="shared" si="31"/>
        <v>32888</v>
      </c>
      <c r="D2014" s="10" t="s">
        <v>498</v>
      </c>
      <c r="E2014" s="7"/>
      <c r="F2014" s="7"/>
      <c r="G2014" s="22"/>
    </row>
    <row r="2015" spans="1:7" ht="20.25" hidden="1" customHeight="1">
      <c r="A2015" s="10">
        <v>32889</v>
      </c>
      <c r="B2015" s="10">
        <v>36889</v>
      </c>
      <c r="C2015" s="102">
        <f t="shared" si="31"/>
        <v>32889</v>
      </c>
      <c r="D2015" s="10" t="s">
        <v>498</v>
      </c>
      <c r="E2015" s="7"/>
      <c r="F2015" s="7"/>
      <c r="G2015" s="22"/>
    </row>
    <row r="2016" spans="1:7" ht="20.25" hidden="1" customHeight="1">
      <c r="A2016" s="10">
        <v>32890</v>
      </c>
      <c r="B2016" s="10">
        <v>36890</v>
      </c>
      <c r="C2016" s="102">
        <f t="shared" si="31"/>
        <v>32890</v>
      </c>
      <c r="D2016" s="10" t="s">
        <v>498</v>
      </c>
      <c r="E2016" s="7"/>
      <c r="F2016" s="7"/>
      <c r="G2016" s="22"/>
    </row>
    <row r="2017" spans="1:7" ht="20.25" hidden="1" customHeight="1">
      <c r="A2017" s="10">
        <v>32891</v>
      </c>
      <c r="B2017" s="10">
        <v>36891</v>
      </c>
      <c r="C2017" s="102">
        <f t="shared" si="31"/>
        <v>32891</v>
      </c>
      <c r="D2017" s="10" t="s">
        <v>498</v>
      </c>
      <c r="E2017" s="7"/>
      <c r="F2017" s="7"/>
      <c r="G2017" s="22"/>
    </row>
    <row r="2018" spans="1:7" ht="20.25" hidden="1" customHeight="1">
      <c r="A2018" s="10">
        <v>32892</v>
      </c>
      <c r="B2018" s="10">
        <v>36892</v>
      </c>
      <c r="C2018" s="102">
        <f t="shared" si="31"/>
        <v>32892</v>
      </c>
      <c r="D2018" s="10" t="s">
        <v>498</v>
      </c>
      <c r="E2018" s="7"/>
      <c r="F2018" s="7"/>
      <c r="G2018" s="22"/>
    </row>
    <row r="2019" spans="1:7" ht="20.25" hidden="1" customHeight="1">
      <c r="A2019" s="10">
        <v>32893</v>
      </c>
      <c r="B2019" s="10">
        <v>36893</v>
      </c>
      <c r="C2019" s="102">
        <f t="shared" si="31"/>
        <v>32893</v>
      </c>
      <c r="D2019" s="10" t="s">
        <v>498</v>
      </c>
      <c r="E2019" s="7"/>
      <c r="F2019" s="7"/>
      <c r="G2019" s="22"/>
    </row>
    <row r="2020" spans="1:7" ht="20.25" hidden="1" customHeight="1">
      <c r="A2020" s="10">
        <v>32894</v>
      </c>
      <c r="B2020" s="10">
        <v>36894</v>
      </c>
      <c r="C2020" s="102">
        <f t="shared" si="31"/>
        <v>32894</v>
      </c>
      <c r="D2020" s="10" t="s">
        <v>498</v>
      </c>
      <c r="E2020" s="7"/>
      <c r="F2020" s="7"/>
      <c r="G2020" s="22"/>
    </row>
    <row r="2021" spans="1:7" ht="20.25" hidden="1" customHeight="1">
      <c r="A2021" s="10">
        <v>32895</v>
      </c>
      <c r="B2021" s="10">
        <v>36895</v>
      </c>
      <c r="C2021" s="102">
        <f t="shared" si="31"/>
        <v>32895</v>
      </c>
      <c r="D2021" s="10" t="s">
        <v>498</v>
      </c>
      <c r="E2021" s="7"/>
      <c r="F2021" s="7"/>
      <c r="G2021" s="22"/>
    </row>
    <row r="2022" spans="1:7" ht="20.25" hidden="1" customHeight="1">
      <c r="A2022" s="10">
        <v>32896</v>
      </c>
      <c r="B2022" s="10">
        <v>36896</v>
      </c>
      <c r="C2022" s="102">
        <f t="shared" si="31"/>
        <v>32896</v>
      </c>
      <c r="D2022" s="10" t="s">
        <v>498</v>
      </c>
      <c r="E2022" s="7"/>
      <c r="F2022" s="7"/>
      <c r="G2022" s="22"/>
    </row>
    <row r="2023" spans="1:7" ht="20.25" hidden="1" customHeight="1">
      <c r="A2023" s="10">
        <v>32897</v>
      </c>
      <c r="B2023" s="10">
        <v>36897</v>
      </c>
      <c r="C2023" s="102">
        <f t="shared" si="31"/>
        <v>32897</v>
      </c>
      <c r="D2023" s="10" t="s">
        <v>498</v>
      </c>
      <c r="E2023" s="7"/>
      <c r="F2023" s="7"/>
      <c r="G2023" s="22"/>
    </row>
    <row r="2024" spans="1:7" ht="20.25" hidden="1" customHeight="1">
      <c r="A2024" s="10">
        <v>32898</v>
      </c>
      <c r="B2024" s="10">
        <v>36898</v>
      </c>
      <c r="C2024" s="102">
        <f t="shared" si="31"/>
        <v>32898</v>
      </c>
      <c r="D2024" s="10" t="s">
        <v>498</v>
      </c>
      <c r="E2024" s="7"/>
      <c r="F2024" s="7"/>
      <c r="G2024" s="22"/>
    </row>
    <row r="2025" spans="1:7" ht="20.25" hidden="1" customHeight="1">
      <c r="A2025" s="10">
        <v>32899</v>
      </c>
      <c r="B2025" s="10">
        <v>36899</v>
      </c>
      <c r="C2025" s="102">
        <f t="shared" si="31"/>
        <v>32899</v>
      </c>
      <c r="D2025" s="10" t="s">
        <v>498</v>
      </c>
      <c r="E2025" s="7"/>
      <c r="F2025" s="7"/>
      <c r="G2025" s="22"/>
    </row>
    <row r="2026" spans="1:7" ht="20.25" hidden="1" customHeight="1">
      <c r="A2026" s="10">
        <v>32900</v>
      </c>
      <c r="B2026" s="10">
        <v>36900</v>
      </c>
      <c r="C2026" s="102">
        <f t="shared" si="31"/>
        <v>32900</v>
      </c>
      <c r="D2026" s="10" t="s">
        <v>498</v>
      </c>
      <c r="E2026" s="7"/>
      <c r="F2026" s="7"/>
      <c r="G2026" s="22"/>
    </row>
    <row r="2027" spans="1:7" ht="20.25" hidden="1" customHeight="1">
      <c r="A2027" s="10">
        <v>32901</v>
      </c>
      <c r="B2027" s="10">
        <v>36901</v>
      </c>
      <c r="C2027" s="102">
        <f t="shared" si="31"/>
        <v>32901</v>
      </c>
      <c r="D2027" s="10" t="s">
        <v>498</v>
      </c>
      <c r="E2027" s="7"/>
      <c r="F2027" s="7"/>
      <c r="G2027" s="22"/>
    </row>
    <row r="2028" spans="1:7" ht="20.25" hidden="1" customHeight="1">
      <c r="A2028" s="10">
        <v>32902</v>
      </c>
      <c r="B2028" s="10">
        <v>36902</v>
      </c>
      <c r="C2028" s="102">
        <f t="shared" si="31"/>
        <v>32902</v>
      </c>
      <c r="D2028" s="10" t="s">
        <v>498</v>
      </c>
      <c r="E2028" s="7"/>
      <c r="F2028" s="7"/>
      <c r="G2028" s="22"/>
    </row>
    <row r="2029" spans="1:7" ht="20.25" hidden="1" customHeight="1">
      <c r="A2029" s="10">
        <v>32903</v>
      </c>
      <c r="B2029" s="10">
        <v>36903</v>
      </c>
      <c r="C2029" s="102">
        <f t="shared" si="31"/>
        <v>32903</v>
      </c>
      <c r="D2029" s="10" t="s">
        <v>498</v>
      </c>
      <c r="E2029" s="7"/>
      <c r="F2029" s="7"/>
      <c r="G2029" s="22"/>
    </row>
    <row r="2030" spans="1:7" ht="20.25" hidden="1" customHeight="1">
      <c r="A2030" s="10">
        <v>32904</v>
      </c>
      <c r="B2030" s="10">
        <v>36904</v>
      </c>
      <c r="C2030" s="102">
        <f t="shared" si="31"/>
        <v>32904</v>
      </c>
      <c r="D2030" s="10" t="s">
        <v>498</v>
      </c>
      <c r="E2030" s="7"/>
      <c r="F2030" s="7"/>
      <c r="G2030" s="22"/>
    </row>
    <row r="2031" spans="1:7" ht="20.25" hidden="1" customHeight="1">
      <c r="A2031" s="10">
        <v>32905</v>
      </c>
      <c r="B2031" s="10">
        <v>36905</v>
      </c>
      <c r="C2031" s="102">
        <f t="shared" si="31"/>
        <v>32905</v>
      </c>
      <c r="D2031" s="10" t="s">
        <v>498</v>
      </c>
      <c r="E2031" s="7"/>
      <c r="F2031" s="7"/>
      <c r="G2031" s="22"/>
    </row>
    <row r="2032" spans="1:7" ht="20.25" hidden="1" customHeight="1">
      <c r="A2032" s="10">
        <v>32906</v>
      </c>
      <c r="B2032" s="10">
        <v>36906</v>
      </c>
      <c r="C2032" s="102">
        <f t="shared" si="31"/>
        <v>32906</v>
      </c>
      <c r="D2032" s="10" t="s">
        <v>498</v>
      </c>
      <c r="E2032" s="7"/>
      <c r="F2032" s="7"/>
      <c r="G2032" s="22"/>
    </row>
    <row r="2033" spans="1:7" ht="20.25" hidden="1" customHeight="1">
      <c r="A2033" s="10">
        <v>32907</v>
      </c>
      <c r="B2033" s="10">
        <v>36907</v>
      </c>
      <c r="C2033" s="102">
        <f t="shared" si="31"/>
        <v>32907</v>
      </c>
      <c r="D2033" s="10" t="s">
        <v>498</v>
      </c>
      <c r="E2033" s="7"/>
      <c r="F2033" s="7"/>
      <c r="G2033" s="22"/>
    </row>
    <row r="2034" spans="1:7" ht="20.25" hidden="1" customHeight="1">
      <c r="A2034" s="10">
        <v>32908</v>
      </c>
      <c r="B2034" s="10">
        <v>36908</v>
      </c>
      <c r="C2034" s="102">
        <f t="shared" si="31"/>
        <v>32908</v>
      </c>
      <c r="D2034" s="10" t="s">
        <v>498</v>
      </c>
      <c r="E2034" s="7"/>
      <c r="F2034" s="7"/>
      <c r="G2034" s="22"/>
    </row>
    <row r="2035" spans="1:7" ht="20.25" hidden="1" customHeight="1">
      <c r="A2035" s="10">
        <v>32909</v>
      </c>
      <c r="B2035" s="10">
        <v>36909</v>
      </c>
      <c r="C2035" s="102">
        <f t="shared" si="31"/>
        <v>32909</v>
      </c>
      <c r="D2035" s="10" t="s">
        <v>498</v>
      </c>
      <c r="E2035" s="7"/>
      <c r="F2035" s="7"/>
      <c r="G2035" s="22"/>
    </row>
    <row r="2036" spans="1:7" ht="20.25" hidden="1" customHeight="1">
      <c r="A2036" s="10">
        <v>32910</v>
      </c>
      <c r="B2036" s="10">
        <v>36910</v>
      </c>
      <c r="C2036" s="102">
        <f t="shared" si="31"/>
        <v>32910</v>
      </c>
      <c r="D2036" s="10" t="s">
        <v>498</v>
      </c>
      <c r="E2036" s="7"/>
      <c r="F2036" s="7"/>
      <c r="G2036" s="22"/>
    </row>
    <row r="2037" spans="1:7" ht="20.25" hidden="1" customHeight="1">
      <c r="A2037" s="10">
        <v>32911</v>
      </c>
      <c r="B2037" s="10">
        <v>36911</v>
      </c>
      <c r="C2037" s="102">
        <f t="shared" si="31"/>
        <v>32911</v>
      </c>
      <c r="D2037" s="10" t="s">
        <v>498</v>
      </c>
      <c r="E2037" s="7"/>
      <c r="F2037" s="7"/>
      <c r="G2037" s="22"/>
    </row>
    <row r="2038" spans="1:7" ht="20.25" hidden="1" customHeight="1">
      <c r="A2038" s="10">
        <v>32912</v>
      </c>
      <c r="B2038" s="10">
        <v>36912</v>
      </c>
      <c r="C2038" s="102">
        <f t="shared" si="31"/>
        <v>32912</v>
      </c>
      <c r="D2038" s="10" t="s">
        <v>498</v>
      </c>
      <c r="E2038" s="7"/>
      <c r="F2038" s="7"/>
      <c r="G2038" s="22"/>
    </row>
    <row r="2039" spans="1:7" ht="20.25" hidden="1" customHeight="1">
      <c r="A2039" s="10">
        <v>32913</v>
      </c>
      <c r="B2039" s="10">
        <v>36913</v>
      </c>
      <c r="C2039" s="102">
        <f t="shared" si="31"/>
        <v>32913</v>
      </c>
      <c r="D2039" s="10" t="s">
        <v>498</v>
      </c>
      <c r="E2039" s="7"/>
      <c r="F2039" s="7"/>
      <c r="G2039" s="22"/>
    </row>
    <row r="2040" spans="1:7" ht="20.25" hidden="1" customHeight="1">
      <c r="A2040" s="10">
        <v>32914</v>
      </c>
      <c r="B2040" s="10">
        <v>36914</v>
      </c>
      <c r="C2040" s="102">
        <f t="shared" si="31"/>
        <v>32914</v>
      </c>
      <c r="D2040" s="10" t="s">
        <v>498</v>
      </c>
      <c r="E2040" s="7"/>
      <c r="F2040" s="7"/>
      <c r="G2040" s="22"/>
    </row>
    <row r="2041" spans="1:7" ht="20.25" hidden="1" customHeight="1">
      <c r="A2041" s="10">
        <v>32915</v>
      </c>
      <c r="B2041" s="10">
        <v>36915</v>
      </c>
      <c r="C2041" s="102">
        <f t="shared" si="31"/>
        <v>32915</v>
      </c>
      <c r="D2041" s="10" t="s">
        <v>498</v>
      </c>
      <c r="E2041" s="7"/>
      <c r="F2041" s="7"/>
      <c r="G2041" s="22"/>
    </row>
    <row r="2042" spans="1:7" ht="20.25" hidden="1" customHeight="1">
      <c r="A2042" s="10">
        <v>32916</v>
      </c>
      <c r="B2042" s="10">
        <v>36916</v>
      </c>
      <c r="C2042" s="102">
        <f t="shared" si="31"/>
        <v>32916</v>
      </c>
      <c r="D2042" s="10" t="s">
        <v>498</v>
      </c>
      <c r="E2042" s="7"/>
      <c r="F2042" s="7"/>
      <c r="G2042" s="22"/>
    </row>
    <row r="2043" spans="1:7" ht="20.25" hidden="1" customHeight="1">
      <c r="A2043" s="10">
        <v>32917</v>
      </c>
      <c r="B2043" s="10">
        <v>36917</v>
      </c>
      <c r="C2043" s="102">
        <f t="shared" si="31"/>
        <v>32917</v>
      </c>
      <c r="D2043" s="10" t="s">
        <v>498</v>
      </c>
      <c r="E2043" s="7"/>
      <c r="F2043" s="7"/>
      <c r="G2043" s="22"/>
    </row>
    <row r="2044" spans="1:7" ht="20.25" hidden="1" customHeight="1">
      <c r="A2044" s="10">
        <v>32918</v>
      </c>
      <c r="B2044" s="10">
        <v>36918</v>
      </c>
      <c r="C2044" s="102">
        <f t="shared" si="31"/>
        <v>32918</v>
      </c>
      <c r="D2044" s="10" t="s">
        <v>498</v>
      </c>
      <c r="E2044" s="7"/>
      <c r="F2044" s="7"/>
      <c r="G2044" s="22"/>
    </row>
    <row r="2045" spans="1:7" ht="20.25" hidden="1" customHeight="1">
      <c r="A2045" s="10">
        <v>32919</v>
      </c>
      <c r="B2045" s="10">
        <v>36919</v>
      </c>
      <c r="C2045" s="102">
        <f t="shared" si="31"/>
        <v>32919</v>
      </c>
      <c r="D2045" s="10" t="s">
        <v>498</v>
      </c>
      <c r="E2045" s="7"/>
      <c r="F2045" s="7"/>
      <c r="G2045" s="22"/>
    </row>
    <row r="2046" spans="1:7" ht="20.25" hidden="1" customHeight="1">
      <c r="A2046" s="10">
        <v>32920</v>
      </c>
      <c r="B2046" s="10">
        <v>36920</v>
      </c>
      <c r="C2046" s="102">
        <f t="shared" si="31"/>
        <v>32920</v>
      </c>
      <c r="D2046" s="10" t="s">
        <v>498</v>
      </c>
      <c r="E2046" s="7"/>
      <c r="F2046" s="7"/>
      <c r="G2046" s="22"/>
    </row>
    <row r="2047" spans="1:7" ht="20.25" hidden="1" customHeight="1">
      <c r="A2047" s="10">
        <v>32921</v>
      </c>
      <c r="B2047" s="10">
        <v>36921</v>
      </c>
      <c r="C2047" s="102">
        <f t="shared" si="31"/>
        <v>32921</v>
      </c>
      <c r="D2047" s="10" t="s">
        <v>498</v>
      </c>
      <c r="E2047" s="7"/>
      <c r="F2047" s="7"/>
      <c r="G2047" s="22"/>
    </row>
    <row r="2048" spans="1:7" ht="20.25" hidden="1" customHeight="1">
      <c r="A2048" s="10">
        <v>32922</v>
      </c>
      <c r="B2048" s="10">
        <v>36922</v>
      </c>
      <c r="C2048" s="102">
        <f t="shared" si="31"/>
        <v>32922</v>
      </c>
      <c r="D2048" s="10" t="s">
        <v>498</v>
      </c>
      <c r="E2048" s="7"/>
      <c r="F2048" s="7"/>
      <c r="G2048" s="22"/>
    </row>
    <row r="2049" spans="1:7" ht="20.25" hidden="1" customHeight="1">
      <c r="A2049" s="10">
        <v>32923</v>
      </c>
      <c r="B2049" s="10">
        <v>36923</v>
      </c>
      <c r="C2049" s="102">
        <f t="shared" si="31"/>
        <v>32923</v>
      </c>
      <c r="D2049" s="10" t="s">
        <v>498</v>
      </c>
      <c r="E2049" s="7"/>
      <c r="F2049" s="7"/>
      <c r="G2049" s="22"/>
    </row>
    <row r="2050" spans="1:7" ht="20.25" hidden="1" customHeight="1">
      <c r="A2050" s="10">
        <v>32924</v>
      </c>
      <c r="B2050" s="10">
        <v>36924</v>
      </c>
      <c r="C2050" s="102">
        <f t="shared" si="31"/>
        <v>32924</v>
      </c>
      <c r="D2050" s="10" t="s">
        <v>498</v>
      </c>
      <c r="E2050" s="7"/>
      <c r="F2050" s="7"/>
      <c r="G2050" s="22"/>
    </row>
    <row r="2051" spans="1:7" ht="20.25" hidden="1" customHeight="1">
      <c r="A2051" s="10">
        <v>32925</v>
      </c>
      <c r="B2051" s="10">
        <v>36925</v>
      </c>
      <c r="C2051" s="102">
        <f t="shared" si="31"/>
        <v>32925</v>
      </c>
      <c r="D2051" s="10" t="s">
        <v>498</v>
      </c>
      <c r="E2051" s="7"/>
      <c r="F2051" s="7"/>
      <c r="G2051" s="22"/>
    </row>
    <row r="2052" spans="1:7" ht="20.25" hidden="1" customHeight="1">
      <c r="A2052" s="10">
        <v>32926</v>
      </c>
      <c r="B2052" s="10">
        <v>36926</v>
      </c>
      <c r="C2052" s="102">
        <f t="shared" ref="C2052:C2115" si="32">IF(ISERROR(FIND("B_Epic",E2052)),A2052,A2052+10000)</f>
        <v>32926</v>
      </c>
      <c r="D2052" s="10" t="s">
        <v>498</v>
      </c>
      <c r="E2052" s="7"/>
      <c r="F2052" s="7"/>
      <c r="G2052" s="22"/>
    </row>
    <row r="2053" spans="1:7" ht="20.25" hidden="1" customHeight="1">
      <c r="A2053" s="10">
        <v>32927</v>
      </c>
      <c r="B2053" s="10">
        <v>36927</v>
      </c>
      <c r="C2053" s="102">
        <f t="shared" si="32"/>
        <v>32927</v>
      </c>
      <c r="D2053" s="10" t="s">
        <v>498</v>
      </c>
      <c r="E2053" s="7"/>
      <c r="F2053" s="7"/>
      <c r="G2053" s="22"/>
    </row>
    <row r="2054" spans="1:7" ht="20.25" hidden="1" customHeight="1">
      <c r="A2054" s="10">
        <v>32928</v>
      </c>
      <c r="B2054" s="10">
        <v>36928</v>
      </c>
      <c r="C2054" s="102">
        <f t="shared" si="32"/>
        <v>32928</v>
      </c>
      <c r="D2054" s="10" t="s">
        <v>498</v>
      </c>
      <c r="E2054" s="7"/>
      <c r="F2054" s="7"/>
      <c r="G2054" s="22"/>
    </row>
    <row r="2055" spans="1:7" ht="20.25" hidden="1" customHeight="1">
      <c r="A2055" s="10">
        <v>32929</v>
      </c>
      <c r="B2055" s="10">
        <v>36929</v>
      </c>
      <c r="C2055" s="102">
        <f t="shared" si="32"/>
        <v>32929</v>
      </c>
      <c r="D2055" s="10" t="s">
        <v>498</v>
      </c>
      <c r="E2055" s="7"/>
      <c r="F2055" s="7"/>
      <c r="G2055" s="22"/>
    </row>
    <row r="2056" spans="1:7" ht="20.25" hidden="1" customHeight="1">
      <c r="A2056" s="10">
        <v>32930</v>
      </c>
      <c r="B2056" s="10">
        <v>36930</v>
      </c>
      <c r="C2056" s="102">
        <f t="shared" si="32"/>
        <v>32930</v>
      </c>
      <c r="D2056" s="10" t="s">
        <v>498</v>
      </c>
      <c r="E2056" s="7"/>
      <c r="F2056" s="7"/>
      <c r="G2056" s="22"/>
    </row>
    <row r="2057" spans="1:7" ht="20.25" hidden="1" customHeight="1">
      <c r="A2057" s="10">
        <v>32931</v>
      </c>
      <c r="B2057" s="10">
        <v>36931</v>
      </c>
      <c r="C2057" s="102">
        <f t="shared" si="32"/>
        <v>32931</v>
      </c>
      <c r="D2057" s="10" t="s">
        <v>498</v>
      </c>
      <c r="E2057" s="7"/>
      <c r="F2057" s="7"/>
      <c r="G2057" s="22"/>
    </row>
    <row r="2058" spans="1:7" ht="20.25" hidden="1" customHeight="1">
      <c r="A2058" s="10">
        <v>32932</v>
      </c>
      <c r="B2058" s="10">
        <v>36932</v>
      </c>
      <c r="C2058" s="102">
        <f t="shared" si="32"/>
        <v>32932</v>
      </c>
      <c r="D2058" s="10" t="s">
        <v>498</v>
      </c>
      <c r="E2058" s="7"/>
      <c r="F2058" s="7"/>
      <c r="G2058" s="22"/>
    </row>
    <row r="2059" spans="1:7" ht="20.25" hidden="1" customHeight="1">
      <c r="A2059" s="10">
        <v>32933</v>
      </c>
      <c r="B2059" s="10">
        <v>36933</v>
      </c>
      <c r="C2059" s="102">
        <f t="shared" si="32"/>
        <v>32933</v>
      </c>
      <c r="D2059" s="10" t="s">
        <v>498</v>
      </c>
      <c r="E2059" s="7"/>
      <c r="F2059" s="7"/>
      <c r="G2059" s="22"/>
    </row>
    <row r="2060" spans="1:7" ht="20.25" hidden="1" customHeight="1">
      <c r="A2060" s="10">
        <v>32934</v>
      </c>
      <c r="B2060" s="10">
        <v>36934</v>
      </c>
      <c r="C2060" s="102">
        <f t="shared" si="32"/>
        <v>32934</v>
      </c>
      <c r="D2060" s="10" t="s">
        <v>498</v>
      </c>
      <c r="E2060" s="7"/>
      <c r="F2060" s="7"/>
      <c r="G2060" s="22"/>
    </row>
    <row r="2061" spans="1:7" ht="20.25" hidden="1" customHeight="1">
      <c r="A2061" s="10">
        <v>32935</v>
      </c>
      <c r="B2061" s="10">
        <v>36935</v>
      </c>
      <c r="C2061" s="102">
        <f t="shared" si="32"/>
        <v>32935</v>
      </c>
      <c r="D2061" s="10" t="s">
        <v>498</v>
      </c>
      <c r="E2061" s="7"/>
      <c r="F2061" s="7"/>
      <c r="G2061" s="22"/>
    </row>
    <row r="2062" spans="1:7" ht="20.25" hidden="1" customHeight="1">
      <c r="A2062" s="10">
        <v>32936</v>
      </c>
      <c r="B2062" s="10">
        <v>36936</v>
      </c>
      <c r="C2062" s="102">
        <f t="shared" si="32"/>
        <v>32936</v>
      </c>
      <c r="D2062" s="10" t="s">
        <v>498</v>
      </c>
      <c r="E2062" s="7"/>
      <c r="F2062" s="7"/>
      <c r="G2062" s="22"/>
    </row>
    <row r="2063" spans="1:7" ht="20.25" hidden="1" customHeight="1">
      <c r="A2063" s="10">
        <v>32937</v>
      </c>
      <c r="B2063" s="10">
        <v>36937</v>
      </c>
      <c r="C2063" s="102">
        <f t="shared" si="32"/>
        <v>32937</v>
      </c>
      <c r="D2063" s="10" t="s">
        <v>498</v>
      </c>
      <c r="E2063" s="7"/>
      <c r="F2063" s="7"/>
      <c r="G2063" s="22"/>
    </row>
    <row r="2064" spans="1:7" ht="20.25" hidden="1" customHeight="1">
      <c r="A2064" s="10">
        <v>32938</v>
      </c>
      <c r="B2064" s="10">
        <v>36938</v>
      </c>
      <c r="C2064" s="102">
        <f t="shared" si="32"/>
        <v>32938</v>
      </c>
      <c r="D2064" s="10" t="s">
        <v>498</v>
      </c>
      <c r="E2064" s="7"/>
      <c r="F2064" s="7"/>
      <c r="G2064" s="22"/>
    </row>
    <row r="2065" spans="1:7" ht="20.25" hidden="1" customHeight="1">
      <c r="A2065" s="10">
        <v>32939</v>
      </c>
      <c r="B2065" s="10">
        <v>36939</v>
      </c>
      <c r="C2065" s="102">
        <f t="shared" si="32"/>
        <v>32939</v>
      </c>
      <c r="D2065" s="10" t="s">
        <v>498</v>
      </c>
      <c r="E2065" s="7"/>
      <c r="F2065" s="7"/>
      <c r="G2065" s="22"/>
    </row>
    <row r="2066" spans="1:7" ht="20.25" hidden="1" customHeight="1">
      <c r="A2066" s="10">
        <v>32940</v>
      </c>
      <c r="B2066" s="10">
        <v>36940</v>
      </c>
      <c r="C2066" s="102">
        <f t="shared" si="32"/>
        <v>32940</v>
      </c>
      <c r="D2066" s="10" t="s">
        <v>498</v>
      </c>
      <c r="E2066" s="7"/>
      <c r="F2066" s="7"/>
      <c r="G2066" s="22"/>
    </row>
    <row r="2067" spans="1:7" ht="20.25" hidden="1" customHeight="1">
      <c r="A2067" s="10">
        <v>32941</v>
      </c>
      <c r="B2067" s="10">
        <v>36941</v>
      </c>
      <c r="C2067" s="102">
        <f t="shared" si="32"/>
        <v>32941</v>
      </c>
      <c r="D2067" s="10" t="s">
        <v>498</v>
      </c>
      <c r="E2067" s="7"/>
      <c r="F2067" s="7"/>
      <c r="G2067" s="22"/>
    </row>
    <row r="2068" spans="1:7" ht="20.25" hidden="1" customHeight="1">
      <c r="A2068" s="10">
        <v>32942</v>
      </c>
      <c r="B2068" s="10">
        <v>36942</v>
      </c>
      <c r="C2068" s="102">
        <f t="shared" si="32"/>
        <v>32942</v>
      </c>
      <c r="D2068" s="10" t="s">
        <v>498</v>
      </c>
      <c r="E2068" s="7"/>
      <c r="F2068" s="7"/>
      <c r="G2068" s="22"/>
    </row>
    <row r="2069" spans="1:7" ht="20.25" hidden="1" customHeight="1">
      <c r="A2069" s="10">
        <v>32943</v>
      </c>
      <c r="B2069" s="10">
        <v>36943</v>
      </c>
      <c r="C2069" s="102">
        <f t="shared" si="32"/>
        <v>32943</v>
      </c>
      <c r="D2069" s="10" t="s">
        <v>498</v>
      </c>
      <c r="E2069" s="7"/>
      <c r="F2069" s="7"/>
      <c r="G2069" s="22"/>
    </row>
    <row r="2070" spans="1:7" ht="20.25" hidden="1" customHeight="1">
      <c r="A2070" s="10">
        <v>32944</v>
      </c>
      <c r="B2070" s="10">
        <v>36944</v>
      </c>
      <c r="C2070" s="102">
        <f t="shared" si="32"/>
        <v>32944</v>
      </c>
      <c r="D2070" s="10" t="s">
        <v>498</v>
      </c>
      <c r="E2070" s="7"/>
      <c r="F2070" s="7"/>
      <c r="G2070" s="22"/>
    </row>
    <row r="2071" spans="1:7" ht="20.25" hidden="1" customHeight="1">
      <c r="A2071" s="10">
        <v>32945</v>
      </c>
      <c r="B2071" s="10">
        <v>36945</v>
      </c>
      <c r="C2071" s="102">
        <f t="shared" si="32"/>
        <v>32945</v>
      </c>
      <c r="D2071" s="10" t="s">
        <v>498</v>
      </c>
      <c r="E2071" s="7"/>
      <c r="F2071" s="7"/>
      <c r="G2071" s="22"/>
    </row>
    <row r="2072" spans="1:7" ht="20.25" hidden="1" customHeight="1">
      <c r="A2072" s="10">
        <v>32946</v>
      </c>
      <c r="B2072" s="10">
        <v>36946</v>
      </c>
      <c r="C2072" s="102">
        <f t="shared" si="32"/>
        <v>32946</v>
      </c>
      <c r="D2072" s="10" t="s">
        <v>498</v>
      </c>
      <c r="E2072" s="7"/>
      <c r="F2072" s="7"/>
      <c r="G2072" s="22"/>
    </row>
    <row r="2073" spans="1:7" ht="20.25" hidden="1" customHeight="1">
      <c r="A2073" s="10">
        <v>32947</v>
      </c>
      <c r="B2073" s="10">
        <v>36947</v>
      </c>
      <c r="C2073" s="102">
        <f t="shared" si="32"/>
        <v>32947</v>
      </c>
      <c r="D2073" s="10" t="s">
        <v>498</v>
      </c>
      <c r="E2073" s="7"/>
      <c r="F2073" s="7"/>
      <c r="G2073" s="22"/>
    </row>
    <row r="2074" spans="1:7" ht="20.25" hidden="1" customHeight="1">
      <c r="A2074" s="10">
        <v>32948</v>
      </c>
      <c r="B2074" s="10">
        <v>36948</v>
      </c>
      <c r="C2074" s="102">
        <f t="shared" si="32"/>
        <v>32948</v>
      </c>
      <c r="D2074" s="10" t="s">
        <v>498</v>
      </c>
      <c r="E2074" s="7"/>
      <c r="F2074" s="7"/>
      <c r="G2074" s="22"/>
    </row>
    <row r="2075" spans="1:7" ht="20.25" hidden="1" customHeight="1">
      <c r="A2075" s="10">
        <v>32949</v>
      </c>
      <c r="B2075" s="10">
        <v>36949</v>
      </c>
      <c r="C2075" s="102">
        <f t="shared" si="32"/>
        <v>32949</v>
      </c>
      <c r="D2075" s="10" t="s">
        <v>498</v>
      </c>
      <c r="E2075" s="7"/>
      <c r="F2075" s="7"/>
      <c r="G2075" s="22"/>
    </row>
    <row r="2076" spans="1:7" ht="20.25" hidden="1" customHeight="1">
      <c r="A2076" s="10">
        <v>32950</v>
      </c>
      <c r="B2076" s="10">
        <v>36950</v>
      </c>
      <c r="C2076" s="102">
        <f t="shared" si="32"/>
        <v>32950</v>
      </c>
      <c r="D2076" s="10" t="s">
        <v>498</v>
      </c>
      <c r="E2076" s="7"/>
      <c r="F2076" s="7"/>
      <c r="G2076" s="22"/>
    </row>
    <row r="2077" spans="1:7" ht="20.25" hidden="1" customHeight="1">
      <c r="A2077" s="10">
        <v>32951</v>
      </c>
      <c r="B2077" s="10">
        <v>36951</v>
      </c>
      <c r="C2077" s="102">
        <f t="shared" si="32"/>
        <v>32951</v>
      </c>
      <c r="D2077" s="10" t="s">
        <v>498</v>
      </c>
      <c r="E2077" s="7"/>
      <c r="F2077" s="7"/>
      <c r="G2077" s="22"/>
    </row>
    <row r="2078" spans="1:7" ht="20.25" hidden="1" customHeight="1">
      <c r="A2078" s="10">
        <v>32952</v>
      </c>
      <c r="B2078" s="10">
        <v>36952</v>
      </c>
      <c r="C2078" s="102">
        <f t="shared" si="32"/>
        <v>32952</v>
      </c>
      <c r="D2078" s="10" t="s">
        <v>498</v>
      </c>
      <c r="E2078" s="7"/>
      <c r="F2078" s="7"/>
      <c r="G2078" s="22"/>
    </row>
    <row r="2079" spans="1:7" ht="20.25" hidden="1" customHeight="1">
      <c r="A2079" s="10">
        <v>32953</v>
      </c>
      <c r="B2079" s="10">
        <v>36953</v>
      </c>
      <c r="C2079" s="102">
        <f t="shared" si="32"/>
        <v>32953</v>
      </c>
      <c r="D2079" s="10" t="s">
        <v>498</v>
      </c>
      <c r="E2079" s="7"/>
      <c r="F2079" s="7"/>
      <c r="G2079" s="22"/>
    </row>
    <row r="2080" spans="1:7" ht="20.25" hidden="1" customHeight="1">
      <c r="A2080" s="10">
        <v>32954</v>
      </c>
      <c r="B2080" s="10">
        <v>36954</v>
      </c>
      <c r="C2080" s="102">
        <f t="shared" si="32"/>
        <v>32954</v>
      </c>
      <c r="D2080" s="10" t="s">
        <v>498</v>
      </c>
      <c r="E2080" s="7"/>
      <c r="F2080" s="7"/>
      <c r="G2080" s="22"/>
    </row>
    <row r="2081" spans="1:7" ht="20.25" hidden="1" customHeight="1">
      <c r="A2081" s="10">
        <v>32955</v>
      </c>
      <c r="B2081" s="10">
        <v>36955</v>
      </c>
      <c r="C2081" s="102">
        <f t="shared" si="32"/>
        <v>32955</v>
      </c>
      <c r="D2081" s="10" t="s">
        <v>498</v>
      </c>
      <c r="E2081" s="7"/>
      <c r="F2081" s="7"/>
      <c r="G2081" s="22"/>
    </row>
    <row r="2082" spans="1:7" ht="20.25" hidden="1" customHeight="1">
      <c r="A2082" s="10">
        <v>32956</v>
      </c>
      <c r="B2082" s="10">
        <v>36956</v>
      </c>
      <c r="C2082" s="102">
        <f t="shared" si="32"/>
        <v>32956</v>
      </c>
      <c r="D2082" s="10" t="s">
        <v>498</v>
      </c>
      <c r="E2082" s="7"/>
      <c r="F2082" s="7"/>
      <c r="G2082" s="22"/>
    </row>
    <row r="2083" spans="1:7" ht="20.25" hidden="1" customHeight="1">
      <c r="A2083" s="10">
        <v>32957</v>
      </c>
      <c r="B2083" s="10">
        <v>36957</v>
      </c>
      <c r="C2083" s="102">
        <f t="shared" si="32"/>
        <v>32957</v>
      </c>
      <c r="D2083" s="10" t="s">
        <v>498</v>
      </c>
      <c r="E2083" s="7"/>
      <c r="F2083" s="7"/>
      <c r="G2083" s="22"/>
    </row>
    <row r="2084" spans="1:7" ht="20.25" hidden="1" customHeight="1">
      <c r="A2084" s="10">
        <v>32958</v>
      </c>
      <c r="B2084" s="10">
        <v>36958</v>
      </c>
      <c r="C2084" s="102">
        <f t="shared" si="32"/>
        <v>32958</v>
      </c>
      <c r="D2084" s="10" t="s">
        <v>498</v>
      </c>
      <c r="E2084" s="7"/>
      <c r="F2084" s="7"/>
      <c r="G2084" s="22"/>
    </row>
    <row r="2085" spans="1:7" ht="20.25" hidden="1" customHeight="1">
      <c r="A2085" s="10">
        <v>32959</v>
      </c>
      <c r="B2085" s="10">
        <v>36959</v>
      </c>
      <c r="C2085" s="102">
        <f t="shared" si="32"/>
        <v>32959</v>
      </c>
      <c r="D2085" s="10" t="s">
        <v>498</v>
      </c>
      <c r="E2085" s="7"/>
      <c r="F2085" s="7"/>
      <c r="G2085" s="22"/>
    </row>
    <row r="2086" spans="1:7" ht="20.25" hidden="1" customHeight="1">
      <c r="A2086" s="10">
        <v>32960</v>
      </c>
      <c r="B2086" s="10">
        <v>36960</v>
      </c>
      <c r="C2086" s="102">
        <f t="shared" si="32"/>
        <v>32960</v>
      </c>
      <c r="D2086" s="10" t="s">
        <v>498</v>
      </c>
      <c r="E2086" s="7"/>
      <c r="F2086" s="7"/>
      <c r="G2086" s="22"/>
    </row>
    <row r="2087" spans="1:7" ht="20.25" hidden="1" customHeight="1">
      <c r="A2087" s="10">
        <v>32961</v>
      </c>
      <c r="B2087" s="10">
        <v>36961</v>
      </c>
      <c r="C2087" s="102">
        <f t="shared" si="32"/>
        <v>32961</v>
      </c>
      <c r="D2087" s="10" t="s">
        <v>498</v>
      </c>
      <c r="E2087" s="7"/>
      <c r="F2087" s="7"/>
      <c r="G2087" s="22"/>
    </row>
    <row r="2088" spans="1:7" ht="20.25" hidden="1" customHeight="1">
      <c r="A2088" s="10">
        <v>32962</v>
      </c>
      <c r="B2088" s="10">
        <v>36962</v>
      </c>
      <c r="C2088" s="102">
        <f t="shared" si="32"/>
        <v>32962</v>
      </c>
      <c r="D2088" s="10" t="s">
        <v>498</v>
      </c>
      <c r="E2088" s="7"/>
      <c r="F2088" s="7"/>
      <c r="G2088" s="22"/>
    </row>
    <row r="2089" spans="1:7" ht="20.25" hidden="1" customHeight="1">
      <c r="A2089" s="10">
        <v>32963</v>
      </c>
      <c r="B2089" s="10">
        <v>36963</v>
      </c>
      <c r="C2089" s="102">
        <f t="shared" si="32"/>
        <v>32963</v>
      </c>
      <c r="D2089" s="10" t="s">
        <v>498</v>
      </c>
      <c r="E2089" s="7"/>
      <c r="F2089" s="7"/>
      <c r="G2089" s="22"/>
    </row>
    <row r="2090" spans="1:7" ht="20.25" hidden="1" customHeight="1">
      <c r="A2090" s="10">
        <v>32964</v>
      </c>
      <c r="B2090" s="10">
        <v>36964</v>
      </c>
      <c r="C2090" s="102">
        <f t="shared" si="32"/>
        <v>32964</v>
      </c>
      <c r="D2090" s="10" t="s">
        <v>498</v>
      </c>
      <c r="E2090" s="7"/>
      <c r="F2090" s="7"/>
      <c r="G2090" s="22"/>
    </row>
    <row r="2091" spans="1:7" ht="20.25" hidden="1" customHeight="1">
      <c r="A2091" s="10">
        <v>32965</v>
      </c>
      <c r="B2091" s="10">
        <v>36965</v>
      </c>
      <c r="C2091" s="102">
        <f t="shared" si="32"/>
        <v>32965</v>
      </c>
      <c r="D2091" s="10" t="s">
        <v>498</v>
      </c>
      <c r="E2091" s="7"/>
      <c r="F2091" s="7"/>
      <c r="G2091" s="22"/>
    </row>
    <row r="2092" spans="1:7" ht="20.25" hidden="1" customHeight="1">
      <c r="A2092" s="10">
        <v>32966</v>
      </c>
      <c r="B2092" s="10">
        <v>36966</v>
      </c>
      <c r="C2092" s="102">
        <f t="shared" si="32"/>
        <v>32966</v>
      </c>
      <c r="D2092" s="10" t="s">
        <v>498</v>
      </c>
      <c r="E2092" s="7"/>
      <c r="F2092" s="7"/>
      <c r="G2092" s="22"/>
    </row>
    <row r="2093" spans="1:7" ht="20.25" hidden="1" customHeight="1">
      <c r="A2093" s="10">
        <v>32967</v>
      </c>
      <c r="B2093" s="10">
        <v>36967</v>
      </c>
      <c r="C2093" s="102">
        <f t="shared" si="32"/>
        <v>32967</v>
      </c>
      <c r="D2093" s="10" t="s">
        <v>498</v>
      </c>
      <c r="E2093" s="7"/>
      <c r="F2093" s="7"/>
      <c r="G2093" s="22"/>
    </row>
    <row r="2094" spans="1:7" ht="20.25" hidden="1" customHeight="1">
      <c r="A2094" s="10">
        <v>32968</v>
      </c>
      <c r="B2094" s="10">
        <v>36968</v>
      </c>
      <c r="C2094" s="102">
        <f t="shared" si="32"/>
        <v>32968</v>
      </c>
      <c r="D2094" s="10" t="s">
        <v>498</v>
      </c>
      <c r="E2094" s="7"/>
      <c r="F2094" s="7"/>
      <c r="G2094" s="22"/>
    </row>
    <row r="2095" spans="1:7" ht="20.25" hidden="1" customHeight="1">
      <c r="A2095" s="10">
        <v>32969</v>
      </c>
      <c r="B2095" s="10">
        <v>36969</v>
      </c>
      <c r="C2095" s="102">
        <f t="shared" si="32"/>
        <v>32969</v>
      </c>
      <c r="D2095" s="10" t="s">
        <v>498</v>
      </c>
      <c r="E2095" s="7"/>
      <c r="F2095" s="7"/>
      <c r="G2095" s="22"/>
    </row>
    <row r="2096" spans="1:7" ht="20.25" hidden="1" customHeight="1">
      <c r="A2096" s="10">
        <v>32970</v>
      </c>
      <c r="B2096" s="10">
        <v>36970</v>
      </c>
      <c r="C2096" s="102">
        <f t="shared" si="32"/>
        <v>32970</v>
      </c>
      <c r="D2096" s="10" t="s">
        <v>498</v>
      </c>
      <c r="E2096" s="7"/>
      <c r="F2096" s="7"/>
      <c r="G2096" s="22"/>
    </row>
    <row r="2097" spans="1:7" ht="20.25" hidden="1" customHeight="1">
      <c r="A2097" s="10">
        <v>32971</v>
      </c>
      <c r="B2097" s="10">
        <v>36971</v>
      </c>
      <c r="C2097" s="102">
        <f t="shared" si="32"/>
        <v>32971</v>
      </c>
      <c r="D2097" s="10" t="s">
        <v>498</v>
      </c>
      <c r="E2097" s="7"/>
      <c r="F2097" s="7"/>
      <c r="G2097" s="22"/>
    </row>
    <row r="2098" spans="1:7" ht="20.25" hidden="1" customHeight="1">
      <c r="A2098" s="10">
        <v>32972</v>
      </c>
      <c r="B2098" s="10">
        <v>36972</v>
      </c>
      <c r="C2098" s="102">
        <f t="shared" si="32"/>
        <v>32972</v>
      </c>
      <c r="D2098" s="10" t="s">
        <v>498</v>
      </c>
      <c r="E2098" s="7"/>
      <c r="F2098" s="7"/>
      <c r="G2098" s="22"/>
    </row>
    <row r="2099" spans="1:7" ht="20.25" hidden="1" customHeight="1">
      <c r="A2099" s="10">
        <v>32973</v>
      </c>
      <c r="B2099" s="10">
        <v>36973</v>
      </c>
      <c r="C2099" s="102">
        <f t="shared" si="32"/>
        <v>32973</v>
      </c>
      <c r="D2099" s="10" t="s">
        <v>498</v>
      </c>
      <c r="E2099" s="7"/>
      <c r="F2099" s="7"/>
      <c r="G2099" s="22"/>
    </row>
    <row r="2100" spans="1:7" ht="20.25" hidden="1" customHeight="1">
      <c r="A2100" s="10">
        <v>32974</v>
      </c>
      <c r="B2100" s="10">
        <v>36974</v>
      </c>
      <c r="C2100" s="102">
        <f t="shared" si="32"/>
        <v>32974</v>
      </c>
      <c r="D2100" s="10" t="s">
        <v>498</v>
      </c>
      <c r="E2100" s="7"/>
      <c r="F2100" s="7"/>
      <c r="G2100" s="22"/>
    </row>
    <row r="2101" spans="1:7" ht="20.25" hidden="1" customHeight="1">
      <c r="A2101" s="10">
        <v>32975</v>
      </c>
      <c r="B2101" s="10">
        <v>36975</v>
      </c>
      <c r="C2101" s="102">
        <f t="shared" si="32"/>
        <v>32975</v>
      </c>
      <c r="D2101" s="10" t="s">
        <v>498</v>
      </c>
      <c r="E2101" s="7"/>
      <c r="F2101" s="7"/>
      <c r="G2101" s="22"/>
    </row>
    <row r="2102" spans="1:7" ht="20.25" hidden="1" customHeight="1">
      <c r="A2102" s="10">
        <v>32976</v>
      </c>
      <c r="B2102" s="10">
        <v>36976</v>
      </c>
      <c r="C2102" s="102">
        <f t="shared" si="32"/>
        <v>32976</v>
      </c>
      <c r="D2102" s="10" t="s">
        <v>498</v>
      </c>
      <c r="E2102" s="7"/>
      <c r="F2102" s="7"/>
      <c r="G2102" s="22"/>
    </row>
    <row r="2103" spans="1:7" ht="20.25" hidden="1" customHeight="1">
      <c r="A2103" s="10">
        <v>32977</v>
      </c>
      <c r="B2103" s="10">
        <v>36977</v>
      </c>
      <c r="C2103" s="102">
        <f t="shared" si="32"/>
        <v>32977</v>
      </c>
      <c r="D2103" s="10" t="s">
        <v>498</v>
      </c>
      <c r="E2103" s="7"/>
      <c r="F2103" s="7"/>
      <c r="G2103" s="22"/>
    </row>
    <row r="2104" spans="1:7" ht="20.25" hidden="1" customHeight="1">
      <c r="A2104" s="10">
        <v>32978</v>
      </c>
      <c r="B2104" s="10">
        <v>36978</v>
      </c>
      <c r="C2104" s="102">
        <f t="shared" si="32"/>
        <v>32978</v>
      </c>
      <c r="D2104" s="10" t="s">
        <v>498</v>
      </c>
      <c r="E2104" s="7"/>
      <c r="F2104" s="7"/>
      <c r="G2104" s="22"/>
    </row>
    <row r="2105" spans="1:7" ht="20.25" hidden="1" customHeight="1">
      <c r="A2105" s="10">
        <v>32979</v>
      </c>
      <c r="B2105" s="10">
        <v>36979</v>
      </c>
      <c r="C2105" s="102">
        <f t="shared" si="32"/>
        <v>32979</v>
      </c>
      <c r="D2105" s="10" t="s">
        <v>498</v>
      </c>
      <c r="E2105" s="7"/>
      <c r="F2105" s="7"/>
      <c r="G2105" s="22"/>
    </row>
    <row r="2106" spans="1:7" ht="20.25" hidden="1" customHeight="1">
      <c r="A2106" s="10">
        <v>32980</v>
      </c>
      <c r="B2106" s="10">
        <v>36980</v>
      </c>
      <c r="C2106" s="102">
        <f t="shared" si="32"/>
        <v>32980</v>
      </c>
      <c r="D2106" s="10" t="s">
        <v>498</v>
      </c>
      <c r="E2106" s="7"/>
      <c r="F2106" s="7"/>
      <c r="G2106" s="22"/>
    </row>
    <row r="2107" spans="1:7" ht="20.25" hidden="1" customHeight="1">
      <c r="A2107" s="10">
        <v>32981</v>
      </c>
      <c r="B2107" s="10">
        <v>36981</v>
      </c>
      <c r="C2107" s="102">
        <f t="shared" si="32"/>
        <v>32981</v>
      </c>
      <c r="D2107" s="10" t="s">
        <v>498</v>
      </c>
      <c r="E2107" s="7"/>
      <c r="F2107" s="7"/>
      <c r="G2107" s="22"/>
    </row>
    <row r="2108" spans="1:7" ht="20.25" hidden="1" customHeight="1">
      <c r="A2108" s="10">
        <v>32982</v>
      </c>
      <c r="B2108" s="10">
        <v>36982</v>
      </c>
      <c r="C2108" s="102">
        <f t="shared" si="32"/>
        <v>32982</v>
      </c>
      <c r="D2108" s="10" t="s">
        <v>498</v>
      </c>
      <c r="E2108" s="7"/>
      <c r="F2108" s="7"/>
      <c r="G2108" s="22"/>
    </row>
    <row r="2109" spans="1:7" ht="20.25" hidden="1" customHeight="1">
      <c r="A2109" s="10">
        <v>32983</v>
      </c>
      <c r="B2109" s="10">
        <v>36983</v>
      </c>
      <c r="C2109" s="102">
        <f t="shared" si="32"/>
        <v>32983</v>
      </c>
      <c r="D2109" s="10" t="s">
        <v>498</v>
      </c>
      <c r="E2109" s="7"/>
      <c r="F2109" s="7"/>
      <c r="G2109" s="22"/>
    </row>
    <row r="2110" spans="1:7" ht="20.25" hidden="1" customHeight="1">
      <c r="A2110" s="10">
        <v>32984</v>
      </c>
      <c r="B2110" s="10">
        <v>36984</v>
      </c>
      <c r="C2110" s="102">
        <f t="shared" si="32"/>
        <v>32984</v>
      </c>
      <c r="D2110" s="10" t="s">
        <v>498</v>
      </c>
      <c r="E2110" s="7"/>
      <c r="F2110" s="7"/>
      <c r="G2110" s="22"/>
    </row>
    <row r="2111" spans="1:7" ht="20.25" hidden="1" customHeight="1">
      <c r="A2111" s="10">
        <v>32985</v>
      </c>
      <c r="B2111" s="10">
        <v>36985</v>
      </c>
      <c r="C2111" s="102">
        <f t="shared" si="32"/>
        <v>32985</v>
      </c>
      <c r="D2111" s="10" t="s">
        <v>498</v>
      </c>
      <c r="E2111" s="7"/>
      <c r="F2111" s="7"/>
      <c r="G2111" s="22"/>
    </row>
    <row r="2112" spans="1:7" ht="20.25" hidden="1" customHeight="1">
      <c r="A2112" s="10">
        <v>32986</v>
      </c>
      <c r="B2112" s="10">
        <v>36986</v>
      </c>
      <c r="C2112" s="102">
        <f t="shared" si="32"/>
        <v>32986</v>
      </c>
      <c r="D2112" s="10" t="s">
        <v>498</v>
      </c>
      <c r="E2112" s="7"/>
      <c r="F2112" s="7"/>
      <c r="G2112" s="22"/>
    </row>
    <row r="2113" spans="1:7" ht="20.25" hidden="1" customHeight="1">
      <c r="A2113" s="10">
        <v>32987</v>
      </c>
      <c r="B2113" s="10">
        <v>36987</v>
      </c>
      <c r="C2113" s="102">
        <f t="shared" si="32"/>
        <v>32987</v>
      </c>
      <c r="D2113" s="10" t="s">
        <v>498</v>
      </c>
      <c r="E2113" s="7"/>
      <c r="F2113" s="7"/>
      <c r="G2113" s="22"/>
    </row>
    <row r="2114" spans="1:7" ht="20.25" hidden="1" customHeight="1">
      <c r="A2114" s="10">
        <v>32988</v>
      </c>
      <c r="B2114" s="10">
        <v>36988</v>
      </c>
      <c r="C2114" s="102">
        <f t="shared" si="32"/>
        <v>32988</v>
      </c>
      <c r="D2114" s="10" t="s">
        <v>498</v>
      </c>
      <c r="E2114" s="7"/>
      <c r="F2114" s="7"/>
      <c r="G2114" s="22"/>
    </row>
    <row r="2115" spans="1:7" ht="20.25" hidden="1" customHeight="1">
      <c r="A2115" s="10">
        <v>32989</v>
      </c>
      <c r="B2115" s="10">
        <v>36989</v>
      </c>
      <c r="C2115" s="102">
        <f t="shared" si="32"/>
        <v>32989</v>
      </c>
      <c r="D2115" s="10" t="s">
        <v>498</v>
      </c>
      <c r="E2115" s="7"/>
      <c r="F2115" s="7"/>
      <c r="G2115" s="22"/>
    </row>
    <row r="2116" spans="1:7" ht="20.25" hidden="1" customHeight="1">
      <c r="A2116" s="10">
        <v>32990</v>
      </c>
      <c r="B2116" s="10">
        <v>36990</v>
      </c>
      <c r="C2116" s="102">
        <f t="shared" ref="C2116:C2132" si="33">IF(ISERROR(FIND("B_Epic",E2116)),A2116,A2116+10000)</f>
        <v>32990</v>
      </c>
      <c r="D2116" s="10" t="s">
        <v>498</v>
      </c>
      <c r="E2116" s="7"/>
      <c r="F2116" s="7"/>
      <c r="G2116" s="22"/>
    </row>
    <row r="2117" spans="1:7" ht="20.25" hidden="1" customHeight="1">
      <c r="A2117" s="10">
        <v>32991</v>
      </c>
      <c r="B2117" s="10">
        <v>36991</v>
      </c>
      <c r="C2117" s="102">
        <f t="shared" si="33"/>
        <v>32991</v>
      </c>
      <c r="D2117" s="10" t="s">
        <v>498</v>
      </c>
      <c r="E2117" s="7"/>
      <c r="F2117" s="7"/>
      <c r="G2117" s="22"/>
    </row>
    <row r="2118" spans="1:7" ht="20.25" hidden="1" customHeight="1">
      <c r="A2118" s="10">
        <v>32992</v>
      </c>
      <c r="B2118" s="10">
        <v>36992</v>
      </c>
      <c r="C2118" s="102">
        <f t="shared" si="33"/>
        <v>32992</v>
      </c>
      <c r="D2118" s="10" t="s">
        <v>498</v>
      </c>
      <c r="E2118" s="7"/>
      <c r="F2118" s="7"/>
      <c r="G2118" s="22"/>
    </row>
    <row r="2119" spans="1:7" ht="20.25" hidden="1" customHeight="1">
      <c r="A2119" s="10">
        <v>32993</v>
      </c>
      <c r="B2119" s="10">
        <v>36993</v>
      </c>
      <c r="C2119" s="102">
        <f t="shared" si="33"/>
        <v>32993</v>
      </c>
      <c r="D2119" s="10" t="s">
        <v>498</v>
      </c>
      <c r="E2119" s="7"/>
      <c r="F2119" s="7"/>
      <c r="G2119" s="22"/>
    </row>
    <row r="2120" spans="1:7" ht="20.25" hidden="1" customHeight="1">
      <c r="A2120" s="10">
        <v>32994</v>
      </c>
      <c r="B2120" s="10">
        <v>36994</v>
      </c>
      <c r="C2120" s="102">
        <f t="shared" si="33"/>
        <v>32994</v>
      </c>
      <c r="D2120" s="10" t="s">
        <v>498</v>
      </c>
      <c r="E2120" s="7"/>
      <c r="F2120" s="7"/>
      <c r="G2120" s="22"/>
    </row>
    <row r="2121" spans="1:7" ht="20.25" hidden="1" customHeight="1">
      <c r="A2121" s="10">
        <v>32995</v>
      </c>
      <c r="B2121" s="10">
        <v>36995</v>
      </c>
      <c r="C2121" s="102">
        <f t="shared" si="33"/>
        <v>32995</v>
      </c>
      <c r="D2121" s="10" t="s">
        <v>498</v>
      </c>
      <c r="E2121" s="7"/>
      <c r="F2121" s="7"/>
      <c r="G2121" s="22"/>
    </row>
    <row r="2122" spans="1:7" ht="20.25" hidden="1" customHeight="1">
      <c r="A2122" s="10">
        <v>32996</v>
      </c>
      <c r="B2122" s="10">
        <v>36996</v>
      </c>
      <c r="C2122" s="102">
        <f t="shared" si="33"/>
        <v>32996</v>
      </c>
      <c r="D2122" s="10" t="s">
        <v>498</v>
      </c>
      <c r="E2122" s="7"/>
      <c r="F2122" s="7"/>
      <c r="G2122" s="22"/>
    </row>
    <row r="2123" spans="1:7" ht="20.25" hidden="1" customHeight="1">
      <c r="A2123" s="10">
        <v>32997</v>
      </c>
      <c r="B2123" s="10">
        <v>36997</v>
      </c>
      <c r="C2123" s="102">
        <f t="shared" si="33"/>
        <v>32997</v>
      </c>
      <c r="D2123" s="10" t="s">
        <v>498</v>
      </c>
      <c r="E2123" s="7"/>
      <c r="F2123" s="7"/>
      <c r="G2123" s="22"/>
    </row>
    <row r="2124" spans="1:7" ht="20.25" hidden="1" customHeight="1">
      <c r="A2124" s="10">
        <v>32998</v>
      </c>
      <c r="B2124" s="10">
        <v>36998</v>
      </c>
      <c r="C2124" s="102">
        <f t="shared" si="33"/>
        <v>32998</v>
      </c>
      <c r="D2124" s="10" t="s">
        <v>498</v>
      </c>
      <c r="E2124" s="7"/>
      <c r="F2124" s="7"/>
      <c r="G2124" s="22"/>
    </row>
    <row r="2125" spans="1:7" ht="20.25" hidden="1" customHeight="1">
      <c r="A2125" s="10">
        <v>32999</v>
      </c>
      <c r="B2125" s="10">
        <v>36999</v>
      </c>
      <c r="C2125" s="102">
        <f t="shared" si="33"/>
        <v>32999</v>
      </c>
      <c r="D2125" s="10" t="s">
        <v>498</v>
      </c>
      <c r="E2125" s="7"/>
      <c r="F2125" s="7"/>
      <c r="G2125" s="22"/>
    </row>
    <row r="2126" spans="1:7" ht="20.25" hidden="1" customHeight="1">
      <c r="A2126" s="10">
        <v>30556</v>
      </c>
      <c r="B2126" s="10">
        <v>40556</v>
      </c>
      <c r="C2126" s="102">
        <f t="shared" si="33"/>
        <v>30556</v>
      </c>
      <c r="D2126" s="10" t="s">
        <v>498</v>
      </c>
      <c r="E2126" s="7" t="s">
        <v>3509</v>
      </c>
      <c r="F2126" s="7" t="s">
        <v>1992</v>
      </c>
      <c r="G2126" s="22"/>
    </row>
    <row r="2127" spans="1:7" ht="20.25" hidden="1" customHeight="1">
      <c r="A2127" s="10">
        <v>30557</v>
      </c>
      <c r="B2127" s="10">
        <v>40557</v>
      </c>
      <c r="C2127" s="102">
        <f t="shared" si="33"/>
        <v>30557</v>
      </c>
      <c r="D2127" s="10" t="s">
        <v>498</v>
      </c>
      <c r="E2127" s="7" t="s">
        <v>3510</v>
      </c>
      <c r="F2127" s="7" t="s">
        <v>1992</v>
      </c>
      <c r="G2127" s="22"/>
    </row>
    <row r="2128" spans="1:7" ht="20.25" hidden="1" customHeight="1">
      <c r="A2128" s="10">
        <v>30558</v>
      </c>
      <c r="B2128" s="10">
        <v>40558</v>
      </c>
      <c r="C2128" s="102">
        <f t="shared" si="33"/>
        <v>30558</v>
      </c>
      <c r="D2128" s="10" t="s">
        <v>498</v>
      </c>
      <c r="E2128" s="7" t="s">
        <v>3511</v>
      </c>
      <c r="F2128" s="7" t="s">
        <v>1992</v>
      </c>
      <c r="G2128" s="22"/>
    </row>
    <row r="2129" spans="1:7" ht="20.25" hidden="1" customHeight="1">
      <c r="A2129" s="10">
        <v>45002</v>
      </c>
      <c r="B2129" s="10">
        <v>46002</v>
      </c>
      <c r="C2129" s="102">
        <f t="shared" si="33"/>
        <v>55002</v>
      </c>
      <c r="D2129" s="10" t="s">
        <v>498</v>
      </c>
      <c r="E2129" s="7" t="s">
        <v>3512</v>
      </c>
      <c r="F2129" s="7" t="s">
        <v>3513</v>
      </c>
      <c r="G2129" s="173" t="s">
        <v>596</v>
      </c>
    </row>
    <row r="2130" spans="1:7" ht="20.25" hidden="1" customHeight="1">
      <c r="A2130" s="10">
        <v>50157</v>
      </c>
      <c r="B2130" s="10">
        <v>50158</v>
      </c>
      <c r="C2130" s="102">
        <f t="shared" si="33"/>
        <v>50157</v>
      </c>
      <c r="D2130" s="10" t="s">
        <v>498</v>
      </c>
      <c r="E2130" s="5" t="s">
        <v>2972</v>
      </c>
      <c r="F2130" s="7" t="s">
        <v>1113</v>
      </c>
      <c r="G2130" s="22"/>
    </row>
    <row r="2131" spans="1:7" ht="20.25" hidden="1" customHeight="1">
      <c r="A2131" s="10">
        <v>50313</v>
      </c>
      <c r="B2131" s="10">
        <v>50313</v>
      </c>
      <c r="C2131" s="102">
        <f t="shared" si="33"/>
        <v>50313</v>
      </c>
      <c r="D2131" s="10" t="s">
        <v>498</v>
      </c>
      <c r="E2131" s="7" t="s">
        <v>3514</v>
      </c>
      <c r="F2131" s="10" t="s">
        <v>19</v>
      </c>
      <c r="G2131" s="22" t="s">
        <v>948</v>
      </c>
    </row>
    <row r="2132" spans="1:7" ht="20.25" hidden="1" customHeight="1">
      <c r="A2132" s="10">
        <v>63942</v>
      </c>
      <c r="B2132" s="10">
        <v>63943</v>
      </c>
      <c r="C2132" s="102">
        <f t="shared" si="33"/>
        <v>63942</v>
      </c>
      <c r="D2132" s="10" t="s">
        <v>498</v>
      </c>
      <c r="E2132" s="7" t="s">
        <v>3515</v>
      </c>
      <c r="F2132" s="10" t="s">
        <v>1992</v>
      </c>
      <c r="G2132" s="22"/>
    </row>
  </sheetData>
  <sheetProtection algorithmName="SHA-512" hashValue="Q+UGCRBatkNPbn5YRTXvVFF20UnFkBKZSUVLjRtjFsfiL/caOJYAIMvMYyt0U7THjkZs92GWQ6Cuq0TQ7O5CpA==" saltValue="O4I33RQWZ/Ro7OuR9krZTA==" spinCount="100000" sheet="1" objects="1" scenarios="1"/>
  <autoFilter ref="A1:G2132" xr:uid="{00000000-0001-0000-0400-000000000000}">
    <filterColumn colId="3">
      <filters>
        <filter val="CP3"/>
      </filters>
    </filterColumn>
    <sortState xmlns:xlrd2="http://schemas.microsoft.com/office/spreadsheetml/2017/richdata2" ref="A2:G2132">
      <sortCondition ref="B1:B2132"/>
    </sortState>
  </autoFilter>
  <sortState xmlns:xlrd2="http://schemas.microsoft.com/office/spreadsheetml/2017/richdata2" ref="A2:XFD211">
    <sortCondition ref="A2:A211"/>
  </sortState>
  <phoneticPr fontId="40" type="noConversion"/>
  <conditionalFormatting sqref="A1:A1048576">
    <cfRule type="duplicateValues" dxfId="96" priority="19"/>
  </conditionalFormatting>
  <conditionalFormatting sqref="B2:B3 B6:B9 B16:B766 B769:B1047 B1049:B1075 B1079:B1080 B1084:B1114 B1120:B1405 B1409:B1454 B1457:B1635 B1638:B5002">
    <cfRule type="expression" dxfId="95" priority="25">
      <formula>OR(B2&lt;B1,B2&gt;B3)</formula>
    </cfRule>
  </conditionalFormatting>
  <conditionalFormatting sqref="B4 B767">
    <cfRule type="expression" dxfId="94" priority="403">
      <formula>OR(B4&lt;B3,B4&gt;#REF!)</formula>
    </cfRule>
  </conditionalFormatting>
  <conditionalFormatting sqref="B5 B768">
    <cfRule type="expression" dxfId="93" priority="402">
      <formula>OR(B5&lt;#REF!,B5&gt;B6)</formula>
    </cfRule>
  </conditionalFormatting>
  <conditionalFormatting sqref="B10:B11">
    <cfRule type="expression" dxfId="92" priority="390">
      <formula>OR(B10&lt;B9,B10&gt;B15)</formula>
    </cfRule>
  </conditionalFormatting>
  <conditionalFormatting sqref="B12">
    <cfRule type="expression" dxfId="91" priority="391">
      <formula>OR(B12&lt;B10,B12&gt;B16)</formula>
    </cfRule>
  </conditionalFormatting>
  <conditionalFormatting sqref="B13">
    <cfRule type="expression" dxfId="90" priority="373">
      <formula>OR(B13&lt;B10,B13&gt;B16)</formula>
    </cfRule>
  </conditionalFormatting>
  <conditionalFormatting sqref="B14">
    <cfRule type="expression" dxfId="89" priority="354">
      <formula>OR(B14&lt;B10,B14&gt;B16)</formula>
    </cfRule>
  </conditionalFormatting>
  <conditionalFormatting sqref="B15">
    <cfRule type="expression" dxfId="88" priority="355">
      <formula>OR(B15&lt;B10,B15&gt;B16)</formula>
    </cfRule>
  </conditionalFormatting>
  <conditionalFormatting sqref="B1048">
    <cfRule type="duplicateValues" dxfId="87" priority="7"/>
  </conditionalFormatting>
  <conditionalFormatting sqref="B1049:B1048576 B1:B1047">
    <cfRule type="duplicateValues" dxfId="86" priority="20"/>
  </conditionalFormatting>
  <conditionalFormatting sqref="B1076:B1077 B1081:B1082 B1115:B1116 B1406:B1407">
    <cfRule type="expression" dxfId="85" priority="204">
      <formula>OR(B1076&lt;B1075,B1076&gt;B1078)</formula>
    </cfRule>
  </conditionalFormatting>
  <conditionalFormatting sqref="B1078 B1083 B1117 B1408">
    <cfRule type="expression" dxfId="84" priority="203">
      <formula>OR(B1078&lt;B1076,B1078&gt;B1079)</formula>
    </cfRule>
  </conditionalFormatting>
  <conditionalFormatting sqref="B1118 B1455 B1636">
    <cfRule type="expression" dxfId="83" priority="199">
      <formula>OR(B1118&lt;B1117,B1118&gt;#REF!)</formula>
    </cfRule>
  </conditionalFormatting>
  <conditionalFormatting sqref="B1119 B1456 B1637">
    <cfRule type="expression" dxfId="82" priority="198">
      <formula>OR(B1119&lt;#REF!,B1119&gt;B1120)</formula>
    </cfRule>
  </conditionalFormatting>
  <conditionalFormatting sqref="C11:C13">
    <cfRule type="duplicateValues" dxfId="81" priority="1"/>
  </conditionalFormatting>
  <conditionalFormatting sqref="C14:C1048576 C1:C10">
    <cfRule type="duplicateValues" dxfId="80" priority="21"/>
  </conditionalFormatting>
  <conditionalFormatting sqref="E1:E1153 E1155:E1327 E1329:E1528 E1530:E1546 E1548:E1589 E1591:E1651 E1653:E1703 E1708:E1717 E1719:E1861 E1863:E1048576">
    <cfRule type="containsBlanks" dxfId="79" priority="28">
      <formula>LEN(TRIM(E1))=0</formula>
    </cfRule>
    <cfRule type="containsText" priority="31" operator="containsText" text="Reserved">
      <formula>NOT(ISERROR(SEARCH("Reserved",E1)))</formula>
    </cfRule>
  </conditionalFormatting>
  <conditionalFormatting sqref="E1719:E1861 E1548:E1589 E1591:E1651 E1653:E1703 E1708:E1717 E1530:E1546 E1329:E1528 E1:E1153 E1155:E1327 E1863:E1048576">
    <cfRule type="duplicateValues" dxfId="78" priority="23"/>
  </conditionalFormatting>
  <hyperlinks>
    <hyperlink ref="G29" r:id="rId1" display="https://psjh.service-now.com/nav_to.do?uri=pm_project.do?sys_id=09b25aa0db672b0007095f6e5e9619c5" xr:uid="{00000000-0004-0000-0400-000000000000}"/>
    <hyperlink ref="G30" r:id="rId2" display="https://psjh.service-now.com/nav_to.do?uri=pm_project.do?sys_id=09b25aa0db672b0007095f6e5e9619c5" xr:uid="{00000000-0004-0000-0400-000001000000}"/>
  </hyperlinks>
  <pageMargins left="0.7" right="0.7" top="0.75" bottom="0.75" header="0.3" footer="0.3"/>
  <pageSetup orientation="portrait"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AE26-03F3-479D-B953-04925EBC5FDA}">
  <sheetPr codeName="Sheet13"/>
  <dimension ref="A1:H1002"/>
  <sheetViews>
    <sheetView zoomScale="150" zoomScaleNormal="150" workbookViewId="0">
      <selection activeCell="F13" sqref="F13"/>
    </sheetView>
  </sheetViews>
  <sheetFormatPr defaultColWidth="8.7109375" defaultRowHeight="15"/>
  <cols>
    <col min="1" max="1" width="6.42578125" bestFit="1" customWidth="1"/>
    <col min="2" max="2" width="7.7109375" bestFit="1" customWidth="1"/>
    <col min="3" max="3" width="11.42578125" bestFit="1" customWidth="1"/>
    <col min="4" max="4" width="8.42578125" customWidth="1"/>
    <col min="5" max="5" width="40" bestFit="1" customWidth="1"/>
    <col min="6" max="6" width="28" bestFit="1" customWidth="1"/>
    <col min="7" max="7" width="39.7109375" bestFit="1" customWidth="1"/>
    <col min="8" max="8" width="16.42578125" style="100" bestFit="1" customWidth="1"/>
  </cols>
  <sheetData>
    <row r="1" spans="1:8" ht="34.5" customHeight="1">
      <c r="A1" s="233" t="s">
        <v>3516</v>
      </c>
      <c r="B1" s="233"/>
      <c r="C1" s="233"/>
      <c r="D1" s="233"/>
      <c r="E1" s="233"/>
      <c r="F1" s="233"/>
      <c r="G1" s="233"/>
      <c r="H1" s="233"/>
    </row>
    <row r="2" spans="1:8" ht="18.75">
      <c r="A2" s="202" t="s">
        <v>10</v>
      </c>
      <c r="B2" s="202" t="s">
        <v>11</v>
      </c>
      <c r="C2" s="202" t="s">
        <v>12</v>
      </c>
      <c r="D2" s="202" t="s">
        <v>13</v>
      </c>
      <c r="E2" s="202" t="s">
        <v>14</v>
      </c>
      <c r="F2" s="202" t="s">
        <v>15</v>
      </c>
      <c r="G2" s="202" t="s">
        <v>3517</v>
      </c>
      <c r="H2" s="203" t="s">
        <v>16</v>
      </c>
    </row>
    <row r="3" spans="1:8">
      <c r="A3" s="115">
        <v>45000</v>
      </c>
      <c r="B3" s="115">
        <f>A3+1000</f>
        <v>46000</v>
      </c>
      <c r="C3" s="115">
        <f>IF(ISERROR(FIND("Epic",E3)),A3,A3+10000)</f>
        <v>55000</v>
      </c>
      <c r="D3" s="115" t="s">
        <v>17</v>
      </c>
      <c r="E3" s="206" t="s">
        <v>99</v>
      </c>
      <c r="F3" s="115" t="s">
        <v>3518</v>
      </c>
      <c r="G3" s="115" t="s">
        <v>3519</v>
      </c>
    </row>
    <row r="4" spans="1:8">
      <c r="A4" s="9">
        <v>45001</v>
      </c>
      <c r="B4" s="9">
        <f t="shared" ref="B4:B67" si="0">A4+1000</f>
        <v>46001</v>
      </c>
      <c r="C4" s="9">
        <f t="shared" ref="C4:C67" si="1">IF(ISERROR(FIND("Epic",E4)),A4,A4+10000)</f>
        <v>55001</v>
      </c>
      <c r="D4" s="9" t="s">
        <v>549</v>
      </c>
      <c r="E4" s="209" t="s">
        <v>3520</v>
      </c>
      <c r="F4" s="115" t="s">
        <v>3521</v>
      </c>
      <c r="G4" s="9" t="s">
        <v>3519</v>
      </c>
    </row>
    <row r="5" spans="1:8">
      <c r="A5" s="9">
        <v>45002</v>
      </c>
      <c r="B5" s="9">
        <f t="shared" si="0"/>
        <v>46002</v>
      </c>
      <c r="C5" s="9">
        <f t="shared" si="1"/>
        <v>55002</v>
      </c>
      <c r="D5" s="9" t="s">
        <v>498</v>
      </c>
      <c r="E5" s="11" t="s">
        <v>3512</v>
      </c>
      <c r="F5" s="9"/>
      <c r="G5" s="9" t="s">
        <v>3519</v>
      </c>
      <c r="H5" s="100" t="s">
        <v>596</v>
      </c>
    </row>
    <row r="6" spans="1:8">
      <c r="A6" s="9">
        <v>45003</v>
      </c>
      <c r="B6" s="9">
        <f t="shared" si="0"/>
        <v>46003</v>
      </c>
      <c r="C6" s="9">
        <f t="shared" si="1"/>
        <v>45003</v>
      </c>
      <c r="D6" s="9" t="s">
        <v>498</v>
      </c>
      <c r="E6" s="9" t="s">
        <v>3522</v>
      </c>
      <c r="F6" s="9"/>
      <c r="G6" s="9" t="s">
        <v>3519</v>
      </c>
      <c r="H6" s="100" t="s">
        <v>1623</v>
      </c>
    </row>
    <row r="7" spans="1:8">
      <c r="A7" s="9">
        <v>45004</v>
      </c>
      <c r="B7" s="9">
        <f t="shared" si="0"/>
        <v>46004</v>
      </c>
      <c r="C7" s="9">
        <f t="shared" si="1"/>
        <v>45004</v>
      </c>
      <c r="D7" s="9" t="s">
        <v>498</v>
      </c>
      <c r="E7" s="9" t="s">
        <v>3523</v>
      </c>
      <c r="F7" s="9"/>
      <c r="G7" s="9" t="s">
        <v>3519</v>
      </c>
      <c r="H7" s="100" t="s">
        <v>1623</v>
      </c>
    </row>
    <row r="8" spans="1:8">
      <c r="A8" s="9">
        <v>45005</v>
      </c>
      <c r="B8" s="9">
        <f t="shared" si="0"/>
        <v>46005</v>
      </c>
      <c r="C8" s="9">
        <f t="shared" si="1"/>
        <v>45005</v>
      </c>
      <c r="D8" s="9" t="s">
        <v>549</v>
      </c>
      <c r="E8" s="9" t="s">
        <v>3524</v>
      </c>
      <c r="F8" s="9"/>
      <c r="G8" s="9" t="s">
        <v>3519</v>
      </c>
      <c r="H8" s="100" t="s">
        <v>1623</v>
      </c>
    </row>
    <row r="9" spans="1:8">
      <c r="A9" s="9">
        <v>45006</v>
      </c>
      <c r="B9" s="9">
        <f t="shared" si="0"/>
        <v>46006</v>
      </c>
      <c r="C9" s="9">
        <f t="shared" si="1"/>
        <v>45006</v>
      </c>
      <c r="D9" s="9" t="s">
        <v>549</v>
      </c>
      <c r="E9" s="9" t="s">
        <v>3525</v>
      </c>
      <c r="F9" s="9"/>
      <c r="G9" s="9" t="s">
        <v>3519</v>
      </c>
      <c r="H9" s="100" t="s">
        <v>1623</v>
      </c>
    </row>
    <row r="10" spans="1:8">
      <c r="A10" s="9">
        <v>45007</v>
      </c>
      <c r="B10" s="9">
        <f t="shared" si="0"/>
        <v>46007</v>
      </c>
      <c r="C10" s="9">
        <f t="shared" si="1"/>
        <v>55007</v>
      </c>
      <c r="D10" s="9" t="s">
        <v>17</v>
      </c>
      <c r="E10" s="205" t="s">
        <v>413</v>
      </c>
      <c r="F10" s="115" t="s">
        <v>3518</v>
      </c>
      <c r="G10" s="9" t="s">
        <v>3519</v>
      </c>
    </row>
    <row r="11" spans="1:8">
      <c r="A11" s="9">
        <v>45008</v>
      </c>
      <c r="B11" s="9">
        <f t="shared" si="0"/>
        <v>46008</v>
      </c>
      <c r="C11" s="9">
        <f t="shared" si="1"/>
        <v>55008</v>
      </c>
      <c r="D11" s="9" t="s">
        <v>17</v>
      </c>
      <c r="E11" s="205" t="s">
        <v>3526</v>
      </c>
      <c r="F11" s="115" t="s">
        <v>3518</v>
      </c>
      <c r="G11" s="9" t="s">
        <v>3519</v>
      </c>
    </row>
    <row r="12" spans="1:8">
      <c r="A12" s="9">
        <v>45009</v>
      </c>
      <c r="B12" s="9">
        <f t="shared" si="0"/>
        <v>46009</v>
      </c>
      <c r="C12" s="9">
        <f t="shared" si="1"/>
        <v>55009</v>
      </c>
      <c r="D12" s="9" t="s">
        <v>549</v>
      </c>
      <c r="E12" s="210" t="s">
        <v>3527</v>
      </c>
      <c r="F12" s="115" t="s">
        <v>3521</v>
      </c>
      <c r="G12" s="9" t="s">
        <v>3519</v>
      </c>
    </row>
    <row r="13" spans="1:8">
      <c r="A13" s="9">
        <v>45010</v>
      </c>
      <c r="B13" s="9">
        <f t="shared" si="0"/>
        <v>46010</v>
      </c>
      <c r="C13" s="9">
        <f t="shared" si="1"/>
        <v>55010</v>
      </c>
      <c r="D13" s="9" t="s">
        <v>498</v>
      </c>
      <c r="E13" s="7" t="s">
        <v>3528</v>
      </c>
      <c r="F13" s="9"/>
      <c r="G13" s="9" t="s">
        <v>3519</v>
      </c>
    </row>
    <row r="14" spans="1:8">
      <c r="A14" s="9">
        <v>45011</v>
      </c>
      <c r="B14" s="9">
        <f t="shared" si="0"/>
        <v>46011</v>
      </c>
      <c r="C14" s="9">
        <f t="shared" si="1"/>
        <v>45011</v>
      </c>
      <c r="D14" s="9"/>
      <c r="E14" s="9"/>
      <c r="F14" s="9"/>
      <c r="G14" s="9" t="s">
        <v>3519</v>
      </c>
    </row>
    <row r="15" spans="1:8">
      <c r="A15" s="9">
        <v>45012</v>
      </c>
      <c r="B15" s="9">
        <f t="shared" si="0"/>
        <v>46012</v>
      </c>
      <c r="C15" s="9">
        <f t="shared" si="1"/>
        <v>45012</v>
      </c>
      <c r="D15" s="9"/>
      <c r="E15" s="9"/>
      <c r="F15" s="9"/>
      <c r="G15" s="9" t="s">
        <v>3519</v>
      </c>
    </row>
    <row r="16" spans="1:8">
      <c r="A16" s="9">
        <v>45013</v>
      </c>
      <c r="B16" s="9">
        <f t="shared" si="0"/>
        <v>46013</v>
      </c>
      <c r="C16" s="9">
        <f t="shared" si="1"/>
        <v>45013</v>
      </c>
      <c r="D16" s="9"/>
      <c r="E16" s="9"/>
      <c r="F16" s="9"/>
      <c r="G16" s="9" t="s">
        <v>3519</v>
      </c>
    </row>
    <row r="17" spans="1:7">
      <c r="A17" s="9">
        <v>45014</v>
      </c>
      <c r="B17" s="9">
        <f t="shared" si="0"/>
        <v>46014</v>
      </c>
      <c r="C17" s="9">
        <f t="shared" si="1"/>
        <v>45014</v>
      </c>
      <c r="D17" s="9"/>
      <c r="E17" s="9"/>
      <c r="F17" s="9"/>
      <c r="G17" s="9" t="s">
        <v>3519</v>
      </c>
    </row>
    <row r="18" spans="1:7">
      <c r="A18" s="9">
        <v>45015</v>
      </c>
      <c r="B18" s="9">
        <f t="shared" si="0"/>
        <v>46015</v>
      </c>
      <c r="C18" s="9">
        <f t="shared" si="1"/>
        <v>45015</v>
      </c>
      <c r="D18" s="9"/>
      <c r="E18" s="9"/>
      <c r="F18" s="9"/>
      <c r="G18" s="9" t="s">
        <v>3519</v>
      </c>
    </row>
    <row r="19" spans="1:7">
      <c r="A19" s="9">
        <v>45016</v>
      </c>
      <c r="B19" s="9">
        <f t="shared" si="0"/>
        <v>46016</v>
      </c>
      <c r="C19" s="9">
        <f t="shared" si="1"/>
        <v>45016</v>
      </c>
      <c r="D19" s="9"/>
      <c r="E19" s="9"/>
      <c r="F19" s="9"/>
      <c r="G19" s="9" t="s">
        <v>3519</v>
      </c>
    </row>
    <row r="20" spans="1:7">
      <c r="A20" s="9">
        <v>45017</v>
      </c>
      <c r="B20" s="9">
        <f t="shared" si="0"/>
        <v>46017</v>
      </c>
      <c r="C20" s="9">
        <f t="shared" si="1"/>
        <v>45017</v>
      </c>
      <c r="D20" s="9"/>
      <c r="E20" s="9"/>
      <c r="F20" s="9"/>
      <c r="G20" s="9" t="s">
        <v>3519</v>
      </c>
    </row>
    <row r="21" spans="1:7">
      <c r="A21" s="9">
        <v>45018</v>
      </c>
      <c r="B21" s="9">
        <f t="shared" si="0"/>
        <v>46018</v>
      </c>
      <c r="C21" s="9">
        <f t="shared" si="1"/>
        <v>45018</v>
      </c>
      <c r="D21" s="9"/>
      <c r="E21" s="9"/>
      <c r="F21" s="9"/>
      <c r="G21" s="9" t="s">
        <v>3519</v>
      </c>
    </row>
    <row r="22" spans="1:7">
      <c r="A22" s="9">
        <v>45019</v>
      </c>
      <c r="B22" s="9">
        <f t="shared" si="0"/>
        <v>46019</v>
      </c>
      <c r="C22" s="9">
        <f t="shared" si="1"/>
        <v>45019</v>
      </c>
      <c r="D22" s="9"/>
      <c r="E22" s="9"/>
      <c r="F22" s="9"/>
      <c r="G22" s="9" t="s">
        <v>3519</v>
      </c>
    </row>
    <row r="23" spans="1:7">
      <c r="A23" s="9">
        <v>45020</v>
      </c>
      <c r="B23" s="9">
        <f t="shared" si="0"/>
        <v>46020</v>
      </c>
      <c r="C23" s="9">
        <f t="shared" si="1"/>
        <v>45020</v>
      </c>
      <c r="D23" s="9"/>
      <c r="E23" s="9"/>
      <c r="F23" s="9"/>
      <c r="G23" s="9" t="s">
        <v>3519</v>
      </c>
    </row>
    <row r="24" spans="1:7">
      <c r="A24" s="9">
        <v>45021</v>
      </c>
      <c r="B24" s="9">
        <f t="shared" si="0"/>
        <v>46021</v>
      </c>
      <c r="C24" s="9">
        <f t="shared" si="1"/>
        <v>45021</v>
      </c>
      <c r="D24" s="9"/>
      <c r="E24" s="9"/>
      <c r="F24" s="9"/>
      <c r="G24" s="9" t="s">
        <v>3519</v>
      </c>
    </row>
    <row r="25" spans="1:7">
      <c r="A25" s="9">
        <v>45022</v>
      </c>
      <c r="B25" s="9">
        <f t="shared" si="0"/>
        <v>46022</v>
      </c>
      <c r="C25" s="9">
        <f t="shared" si="1"/>
        <v>45022</v>
      </c>
      <c r="D25" s="9"/>
      <c r="E25" s="9"/>
      <c r="F25" s="9"/>
      <c r="G25" s="9" t="s">
        <v>3519</v>
      </c>
    </row>
    <row r="26" spans="1:7">
      <c r="A26" s="9">
        <v>45023</v>
      </c>
      <c r="B26" s="9">
        <f t="shared" si="0"/>
        <v>46023</v>
      </c>
      <c r="C26" s="9">
        <f t="shared" si="1"/>
        <v>45023</v>
      </c>
      <c r="D26" s="9"/>
      <c r="E26" s="9"/>
      <c r="F26" s="9"/>
      <c r="G26" s="9" t="s">
        <v>3519</v>
      </c>
    </row>
    <row r="27" spans="1:7">
      <c r="A27" s="9">
        <v>45024</v>
      </c>
      <c r="B27" s="9">
        <f t="shared" si="0"/>
        <v>46024</v>
      </c>
      <c r="C27" s="9">
        <f t="shared" si="1"/>
        <v>45024</v>
      </c>
      <c r="D27" s="9"/>
      <c r="E27" s="9"/>
      <c r="F27" s="9"/>
      <c r="G27" s="9" t="s">
        <v>3519</v>
      </c>
    </row>
    <row r="28" spans="1:7">
      <c r="A28" s="9">
        <v>45025</v>
      </c>
      <c r="B28" s="9">
        <f t="shared" si="0"/>
        <v>46025</v>
      </c>
      <c r="C28" s="9">
        <f t="shared" si="1"/>
        <v>45025</v>
      </c>
      <c r="D28" s="9"/>
      <c r="E28" s="9"/>
      <c r="F28" s="9"/>
      <c r="G28" s="9" t="s">
        <v>3519</v>
      </c>
    </row>
    <row r="29" spans="1:7">
      <c r="A29" s="9">
        <v>45026</v>
      </c>
      <c r="B29" s="9">
        <f t="shared" si="0"/>
        <v>46026</v>
      </c>
      <c r="C29" s="9">
        <f t="shared" si="1"/>
        <v>45026</v>
      </c>
      <c r="D29" s="9"/>
      <c r="E29" s="9"/>
      <c r="F29" s="9"/>
      <c r="G29" s="9" t="s">
        <v>3519</v>
      </c>
    </row>
    <row r="30" spans="1:7">
      <c r="A30" s="9">
        <v>45027</v>
      </c>
      <c r="B30" s="9">
        <f t="shared" si="0"/>
        <v>46027</v>
      </c>
      <c r="C30" s="9">
        <f t="shared" si="1"/>
        <v>45027</v>
      </c>
      <c r="D30" s="9"/>
      <c r="E30" s="9"/>
      <c r="F30" s="9"/>
      <c r="G30" s="9" t="s">
        <v>3519</v>
      </c>
    </row>
    <row r="31" spans="1:7">
      <c r="A31" s="9">
        <v>45028</v>
      </c>
      <c r="B31" s="9">
        <f t="shared" si="0"/>
        <v>46028</v>
      </c>
      <c r="C31" s="9">
        <f t="shared" si="1"/>
        <v>45028</v>
      </c>
      <c r="D31" s="9"/>
      <c r="E31" s="9"/>
      <c r="F31" s="9"/>
      <c r="G31" s="9" t="s">
        <v>3519</v>
      </c>
    </row>
    <row r="32" spans="1:7">
      <c r="A32" s="9">
        <v>45029</v>
      </c>
      <c r="B32" s="9">
        <f t="shared" si="0"/>
        <v>46029</v>
      </c>
      <c r="C32" s="9">
        <f t="shared" si="1"/>
        <v>45029</v>
      </c>
      <c r="D32" s="9"/>
      <c r="E32" s="9"/>
      <c r="F32" s="9"/>
      <c r="G32" s="9" t="s">
        <v>3519</v>
      </c>
    </row>
    <row r="33" spans="1:7">
      <c r="A33" s="9">
        <v>45030</v>
      </c>
      <c r="B33" s="9">
        <f t="shared" si="0"/>
        <v>46030</v>
      </c>
      <c r="C33" s="9">
        <f t="shared" si="1"/>
        <v>45030</v>
      </c>
      <c r="D33" s="9"/>
      <c r="E33" s="9"/>
      <c r="F33" s="9"/>
      <c r="G33" s="9" t="s">
        <v>3519</v>
      </c>
    </row>
    <row r="34" spans="1:7">
      <c r="A34" s="9">
        <v>45031</v>
      </c>
      <c r="B34" s="9">
        <f t="shared" si="0"/>
        <v>46031</v>
      </c>
      <c r="C34" s="9">
        <f t="shared" si="1"/>
        <v>45031</v>
      </c>
      <c r="D34" s="9"/>
      <c r="E34" s="9"/>
      <c r="F34" s="9"/>
      <c r="G34" s="9" t="s">
        <v>3519</v>
      </c>
    </row>
    <row r="35" spans="1:7">
      <c r="A35" s="9">
        <v>45032</v>
      </c>
      <c r="B35" s="9">
        <f t="shared" si="0"/>
        <v>46032</v>
      </c>
      <c r="C35" s="9">
        <f t="shared" si="1"/>
        <v>45032</v>
      </c>
      <c r="D35" s="9"/>
      <c r="E35" s="9"/>
      <c r="F35" s="9"/>
      <c r="G35" s="9" t="s">
        <v>3519</v>
      </c>
    </row>
    <row r="36" spans="1:7">
      <c r="A36" s="9">
        <v>45033</v>
      </c>
      <c r="B36" s="9">
        <f t="shared" si="0"/>
        <v>46033</v>
      </c>
      <c r="C36" s="9">
        <f t="shared" si="1"/>
        <v>45033</v>
      </c>
      <c r="D36" s="9"/>
      <c r="E36" s="9"/>
      <c r="F36" s="9"/>
      <c r="G36" s="9" t="s">
        <v>3519</v>
      </c>
    </row>
    <row r="37" spans="1:7">
      <c r="A37" s="9">
        <v>45034</v>
      </c>
      <c r="B37" s="9">
        <f t="shared" si="0"/>
        <v>46034</v>
      </c>
      <c r="C37" s="9">
        <f t="shared" si="1"/>
        <v>45034</v>
      </c>
      <c r="D37" s="9"/>
      <c r="E37" s="9"/>
      <c r="F37" s="9"/>
      <c r="G37" s="9" t="s">
        <v>3519</v>
      </c>
    </row>
    <row r="38" spans="1:7">
      <c r="A38" s="9">
        <v>45035</v>
      </c>
      <c r="B38" s="9">
        <f t="shared" si="0"/>
        <v>46035</v>
      </c>
      <c r="C38" s="9">
        <f t="shared" si="1"/>
        <v>45035</v>
      </c>
      <c r="D38" s="9"/>
      <c r="E38" s="9"/>
      <c r="F38" s="9"/>
      <c r="G38" s="9" t="s">
        <v>3519</v>
      </c>
    </row>
    <row r="39" spans="1:7">
      <c r="A39" s="9">
        <v>45036</v>
      </c>
      <c r="B39" s="9">
        <f t="shared" si="0"/>
        <v>46036</v>
      </c>
      <c r="C39" s="9">
        <f t="shared" si="1"/>
        <v>45036</v>
      </c>
      <c r="D39" s="9"/>
      <c r="E39" s="9"/>
      <c r="F39" s="9"/>
      <c r="G39" s="9" t="s">
        <v>3519</v>
      </c>
    </row>
    <row r="40" spans="1:7">
      <c r="A40" s="9">
        <v>45037</v>
      </c>
      <c r="B40" s="9">
        <f t="shared" si="0"/>
        <v>46037</v>
      </c>
      <c r="C40" s="9">
        <f t="shared" si="1"/>
        <v>45037</v>
      </c>
      <c r="D40" s="9"/>
      <c r="E40" s="9"/>
      <c r="F40" s="9"/>
      <c r="G40" s="9" t="s">
        <v>3519</v>
      </c>
    </row>
    <row r="41" spans="1:7">
      <c r="A41" s="9">
        <v>45038</v>
      </c>
      <c r="B41" s="9">
        <f t="shared" si="0"/>
        <v>46038</v>
      </c>
      <c r="C41" s="9">
        <f t="shared" si="1"/>
        <v>45038</v>
      </c>
      <c r="D41" s="9"/>
      <c r="E41" s="9"/>
      <c r="F41" s="9"/>
      <c r="G41" s="9" t="s">
        <v>3519</v>
      </c>
    </row>
    <row r="42" spans="1:7">
      <c r="A42" s="9">
        <v>45039</v>
      </c>
      <c r="B42" s="9">
        <f t="shared" si="0"/>
        <v>46039</v>
      </c>
      <c r="C42" s="9">
        <f t="shared" si="1"/>
        <v>45039</v>
      </c>
      <c r="D42" s="9"/>
      <c r="E42" s="9"/>
      <c r="F42" s="9"/>
      <c r="G42" s="9" t="s">
        <v>3519</v>
      </c>
    </row>
    <row r="43" spans="1:7">
      <c r="A43" s="9">
        <v>45040</v>
      </c>
      <c r="B43" s="9">
        <f t="shared" si="0"/>
        <v>46040</v>
      </c>
      <c r="C43" s="9">
        <f t="shared" si="1"/>
        <v>45040</v>
      </c>
      <c r="D43" s="9"/>
      <c r="E43" s="9"/>
      <c r="F43" s="9"/>
      <c r="G43" s="9" t="s">
        <v>3519</v>
      </c>
    </row>
    <row r="44" spans="1:7">
      <c r="A44" s="9">
        <v>45041</v>
      </c>
      <c r="B44" s="9">
        <f t="shared" si="0"/>
        <v>46041</v>
      </c>
      <c r="C44" s="9">
        <f t="shared" si="1"/>
        <v>45041</v>
      </c>
      <c r="D44" s="9"/>
      <c r="E44" s="9"/>
      <c r="F44" s="9"/>
      <c r="G44" s="9" t="s">
        <v>3519</v>
      </c>
    </row>
    <row r="45" spans="1:7">
      <c r="A45" s="9">
        <v>45042</v>
      </c>
      <c r="B45" s="9">
        <f t="shared" si="0"/>
        <v>46042</v>
      </c>
      <c r="C45" s="9">
        <f t="shared" si="1"/>
        <v>45042</v>
      </c>
      <c r="D45" s="9"/>
      <c r="E45" s="9"/>
      <c r="F45" s="9"/>
      <c r="G45" s="9" t="s">
        <v>3519</v>
      </c>
    </row>
    <row r="46" spans="1:7">
      <c r="A46" s="9">
        <v>45043</v>
      </c>
      <c r="B46" s="9">
        <f t="shared" si="0"/>
        <v>46043</v>
      </c>
      <c r="C46" s="9">
        <f t="shared" si="1"/>
        <v>45043</v>
      </c>
      <c r="D46" s="9"/>
      <c r="E46" s="9"/>
      <c r="F46" s="9"/>
      <c r="G46" s="9" t="s">
        <v>3519</v>
      </c>
    </row>
    <row r="47" spans="1:7">
      <c r="A47" s="9">
        <v>45044</v>
      </c>
      <c r="B47" s="9">
        <f t="shared" si="0"/>
        <v>46044</v>
      </c>
      <c r="C47" s="9">
        <f t="shared" si="1"/>
        <v>45044</v>
      </c>
      <c r="D47" s="9"/>
      <c r="E47" s="9"/>
      <c r="F47" s="9"/>
      <c r="G47" s="9" t="s">
        <v>3519</v>
      </c>
    </row>
    <row r="48" spans="1:7">
      <c r="A48" s="9">
        <v>45045</v>
      </c>
      <c r="B48" s="9">
        <f t="shared" si="0"/>
        <v>46045</v>
      </c>
      <c r="C48" s="9">
        <f t="shared" si="1"/>
        <v>45045</v>
      </c>
      <c r="D48" s="9"/>
      <c r="E48" s="9"/>
      <c r="F48" s="9"/>
      <c r="G48" s="9" t="s">
        <v>3519</v>
      </c>
    </row>
    <row r="49" spans="1:7">
      <c r="A49" s="9">
        <v>45046</v>
      </c>
      <c r="B49" s="9">
        <f t="shared" si="0"/>
        <v>46046</v>
      </c>
      <c r="C49" s="9">
        <f t="shared" si="1"/>
        <v>45046</v>
      </c>
      <c r="D49" s="9"/>
      <c r="E49" s="9"/>
      <c r="F49" s="9"/>
      <c r="G49" s="9" t="s">
        <v>3519</v>
      </c>
    </row>
    <row r="50" spans="1:7">
      <c r="A50" s="9">
        <v>45047</v>
      </c>
      <c r="B50" s="9">
        <f t="shared" si="0"/>
        <v>46047</v>
      </c>
      <c r="C50" s="9">
        <f t="shared" si="1"/>
        <v>45047</v>
      </c>
      <c r="D50" s="9"/>
      <c r="E50" s="9"/>
      <c r="F50" s="9"/>
      <c r="G50" s="9" t="s">
        <v>3519</v>
      </c>
    </row>
    <row r="51" spans="1:7">
      <c r="A51" s="9">
        <v>45048</v>
      </c>
      <c r="B51" s="9">
        <f t="shared" si="0"/>
        <v>46048</v>
      </c>
      <c r="C51" s="9">
        <f t="shared" si="1"/>
        <v>45048</v>
      </c>
      <c r="D51" s="9"/>
      <c r="E51" s="9"/>
      <c r="F51" s="9"/>
      <c r="G51" s="9" t="s">
        <v>3519</v>
      </c>
    </row>
    <row r="52" spans="1:7">
      <c r="A52" s="9">
        <v>45049</v>
      </c>
      <c r="B52" s="9">
        <f t="shared" si="0"/>
        <v>46049</v>
      </c>
      <c r="C52" s="9">
        <f t="shared" si="1"/>
        <v>45049</v>
      </c>
      <c r="D52" s="9"/>
      <c r="E52" s="9"/>
      <c r="F52" s="9"/>
      <c r="G52" s="9" t="s">
        <v>3519</v>
      </c>
    </row>
    <row r="53" spans="1:7">
      <c r="A53" s="9">
        <v>45050</v>
      </c>
      <c r="B53" s="9">
        <f t="shared" si="0"/>
        <v>46050</v>
      </c>
      <c r="C53" s="9">
        <f t="shared" si="1"/>
        <v>45050</v>
      </c>
      <c r="D53" s="9"/>
      <c r="E53" s="9"/>
      <c r="F53" s="9"/>
      <c r="G53" s="9" t="s">
        <v>3519</v>
      </c>
    </row>
    <row r="54" spans="1:7">
      <c r="A54" s="9">
        <v>45051</v>
      </c>
      <c r="B54" s="9">
        <f t="shared" si="0"/>
        <v>46051</v>
      </c>
      <c r="C54" s="9">
        <f t="shared" si="1"/>
        <v>45051</v>
      </c>
      <c r="D54" s="9"/>
      <c r="E54" s="9"/>
      <c r="F54" s="9"/>
      <c r="G54" s="9" t="s">
        <v>3519</v>
      </c>
    </row>
    <row r="55" spans="1:7">
      <c r="A55" s="9">
        <v>45052</v>
      </c>
      <c r="B55" s="9">
        <f t="shared" si="0"/>
        <v>46052</v>
      </c>
      <c r="C55" s="9">
        <f t="shared" si="1"/>
        <v>45052</v>
      </c>
      <c r="D55" s="9"/>
      <c r="E55" s="9"/>
      <c r="F55" s="9"/>
      <c r="G55" s="9" t="s">
        <v>3519</v>
      </c>
    </row>
    <row r="56" spans="1:7">
      <c r="A56" s="9">
        <v>45053</v>
      </c>
      <c r="B56" s="9">
        <f t="shared" si="0"/>
        <v>46053</v>
      </c>
      <c r="C56" s="9">
        <f t="shared" si="1"/>
        <v>45053</v>
      </c>
      <c r="D56" s="9"/>
      <c r="E56" s="9"/>
      <c r="F56" s="9"/>
      <c r="G56" s="9" t="s">
        <v>3519</v>
      </c>
    </row>
    <row r="57" spans="1:7">
      <c r="A57" s="9">
        <v>45054</v>
      </c>
      <c r="B57" s="9">
        <f t="shared" si="0"/>
        <v>46054</v>
      </c>
      <c r="C57" s="9">
        <f t="shared" si="1"/>
        <v>45054</v>
      </c>
      <c r="D57" s="9"/>
      <c r="E57" s="9"/>
      <c r="F57" s="9"/>
      <c r="G57" s="9" t="s">
        <v>3519</v>
      </c>
    </row>
    <row r="58" spans="1:7">
      <c r="A58" s="9">
        <v>45055</v>
      </c>
      <c r="B58" s="9">
        <f t="shared" si="0"/>
        <v>46055</v>
      </c>
      <c r="C58" s="9">
        <f t="shared" si="1"/>
        <v>45055</v>
      </c>
      <c r="D58" s="9"/>
      <c r="E58" s="9"/>
      <c r="F58" s="9"/>
      <c r="G58" s="9" t="s">
        <v>3519</v>
      </c>
    </row>
    <row r="59" spans="1:7">
      <c r="A59" s="9">
        <v>45056</v>
      </c>
      <c r="B59" s="9">
        <f t="shared" si="0"/>
        <v>46056</v>
      </c>
      <c r="C59" s="9">
        <f t="shared" si="1"/>
        <v>45056</v>
      </c>
      <c r="D59" s="9"/>
      <c r="E59" s="9"/>
      <c r="F59" s="9"/>
      <c r="G59" s="9" t="s">
        <v>3519</v>
      </c>
    </row>
    <row r="60" spans="1:7">
      <c r="A60" s="9">
        <v>45057</v>
      </c>
      <c r="B60" s="9">
        <f t="shared" si="0"/>
        <v>46057</v>
      </c>
      <c r="C60" s="9">
        <f t="shared" si="1"/>
        <v>45057</v>
      </c>
      <c r="D60" s="9"/>
      <c r="E60" s="9"/>
      <c r="F60" s="9"/>
      <c r="G60" s="9" t="s">
        <v>3519</v>
      </c>
    </row>
    <row r="61" spans="1:7">
      <c r="A61" s="9">
        <v>45058</v>
      </c>
      <c r="B61" s="9">
        <f t="shared" si="0"/>
        <v>46058</v>
      </c>
      <c r="C61" s="9">
        <f t="shared" si="1"/>
        <v>45058</v>
      </c>
      <c r="D61" s="9"/>
      <c r="E61" s="9"/>
      <c r="F61" s="9"/>
      <c r="G61" s="9" t="s">
        <v>3519</v>
      </c>
    </row>
    <row r="62" spans="1:7">
      <c r="A62" s="9">
        <v>45059</v>
      </c>
      <c r="B62" s="9">
        <f t="shared" si="0"/>
        <v>46059</v>
      </c>
      <c r="C62" s="9">
        <f t="shared" si="1"/>
        <v>45059</v>
      </c>
      <c r="D62" s="9"/>
      <c r="E62" s="9"/>
      <c r="F62" s="9"/>
      <c r="G62" s="9" t="s">
        <v>3519</v>
      </c>
    </row>
    <row r="63" spans="1:7">
      <c r="A63" s="9">
        <v>45060</v>
      </c>
      <c r="B63" s="9">
        <f t="shared" si="0"/>
        <v>46060</v>
      </c>
      <c r="C63" s="9">
        <f t="shared" si="1"/>
        <v>45060</v>
      </c>
      <c r="D63" s="9"/>
      <c r="E63" s="9"/>
      <c r="F63" s="9"/>
      <c r="G63" s="9" t="s">
        <v>3519</v>
      </c>
    </row>
    <row r="64" spans="1:7">
      <c r="A64" s="9">
        <v>45061</v>
      </c>
      <c r="B64" s="9">
        <f t="shared" si="0"/>
        <v>46061</v>
      </c>
      <c r="C64" s="9">
        <f t="shared" si="1"/>
        <v>45061</v>
      </c>
      <c r="D64" s="9"/>
      <c r="E64" s="9"/>
      <c r="F64" s="9"/>
      <c r="G64" s="9" t="s">
        <v>3519</v>
      </c>
    </row>
    <row r="65" spans="1:7">
      <c r="A65" s="9">
        <v>45062</v>
      </c>
      <c r="B65" s="9">
        <f t="shared" si="0"/>
        <v>46062</v>
      </c>
      <c r="C65" s="9">
        <f t="shared" si="1"/>
        <v>45062</v>
      </c>
      <c r="D65" s="9"/>
      <c r="E65" s="9"/>
      <c r="F65" s="9"/>
      <c r="G65" s="9" t="s">
        <v>3519</v>
      </c>
    </row>
    <row r="66" spans="1:7">
      <c r="A66" s="9">
        <v>45063</v>
      </c>
      <c r="B66" s="9">
        <f t="shared" si="0"/>
        <v>46063</v>
      </c>
      <c r="C66" s="9">
        <f t="shared" si="1"/>
        <v>45063</v>
      </c>
      <c r="D66" s="9"/>
      <c r="E66" s="9"/>
      <c r="F66" s="9"/>
      <c r="G66" s="9" t="s">
        <v>3519</v>
      </c>
    </row>
    <row r="67" spans="1:7">
      <c r="A67" s="9">
        <v>45064</v>
      </c>
      <c r="B67" s="9">
        <f t="shared" si="0"/>
        <v>46064</v>
      </c>
      <c r="C67" s="9">
        <f t="shared" si="1"/>
        <v>45064</v>
      </c>
      <c r="D67" s="9"/>
      <c r="E67" s="9"/>
      <c r="F67" s="9"/>
      <c r="G67" s="9" t="s">
        <v>3519</v>
      </c>
    </row>
    <row r="68" spans="1:7">
      <c r="A68" s="9">
        <v>45065</v>
      </c>
      <c r="B68" s="9">
        <f t="shared" ref="B68:B131" si="2">A68+1000</f>
        <v>46065</v>
      </c>
      <c r="C68" s="9">
        <f t="shared" ref="C68:C131" si="3">IF(ISERROR(FIND("Epic",E68)),A68,A68+10000)</f>
        <v>45065</v>
      </c>
      <c r="D68" s="9"/>
      <c r="E68" s="9"/>
      <c r="F68" s="9"/>
      <c r="G68" s="9" t="s">
        <v>3519</v>
      </c>
    </row>
    <row r="69" spans="1:7">
      <c r="A69" s="9">
        <v>45066</v>
      </c>
      <c r="B69" s="9">
        <f t="shared" si="2"/>
        <v>46066</v>
      </c>
      <c r="C69" s="9">
        <f t="shared" si="3"/>
        <v>45066</v>
      </c>
      <c r="D69" s="9"/>
      <c r="E69" s="9"/>
      <c r="F69" s="9"/>
      <c r="G69" s="9" t="s">
        <v>3519</v>
      </c>
    </row>
    <row r="70" spans="1:7">
      <c r="A70" s="9">
        <v>45067</v>
      </c>
      <c r="B70" s="9">
        <f t="shared" si="2"/>
        <v>46067</v>
      </c>
      <c r="C70" s="9">
        <f t="shared" si="3"/>
        <v>45067</v>
      </c>
      <c r="D70" s="9"/>
      <c r="E70" s="9"/>
      <c r="F70" s="9"/>
      <c r="G70" s="9" t="s">
        <v>3519</v>
      </c>
    </row>
    <row r="71" spans="1:7">
      <c r="A71" s="9">
        <v>45068</v>
      </c>
      <c r="B71" s="9">
        <f t="shared" si="2"/>
        <v>46068</v>
      </c>
      <c r="C71" s="9">
        <f t="shared" si="3"/>
        <v>45068</v>
      </c>
      <c r="D71" s="9"/>
      <c r="E71" s="9"/>
      <c r="F71" s="9"/>
      <c r="G71" s="9" t="s">
        <v>3519</v>
      </c>
    </row>
    <row r="72" spans="1:7">
      <c r="A72" s="9">
        <v>45069</v>
      </c>
      <c r="B72" s="9">
        <f t="shared" si="2"/>
        <v>46069</v>
      </c>
      <c r="C72" s="9">
        <f t="shared" si="3"/>
        <v>45069</v>
      </c>
      <c r="D72" s="9"/>
      <c r="E72" s="9"/>
      <c r="F72" s="9"/>
      <c r="G72" s="9" t="s">
        <v>3519</v>
      </c>
    </row>
    <row r="73" spans="1:7">
      <c r="A73" s="9">
        <v>45070</v>
      </c>
      <c r="B73" s="9">
        <f t="shared" si="2"/>
        <v>46070</v>
      </c>
      <c r="C73" s="9">
        <f t="shared" si="3"/>
        <v>45070</v>
      </c>
      <c r="D73" s="9"/>
      <c r="E73" s="9"/>
      <c r="F73" s="9"/>
      <c r="G73" s="9" t="s">
        <v>3519</v>
      </c>
    </row>
    <row r="74" spans="1:7">
      <c r="A74" s="9">
        <v>45071</v>
      </c>
      <c r="B74" s="9">
        <f t="shared" si="2"/>
        <v>46071</v>
      </c>
      <c r="C74" s="9">
        <f t="shared" si="3"/>
        <v>45071</v>
      </c>
      <c r="D74" s="9"/>
      <c r="E74" s="9"/>
      <c r="F74" s="9"/>
      <c r="G74" s="9" t="s">
        <v>3519</v>
      </c>
    </row>
    <row r="75" spans="1:7">
      <c r="A75">
        <v>45072</v>
      </c>
      <c r="B75">
        <f t="shared" si="2"/>
        <v>46072</v>
      </c>
      <c r="C75">
        <f t="shared" si="3"/>
        <v>45072</v>
      </c>
      <c r="G75" t="s">
        <v>3519</v>
      </c>
    </row>
    <row r="76" spans="1:7">
      <c r="A76">
        <v>45073</v>
      </c>
      <c r="B76">
        <f t="shared" si="2"/>
        <v>46073</v>
      </c>
      <c r="C76">
        <f t="shared" si="3"/>
        <v>45073</v>
      </c>
      <c r="G76" t="s">
        <v>3519</v>
      </c>
    </row>
    <row r="77" spans="1:7">
      <c r="A77">
        <v>45074</v>
      </c>
      <c r="B77">
        <f t="shared" si="2"/>
        <v>46074</v>
      </c>
      <c r="C77">
        <f t="shared" si="3"/>
        <v>45074</v>
      </c>
      <c r="G77" t="s">
        <v>3519</v>
      </c>
    </row>
    <row r="78" spans="1:7">
      <c r="A78">
        <v>45075</v>
      </c>
      <c r="B78">
        <f t="shared" si="2"/>
        <v>46075</v>
      </c>
      <c r="C78">
        <f t="shared" si="3"/>
        <v>45075</v>
      </c>
      <c r="G78" t="s">
        <v>3519</v>
      </c>
    </row>
    <row r="79" spans="1:7">
      <c r="A79">
        <v>45076</v>
      </c>
      <c r="B79">
        <f t="shared" si="2"/>
        <v>46076</v>
      </c>
      <c r="C79">
        <f t="shared" si="3"/>
        <v>45076</v>
      </c>
      <c r="G79" t="s">
        <v>3519</v>
      </c>
    </row>
    <row r="80" spans="1:7">
      <c r="A80">
        <v>45077</v>
      </c>
      <c r="B80">
        <f t="shared" si="2"/>
        <v>46077</v>
      </c>
      <c r="C80">
        <f t="shared" si="3"/>
        <v>45077</v>
      </c>
      <c r="G80" t="s">
        <v>3519</v>
      </c>
    </row>
    <row r="81" spans="1:7">
      <c r="A81">
        <v>45078</v>
      </c>
      <c r="B81">
        <f t="shared" si="2"/>
        <v>46078</v>
      </c>
      <c r="C81">
        <f t="shared" si="3"/>
        <v>45078</v>
      </c>
      <c r="G81" t="s">
        <v>3519</v>
      </c>
    </row>
    <row r="82" spans="1:7">
      <c r="A82">
        <v>45079</v>
      </c>
      <c r="B82">
        <f t="shared" si="2"/>
        <v>46079</v>
      </c>
      <c r="C82">
        <f t="shared" si="3"/>
        <v>45079</v>
      </c>
      <c r="G82" t="s">
        <v>3519</v>
      </c>
    </row>
    <row r="83" spans="1:7">
      <c r="A83">
        <v>45080</v>
      </c>
      <c r="B83">
        <f t="shared" si="2"/>
        <v>46080</v>
      </c>
      <c r="C83">
        <f t="shared" si="3"/>
        <v>45080</v>
      </c>
      <c r="G83" t="s">
        <v>3519</v>
      </c>
    </row>
    <row r="84" spans="1:7">
      <c r="A84">
        <v>45081</v>
      </c>
      <c r="B84">
        <f t="shared" si="2"/>
        <v>46081</v>
      </c>
      <c r="C84">
        <f t="shared" si="3"/>
        <v>45081</v>
      </c>
      <c r="G84" t="s">
        <v>3519</v>
      </c>
    </row>
    <row r="85" spans="1:7">
      <c r="A85">
        <v>45082</v>
      </c>
      <c r="B85">
        <f t="shared" si="2"/>
        <v>46082</v>
      </c>
      <c r="C85">
        <f t="shared" si="3"/>
        <v>45082</v>
      </c>
      <c r="G85" t="s">
        <v>3519</v>
      </c>
    </row>
    <row r="86" spans="1:7">
      <c r="A86">
        <v>45083</v>
      </c>
      <c r="B86">
        <f t="shared" si="2"/>
        <v>46083</v>
      </c>
      <c r="C86">
        <f t="shared" si="3"/>
        <v>45083</v>
      </c>
      <c r="G86" t="s">
        <v>3519</v>
      </c>
    </row>
    <row r="87" spans="1:7">
      <c r="A87">
        <v>45084</v>
      </c>
      <c r="B87">
        <f t="shared" si="2"/>
        <v>46084</v>
      </c>
      <c r="C87">
        <f t="shared" si="3"/>
        <v>45084</v>
      </c>
      <c r="G87" t="s">
        <v>3519</v>
      </c>
    </row>
    <row r="88" spans="1:7">
      <c r="A88">
        <v>45085</v>
      </c>
      <c r="B88">
        <f t="shared" si="2"/>
        <v>46085</v>
      </c>
      <c r="C88">
        <f t="shared" si="3"/>
        <v>45085</v>
      </c>
      <c r="G88" t="s">
        <v>3519</v>
      </c>
    </row>
    <row r="89" spans="1:7">
      <c r="A89">
        <v>45086</v>
      </c>
      <c r="B89">
        <f t="shared" si="2"/>
        <v>46086</v>
      </c>
      <c r="C89">
        <f t="shared" si="3"/>
        <v>45086</v>
      </c>
      <c r="G89" t="s">
        <v>3519</v>
      </c>
    </row>
    <row r="90" spans="1:7">
      <c r="A90">
        <v>45087</v>
      </c>
      <c r="B90">
        <f t="shared" si="2"/>
        <v>46087</v>
      </c>
      <c r="C90">
        <f t="shared" si="3"/>
        <v>45087</v>
      </c>
      <c r="G90" t="s">
        <v>3519</v>
      </c>
    </row>
    <row r="91" spans="1:7">
      <c r="A91">
        <v>45088</v>
      </c>
      <c r="B91">
        <f t="shared" si="2"/>
        <v>46088</v>
      </c>
      <c r="C91">
        <f t="shared" si="3"/>
        <v>45088</v>
      </c>
      <c r="G91" t="s">
        <v>3519</v>
      </c>
    </row>
    <row r="92" spans="1:7">
      <c r="A92">
        <v>45089</v>
      </c>
      <c r="B92">
        <f t="shared" si="2"/>
        <v>46089</v>
      </c>
      <c r="C92">
        <f t="shared" si="3"/>
        <v>45089</v>
      </c>
      <c r="G92" t="s">
        <v>3519</v>
      </c>
    </row>
    <row r="93" spans="1:7">
      <c r="A93">
        <v>45090</v>
      </c>
      <c r="B93">
        <f t="shared" si="2"/>
        <v>46090</v>
      </c>
      <c r="C93">
        <f t="shared" si="3"/>
        <v>45090</v>
      </c>
      <c r="G93" t="s">
        <v>3519</v>
      </c>
    </row>
    <row r="94" spans="1:7">
      <c r="A94">
        <v>45091</v>
      </c>
      <c r="B94">
        <f t="shared" si="2"/>
        <v>46091</v>
      </c>
      <c r="C94">
        <f t="shared" si="3"/>
        <v>45091</v>
      </c>
      <c r="G94" t="s">
        <v>3519</v>
      </c>
    </row>
    <row r="95" spans="1:7">
      <c r="A95">
        <v>45092</v>
      </c>
      <c r="B95">
        <f t="shared" si="2"/>
        <v>46092</v>
      </c>
      <c r="C95">
        <f t="shared" si="3"/>
        <v>45092</v>
      </c>
      <c r="G95" t="s">
        <v>3519</v>
      </c>
    </row>
    <row r="96" spans="1:7">
      <c r="A96">
        <v>45093</v>
      </c>
      <c r="B96">
        <f t="shared" si="2"/>
        <v>46093</v>
      </c>
      <c r="C96">
        <f t="shared" si="3"/>
        <v>45093</v>
      </c>
      <c r="G96" t="s">
        <v>3519</v>
      </c>
    </row>
    <row r="97" spans="1:7">
      <c r="A97">
        <v>45094</v>
      </c>
      <c r="B97">
        <f t="shared" si="2"/>
        <v>46094</v>
      </c>
      <c r="C97">
        <f t="shared" si="3"/>
        <v>45094</v>
      </c>
      <c r="G97" t="s">
        <v>3519</v>
      </c>
    </row>
    <row r="98" spans="1:7">
      <c r="A98">
        <v>45095</v>
      </c>
      <c r="B98">
        <f t="shared" si="2"/>
        <v>46095</v>
      </c>
      <c r="C98">
        <f t="shared" si="3"/>
        <v>45095</v>
      </c>
      <c r="G98" t="s">
        <v>3519</v>
      </c>
    </row>
    <row r="99" spans="1:7">
      <c r="A99">
        <v>45096</v>
      </c>
      <c r="B99">
        <f t="shared" si="2"/>
        <v>46096</v>
      </c>
      <c r="C99">
        <f t="shared" si="3"/>
        <v>45096</v>
      </c>
      <c r="G99" t="s">
        <v>3519</v>
      </c>
    </row>
    <row r="100" spans="1:7">
      <c r="A100">
        <v>45097</v>
      </c>
      <c r="B100">
        <f t="shared" si="2"/>
        <v>46097</v>
      </c>
      <c r="C100">
        <f t="shared" si="3"/>
        <v>45097</v>
      </c>
      <c r="G100" t="s">
        <v>3519</v>
      </c>
    </row>
    <row r="101" spans="1:7">
      <c r="A101">
        <v>45098</v>
      </c>
      <c r="B101">
        <f t="shared" si="2"/>
        <v>46098</v>
      </c>
      <c r="C101">
        <f t="shared" si="3"/>
        <v>45098</v>
      </c>
      <c r="G101" t="s">
        <v>3519</v>
      </c>
    </row>
    <row r="102" spans="1:7">
      <c r="A102">
        <v>45099</v>
      </c>
      <c r="B102">
        <f t="shared" si="2"/>
        <v>46099</v>
      </c>
      <c r="C102">
        <f t="shared" si="3"/>
        <v>45099</v>
      </c>
      <c r="G102" t="s">
        <v>3519</v>
      </c>
    </row>
    <row r="103" spans="1:7">
      <c r="A103">
        <v>45100</v>
      </c>
      <c r="B103">
        <f t="shared" si="2"/>
        <v>46100</v>
      </c>
      <c r="C103">
        <f t="shared" si="3"/>
        <v>45100</v>
      </c>
      <c r="G103" t="s">
        <v>3519</v>
      </c>
    </row>
    <row r="104" spans="1:7">
      <c r="A104">
        <v>45101</v>
      </c>
      <c r="B104">
        <f t="shared" si="2"/>
        <v>46101</v>
      </c>
      <c r="C104">
        <f t="shared" si="3"/>
        <v>45101</v>
      </c>
      <c r="G104" t="s">
        <v>3519</v>
      </c>
    </row>
    <row r="105" spans="1:7">
      <c r="A105">
        <v>45102</v>
      </c>
      <c r="B105">
        <f t="shared" si="2"/>
        <v>46102</v>
      </c>
      <c r="C105">
        <f t="shared" si="3"/>
        <v>45102</v>
      </c>
      <c r="G105" t="s">
        <v>3519</v>
      </c>
    </row>
    <row r="106" spans="1:7">
      <c r="A106">
        <v>45103</v>
      </c>
      <c r="B106">
        <f t="shared" si="2"/>
        <v>46103</v>
      </c>
      <c r="C106">
        <f t="shared" si="3"/>
        <v>45103</v>
      </c>
      <c r="G106" t="s">
        <v>3519</v>
      </c>
    </row>
    <row r="107" spans="1:7">
      <c r="A107">
        <v>45104</v>
      </c>
      <c r="B107">
        <f t="shared" si="2"/>
        <v>46104</v>
      </c>
      <c r="C107">
        <f t="shared" si="3"/>
        <v>45104</v>
      </c>
      <c r="G107" t="s">
        <v>3519</v>
      </c>
    </row>
    <row r="108" spans="1:7">
      <c r="A108">
        <v>45105</v>
      </c>
      <c r="B108">
        <f t="shared" si="2"/>
        <v>46105</v>
      </c>
      <c r="C108">
        <f t="shared" si="3"/>
        <v>45105</v>
      </c>
      <c r="G108" t="s">
        <v>3519</v>
      </c>
    </row>
    <row r="109" spans="1:7">
      <c r="A109">
        <v>45106</v>
      </c>
      <c r="B109">
        <f t="shared" si="2"/>
        <v>46106</v>
      </c>
      <c r="C109">
        <f t="shared" si="3"/>
        <v>45106</v>
      </c>
      <c r="G109" t="s">
        <v>3519</v>
      </c>
    </row>
    <row r="110" spans="1:7">
      <c r="A110">
        <v>45107</v>
      </c>
      <c r="B110">
        <f t="shared" si="2"/>
        <v>46107</v>
      </c>
      <c r="C110">
        <f t="shared" si="3"/>
        <v>45107</v>
      </c>
      <c r="G110" t="s">
        <v>3519</v>
      </c>
    </row>
    <row r="111" spans="1:7">
      <c r="A111">
        <v>45108</v>
      </c>
      <c r="B111">
        <f t="shared" si="2"/>
        <v>46108</v>
      </c>
      <c r="C111">
        <f t="shared" si="3"/>
        <v>45108</v>
      </c>
      <c r="G111" t="s">
        <v>3519</v>
      </c>
    </row>
    <row r="112" spans="1:7">
      <c r="A112">
        <v>45109</v>
      </c>
      <c r="B112">
        <f t="shared" si="2"/>
        <v>46109</v>
      </c>
      <c r="C112">
        <f t="shared" si="3"/>
        <v>45109</v>
      </c>
      <c r="G112" t="s">
        <v>3519</v>
      </c>
    </row>
    <row r="113" spans="1:7">
      <c r="A113">
        <v>45110</v>
      </c>
      <c r="B113">
        <f t="shared" si="2"/>
        <v>46110</v>
      </c>
      <c r="C113">
        <f t="shared" si="3"/>
        <v>45110</v>
      </c>
      <c r="G113" t="s">
        <v>3519</v>
      </c>
    </row>
    <row r="114" spans="1:7">
      <c r="A114">
        <v>45111</v>
      </c>
      <c r="B114">
        <f t="shared" si="2"/>
        <v>46111</v>
      </c>
      <c r="C114">
        <f t="shared" si="3"/>
        <v>45111</v>
      </c>
      <c r="G114" t="s">
        <v>3519</v>
      </c>
    </row>
    <row r="115" spans="1:7">
      <c r="A115">
        <v>45112</v>
      </c>
      <c r="B115">
        <f t="shared" si="2"/>
        <v>46112</v>
      </c>
      <c r="C115">
        <f t="shared" si="3"/>
        <v>45112</v>
      </c>
      <c r="G115" t="s">
        <v>3519</v>
      </c>
    </row>
    <row r="116" spans="1:7">
      <c r="A116">
        <v>45113</v>
      </c>
      <c r="B116">
        <f t="shared" si="2"/>
        <v>46113</v>
      </c>
      <c r="C116">
        <f t="shared" si="3"/>
        <v>45113</v>
      </c>
      <c r="G116" t="s">
        <v>3519</v>
      </c>
    </row>
    <row r="117" spans="1:7">
      <c r="A117">
        <v>45114</v>
      </c>
      <c r="B117">
        <f t="shared" si="2"/>
        <v>46114</v>
      </c>
      <c r="C117">
        <f t="shared" si="3"/>
        <v>45114</v>
      </c>
      <c r="G117" t="s">
        <v>3519</v>
      </c>
    </row>
    <row r="118" spans="1:7">
      <c r="A118">
        <v>45115</v>
      </c>
      <c r="B118">
        <f t="shared" si="2"/>
        <v>46115</v>
      </c>
      <c r="C118">
        <f t="shared" si="3"/>
        <v>45115</v>
      </c>
      <c r="G118" t="s">
        <v>3519</v>
      </c>
    </row>
    <row r="119" spans="1:7">
      <c r="A119">
        <v>45116</v>
      </c>
      <c r="B119">
        <f t="shared" si="2"/>
        <v>46116</v>
      </c>
      <c r="C119">
        <f t="shared" si="3"/>
        <v>45116</v>
      </c>
      <c r="G119" t="s">
        <v>3519</v>
      </c>
    </row>
    <row r="120" spans="1:7">
      <c r="A120">
        <v>45117</v>
      </c>
      <c r="B120">
        <f t="shared" si="2"/>
        <v>46117</v>
      </c>
      <c r="C120">
        <f t="shared" si="3"/>
        <v>45117</v>
      </c>
      <c r="G120" t="s">
        <v>3519</v>
      </c>
    </row>
    <row r="121" spans="1:7">
      <c r="A121">
        <v>45118</v>
      </c>
      <c r="B121">
        <f t="shared" si="2"/>
        <v>46118</v>
      </c>
      <c r="C121">
        <f t="shared" si="3"/>
        <v>45118</v>
      </c>
      <c r="G121" t="s">
        <v>3519</v>
      </c>
    </row>
    <row r="122" spans="1:7">
      <c r="A122">
        <v>45119</v>
      </c>
      <c r="B122">
        <f t="shared" si="2"/>
        <v>46119</v>
      </c>
      <c r="C122">
        <f t="shared" si="3"/>
        <v>45119</v>
      </c>
      <c r="G122" t="s">
        <v>3519</v>
      </c>
    </row>
    <row r="123" spans="1:7">
      <c r="A123">
        <v>45120</v>
      </c>
      <c r="B123">
        <f t="shared" si="2"/>
        <v>46120</v>
      </c>
      <c r="C123">
        <f t="shared" si="3"/>
        <v>45120</v>
      </c>
      <c r="G123" t="s">
        <v>3519</v>
      </c>
    </row>
    <row r="124" spans="1:7">
      <c r="A124">
        <v>45121</v>
      </c>
      <c r="B124">
        <f t="shared" si="2"/>
        <v>46121</v>
      </c>
      <c r="C124">
        <f t="shared" si="3"/>
        <v>45121</v>
      </c>
      <c r="G124" t="s">
        <v>3519</v>
      </c>
    </row>
    <row r="125" spans="1:7">
      <c r="A125">
        <v>45122</v>
      </c>
      <c r="B125">
        <f t="shared" si="2"/>
        <v>46122</v>
      </c>
      <c r="C125">
        <f t="shared" si="3"/>
        <v>45122</v>
      </c>
      <c r="G125" t="s">
        <v>3519</v>
      </c>
    </row>
    <row r="126" spans="1:7">
      <c r="A126">
        <v>45123</v>
      </c>
      <c r="B126">
        <f t="shared" si="2"/>
        <v>46123</v>
      </c>
      <c r="C126">
        <f t="shared" si="3"/>
        <v>45123</v>
      </c>
      <c r="G126" t="s">
        <v>3519</v>
      </c>
    </row>
    <row r="127" spans="1:7">
      <c r="A127">
        <v>45124</v>
      </c>
      <c r="B127">
        <f t="shared" si="2"/>
        <v>46124</v>
      </c>
      <c r="C127">
        <f t="shared" si="3"/>
        <v>45124</v>
      </c>
      <c r="G127" t="s">
        <v>3519</v>
      </c>
    </row>
    <row r="128" spans="1:7">
      <c r="A128">
        <v>45125</v>
      </c>
      <c r="B128">
        <f t="shared" si="2"/>
        <v>46125</v>
      </c>
      <c r="C128">
        <f t="shared" si="3"/>
        <v>45125</v>
      </c>
      <c r="G128" t="s">
        <v>3519</v>
      </c>
    </row>
    <row r="129" spans="1:7">
      <c r="A129">
        <v>45126</v>
      </c>
      <c r="B129">
        <f t="shared" si="2"/>
        <v>46126</v>
      </c>
      <c r="C129">
        <f t="shared" si="3"/>
        <v>45126</v>
      </c>
      <c r="G129" t="s">
        <v>3519</v>
      </c>
    </row>
    <row r="130" spans="1:7">
      <c r="A130">
        <v>45127</v>
      </c>
      <c r="B130">
        <f t="shared" si="2"/>
        <v>46127</v>
      </c>
      <c r="C130">
        <f t="shared" si="3"/>
        <v>45127</v>
      </c>
      <c r="G130" t="s">
        <v>3519</v>
      </c>
    </row>
    <row r="131" spans="1:7">
      <c r="A131">
        <v>45128</v>
      </c>
      <c r="B131">
        <f t="shared" si="2"/>
        <v>46128</v>
      </c>
      <c r="C131">
        <f t="shared" si="3"/>
        <v>45128</v>
      </c>
      <c r="G131" t="s">
        <v>3519</v>
      </c>
    </row>
    <row r="132" spans="1:7">
      <c r="A132">
        <v>45129</v>
      </c>
      <c r="B132">
        <f t="shared" ref="B132:B195" si="4">A132+1000</f>
        <v>46129</v>
      </c>
      <c r="C132">
        <f t="shared" ref="C132:C195" si="5">IF(ISERROR(FIND("Epic",E132)),A132,A132+10000)</f>
        <v>45129</v>
      </c>
      <c r="G132" t="s">
        <v>3519</v>
      </c>
    </row>
    <row r="133" spans="1:7">
      <c r="A133">
        <v>45130</v>
      </c>
      <c r="B133">
        <f t="shared" si="4"/>
        <v>46130</v>
      </c>
      <c r="C133">
        <f t="shared" si="5"/>
        <v>45130</v>
      </c>
      <c r="G133" t="s">
        <v>3519</v>
      </c>
    </row>
    <row r="134" spans="1:7">
      <c r="A134">
        <v>45131</v>
      </c>
      <c r="B134">
        <f t="shared" si="4"/>
        <v>46131</v>
      </c>
      <c r="C134">
        <f t="shared" si="5"/>
        <v>45131</v>
      </c>
      <c r="G134" t="s">
        <v>3519</v>
      </c>
    </row>
    <row r="135" spans="1:7">
      <c r="A135">
        <v>45132</v>
      </c>
      <c r="B135">
        <f t="shared" si="4"/>
        <v>46132</v>
      </c>
      <c r="C135">
        <f t="shared" si="5"/>
        <v>45132</v>
      </c>
      <c r="G135" t="s">
        <v>3519</v>
      </c>
    </row>
    <row r="136" spans="1:7">
      <c r="A136">
        <v>45133</v>
      </c>
      <c r="B136">
        <f t="shared" si="4"/>
        <v>46133</v>
      </c>
      <c r="C136">
        <f t="shared" si="5"/>
        <v>45133</v>
      </c>
      <c r="G136" t="s">
        <v>3519</v>
      </c>
    </row>
    <row r="137" spans="1:7">
      <c r="A137">
        <v>45134</v>
      </c>
      <c r="B137">
        <f t="shared" si="4"/>
        <v>46134</v>
      </c>
      <c r="C137">
        <f t="shared" si="5"/>
        <v>45134</v>
      </c>
      <c r="G137" t="s">
        <v>3519</v>
      </c>
    </row>
    <row r="138" spans="1:7">
      <c r="A138">
        <v>45135</v>
      </c>
      <c r="B138">
        <f t="shared" si="4"/>
        <v>46135</v>
      </c>
      <c r="C138">
        <f t="shared" si="5"/>
        <v>45135</v>
      </c>
      <c r="G138" t="s">
        <v>3519</v>
      </c>
    </row>
    <row r="139" spans="1:7">
      <c r="A139">
        <v>45136</v>
      </c>
      <c r="B139">
        <f t="shared" si="4"/>
        <v>46136</v>
      </c>
      <c r="C139">
        <f t="shared" si="5"/>
        <v>45136</v>
      </c>
      <c r="G139" t="s">
        <v>3519</v>
      </c>
    </row>
    <row r="140" spans="1:7">
      <c r="A140">
        <v>45137</v>
      </c>
      <c r="B140">
        <f t="shared" si="4"/>
        <v>46137</v>
      </c>
      <c r="C140">
        <f t="shared" si="5"/>
        <v>45137</v>
      </c>
      <c r="G140" t="s">
        <v>3519</v>
      </c>
    </row>
    <row r="141" spans="1:7">
      <c r="A141">
        <v>45138</v>
      </c>
      <c r="B141">
        <f t="shared" si="4"/>
        <v>46138</v>
      </c>
      <c r="C141">
        <f t="shared" si="5"/>
        <v>45138</v>
      </c>
      <c r="G141" t="s">
        <v>3519</v>
      </c>
    </row>
    <row r="142" spans="1:7">
      <c r="A142">
        <v>45139</v>
      </c>
      <c r="B142">
        <f t="shared" si="4"/>
        <v>46139</v>
      </c>
      <c r="C142">
        <f t="shared" si="5"/>
        <v>45139</v>
      </c>
      <c r="G142" t="s">
        <v>3519</v>
      </c>
    </row>
    <row r="143" spans="1:7">
      <c r="A143">
        <v>45140</v>
      </c>
      <c r="B143">
        <f t="shared" si="4"/>
        <v>46140</v>
      </c>
      <c r="C143">
        <f t="shared" si="5"/>
        <v>45140</v>
      </c>
      <c r="G143" t="s">
        <v>3519</v>
      </c>
    </row>
    <row r="144" spans="1:7">
      <c r="A144">
        <v>45141</v>
      </c>
      <c r="B144">
        <f t="shared" si="4"/>
        <v>46141</v>
      </c>
      <c r="C144">
        <f t="shared" si="5"/>
        <v>45141</v>
      </c>
      <c r="G144" t="s">
        <v>3519</v>
      </c>
    </row>
    <row r="145" spans="1:7">
      <c r="A145">
        <v>45142</v>
      </c>
      <c r="B145">
        <f t="shared" si="4"/>
        <v>46142</v>
      </c>
      <c r="C145">
        <f t="shared" si="5"/>
        <v>45142</v>
      </c>
      <c r="G145" t="s">
        <v>3519</v>
      </c>
    </row>
    <row r="146" spans="1:7">
      <c r="A146">
        <v>45143</v>
      </c>
      <c r="B146">
        <f t="shared" si="4"/>
        <v>46143</v>
      </c>
      <c r="C146">
        <f t="shared" si="5"/>
        <v>45143</v>
      </c>
      <c r="G146" t="s">
        <v>3519</v>
      </c>
    </row>
    <row r="147" spans="1:7">
      <c r="A147">
        <v>45144</v>
      </c>
      <c r="B147">
        <f t="shared" si="4"/>
        <v>46144</v>
      </c>
      <c r="C147">
        <f t="shared" si="5"/>
        <v>45144</v>
      </c>
      <c r="G147" t="s">
        <v>3519</v>
      </c>
    </row>
    <row r="148" spans="1:7">
      <c r="A148">
        <v>45145</v>
      </c>
      <c r="B148">
        <f t="shared" si="4"/>
        <v>46145</v>
      </c>
      <c r="C148">
        <f t="shared" si="5"/>
        <v>45145</v>
      </c>
      <c r="G148" t="s">
        <v>3519</v>
      </c>
    </row>
    <row r="149" spans="1:7">
      <c r="A149">
        <v>45146</v>
      </c>
      <c r="B149">
        <f t="shared" si="4"/>
        <v>46146</v>
      </c>
      <c r="C149">
        <f t="shared" si="5"/>
        <v>45146</v>
      </c>
      <c r="G149" t="s">
        <v>3519</v>
      </c>
    </row>
    <row r="150" spans="1:7">
      <c r="A150">
        <v>45147</v>
      </c>
      <c r="B150">
        <f t="shared" si="4"/>
        <v>46147</v>
      </c>
      <c r="C150">
        <f t="shared" si="5"/>
        <v>45147</v>
      </c>
      <c r="G150" t="s">
        <v>3519</v>
      </c>
    </row>
    <row r="151" spans="1:7">
      <c r="A151">
        <v>45148</v>
      </c>
      <c r="B151">
        <f t="shared" si="4"/>
        <v>46148</v>
      </c>
      <c r="C151">
        <f t="shared" si="5"/>
        <v>45148</v>
      </c>
      <c r="G151" t="s">
        <v>3519</v>
      </c>
    </row>
    <row r="152" spans="1:7">
      <c r="A152">
        <v>45149</v>
      </c>
      <c r="B152">
        <f t="shared" si="4"/>
        <v>46149</v>
      </c>
      <c r="C152">
        <f t="shared" si="5"/>
        <v>45149</v>
      </c>
      <c r="G152" t="s">
        <v>3519</v>
      </c>
    </row>
    <row r="153" spans="1:7">
      <c r="A153">
        <v>45150</v>
      </c>
      <c r="B153">
        <f t="shared" si="4"/>
        <v>46150</v>
      </c>
      <c r="C153">
        <f t="shared" si="5"/>
        <v>45150</v>
      </c>
      <c r="G153" t="s">
        <v>3519</v>
      </c>
    </row>
    <row r="154" spans="1:7">
      <c r="A154">
        <v>45151</v>
      </c>
      <c r="B154">
        <f t="shared" si="4"/>
        <v>46151</v>
      </c>
      <c r="C154">
        <f t="shared" si="5"/>
        <v>45151</v>
      </c>
      <c r="G154" t="s">
        <v>3519</v>
      </c>
    </row>
    <row r="155" spans="1:7">
      <c r="A155">
        <v>45152</v>
      </c>
      <c r="B155">
        <f t="shared" si="4"/>
        <v>46152</v>
      </c>
      <c r="C155">
        <f t="shared" si="5"/>
        <v>45152</v>
      </c>
      <c r="G155" t="s">
        <v>3519</v>
      </c>
    </row>
    <row r="156" spans="1:7">
      <c r="A156">
        <v>45153</v>
      </c>
      <c r="B156">
        <f t="shared" si="4"/>
        <v>46153</v>
      </c>
      <c r="C156">
        <f t="shared" si="5"/>
        <v>45153</v>
      </c>
      <c r="G156" t="s">
        <v>3519</v>
      </c>
    </row>
    <row r="157" spans="1:7">
      <c r="A157">
        <v>45154</v>
      </c>
      <c r="B157">
        <f t="shared" si="4"/>
        <v>46154</v>
      </c>
      <c r="C157">
        <f t="shared" si="5"/>
        <v>45154</v>
      </c>
      <c r="G157" t="s">
        <v>3519</v>
      </c>
    </row>
    <row r="158" spans="1:7">
      <c r="A158">
        <v>45155</v>
      </c>
      <c r="B158">
        <f t="shared" si="4"/>
        <v>46155</v>
      </c>
      <c r="C158">
        <f t="shared" si="5"/>
        <v>45155</v>
      </c>
      <c r="G158" t="s">
        <v>3519</v>
      </c>
    </row>
    <row r="159" spans="1:7">
      <c r="A159">
        <v>45156</v>
      </c>
      <c r="B159">
        <f t="shared" si="4"/>
        <v>46156</v>
      </c>
      <c r="C159">
        <f t="shared" si="5"/>
        <v>45156</v>
      </c>
      <c r="G159" t="s">
        <v>3519</v>
      </c>
    </row>
    <row r="160" spans="1:7">
      <c r="A160">
        <v>45157</v>
      </c>
      <c r="B160">
        <f t="shared" si="4"/>
        <v>46157</v>
      </c>
      <c r="C160">
        <f t="shared" si="5"/>
        <v>45157</v>
      </c>
      <c r="G160" t="s">
        <v>3519</v>
      </c>
    </row>
    <row r="161" spans="1:7">
      <c r="A161">
        <v>45158</v>
      </c>
      <c r="B161">
        <f t="shared" si="4"/>
        <v>46158</v>
      </c>
      <c r="C161">
        <f t="shared" si="5"/>
        <v>45158</v>
      </c>
      <c r="G161" t="s">
        <v>3519</v>
      </c>
    </row>
    <row r="162" spans="1:7">
      <c r="A162">
        <v>45159</v>
      </c>
      <c r="B162">
        <f t="shared" si="4"/>
        <v>46159</v>
      </c>
      <c r="C162">
        <f t="shared" si="5"/>
        <v>45159</v>
      </c>
      <c r="G162" t="s">
        <v>3519</v>
      </c>
    </row>
    <row r="163" spans="1:7">
      <c r="A163">
        <v>45160</v>
      </c>
      <c r="B163">
        <f t="shared" si="4"/>
        <v>46160</v>
      </c>
      <c r="C163">
        <f t="shared" si="5"/>
        <v>45160</v>
      </c>
      <c r="G163" t="s">
        <v>3519</v>
      </c>
    </row>
    <row r="164" spans="1:7">
      <c r="A164">
        <v>45161</v>
      </c>
      <c r="B164">
        <f t="shared" si="4"/>
        <v>46161</v>
      </c>
      <c r="C164">
        <f t="shared" si="5"/>
        <v>45161</v>
      </c>
      <c r="G164" t="s">
        <v>3519</v>
      </c>
    </row>
    <row r="165" spans="1:7">
      <c r="A165">
        <v>45162</v>
      </c>
      <c r="B165">
        <f t="shared" si="4"/>
        <v>46162</v>
      </c>
      <c r="C165">
        <f t="shared" si="5"/>
        <v>45162</v>
      </c>
      <c r="G165" t="s">
        <v>3519</v>
      </c>
    </row>
    <row r="166" spans="1:7">
      <c r="A166">
        <v>45163</v>
      </c>
      <c r="B166">
        <f t="shared" si="4"/>
        <v>46163</v>
      </c>
      <c r="C166">
        <f t="shared" si="5"/>
        <v>45163</v>
      </c>
      <c r="G166" t="s">
        <v>3519</v>
      </c>
    </row>
    <row r="167" spans="1:7">
      <c r="A167">
        <v>45164</v>
      </c>
      <c r="B167">
        <f t="shared" si="4"/>
        <v>46164</v>
      </c>
      <c r="C167">
        <f t="shared" si="5"/>
        <v>45164</v>
      </c>
      <c r="G167" t="s">
        <v>3519</v>
      </c>
    </row>
    <row r="168" spans="1:7">
      <c r="A168">
        <v>45165</v>
      </c>
      <c r="B168">
        <f t="shared" si="4"/>
        <v>46165</v>
      </c>
      <c r="C168">
        <f t="shared" si="5"/>
        <v>45165</v>
      </c>
      <c r="G168" t="s">
        <v>3519</v>
      </c>
    </row>
    <row r="169" spans="1:7">
      <c r="A169">
        <v>45166</v>
      </c>
      <c r="B169">
        <f t="shared" si="4"/>
        <v>46166</v>
      </c>
      <c r="C169">
        <f t="shared" si="5"/>
        <v>45166</v>
      </c>
      <c r="G169" t="s">
        <v>3519</v>
      </c>
    </row>
    <row r="170" spans="1:7">
      <c r="A170">
        <v>45167</v>
      </c>
      <c r="B170">
        <f t="shared" si="4"/>
        <v>46167</v>
      </c>
      <c r="C170">
        <f t="shared" si="5"/>
        <v>45167</v>
      </c>
      <c r="G170" t="s">
        <v>3519</v>
      </c>
    </row>
    <row r="171" spans="1:7">
      <c r="A171">
        <v>45168</v>
      </c>
      <c r="B171">
        <f t="shared" si="4"/>
        <v>46168</v>
      </c>
      <c r="C171">
        <f t="shared" si="5"/>
        <v>45168</v>
      </c>
      <c r="G171" t="s">
        <v>3519</v>
      </c>
    </row>
    <row r="172" spans="1:7">
      <c r="A172">
        <v>45169</v>
      </c>
      <c r="B172">
        <f t="shared" si="4"/>
        <v>46169</v>
      </c>
      <c r="C172">
        <f t="shared" si="5"/>
        <v>45169</v>
      </c>
      <c r="G172" t="s">
        <v>3519</v>
      </c>
    </row>
    <row r="173" spans="1:7">
      <c r="A173">
        <v>45170</v>
      </c>
      <c r="B173">
        <f t="shared" si="4"/>
        <v>46170</v>
      </c>
      <c r="C173">
        <f t="shared" si="5"/>
        <v>45170</v>
      </c>
      <c r="G173" t="s">
        <v>3519</v>
      </c>
    </row>
    <row r="174" spans="1:7">
      <c r="A174">
        <v>45171</v>
      </c>
      <c r="B174">
        <f t="shared" si="4"/>
        <v>46171</v>
      </c>
      <c r="C174">
        <f t="shared" si="5"/>
        <v>45171</v>
      </c>
      <c r="G174" t="s">
        <v>3519</v>
      </c>
    </row>
    <row r="175" spans="1:7">
      <c r="A175">
        <v>45172</v>
      </c>
      <c r="B175">
        <f t="shared" si="4"/>
        <v>46172</v>
      </c>
      <c r="C175">
        <f t="shared" si="5"/>
        <v>45172</v>
      </c>
      <c r="G175" t="s">
        <v>3519</v>
      </c>
    </row>
    <row r="176" spans="1:7">
      <c r="A176">
        <v>45173</v>
      </c>
      <c r="B176">
        <f t="shared" si="4"/>
        <v>46173</v>
      </c>
      <c r="C176">
        <f t="shared" si="5"/>
        <v>45173</v>
      </c>
      <c r="G176" t="s">
        <v>3519</v>
      </c>
    </row>
    <row r="177" spans="1:7">
      <c r="A177">
        <v>45174</v>
      </c>
      <c r="B177">
        <f t="shared" si="4"/>
        <v>46174</v>
      </c>
      <c r="C177">
        <f t="shared" si="5"/>
        <v>45174</v>
      </c>
      <c r="G177" t="s">
        <v>3519</v>
      </c>
    </row>
    <row r="178" spans="1:7">
      <c r="A178">
        <v>45175</v>
      </c>
      <c r="B178">
        <f t="shared" si="4"/>
        <v>46175</v>
      </c>
      <c r="C178">
        <f t="shared" si="5"/>
        <v>45175</v>
      </c>
      <c r="G178" t="s">
        <v>3519</v>
      </c>
    </row>
    <row r="179" spans="1:7">
      <c r="A179">
        <v>45176</v>
      </c>
      <c r="B179">
        <f t="shared" si="4"/>
        <v>46176</v>
      </c>
      <c r="C179">
        <f t="shared" si="5"/>
        <v>45176</v>
      </c>
      <c r="G179" t="s">
        <v>3519</v>
      </c>
    </row>
    <row r="180" spans="1:7">
      <c r="A180">
        <v>45177</v>
      </c>
      <c r="B180">
        <f t="shared" si="4"/>
        <v>46177</v>
      </c>
      <c r="C180">
        <f t="shared" si="5"/>
        <v>45177</v>
      </c>
      <c r="G180" t="s">
        <v>3519</v>
      </c>
    </row>
    <row r="181" spans="1:7">
      <c r="A181">
        <v>45178</v>
      </c>
      <c r="B181">
        <f t="shared" si="4"/>
        <v>46178</v>
      </c>
      <c r="C181">
        <f t="shared" si="5"/>
        <v>45178</v>
      </c>
      <c r="G181" t="s">
        <v>3519</v>
      </c>
    </row>
    <row r="182" spans="1:7">
      <c r="A182">
        <v>45179</v>
      </c>
      <c r="B182">
        <f t="shared" si="4"/>
        <v>46179</v>
      </c>
      <c r="C182">
        <f t="shared" si="5"/>
        <v>45179</v>
      </c>
      <c r="G182" t="s">
        <v>3519</v>
      </c>
    </row>
    <row r="183" spans="1:7">
      <c r="A183">
        <v>45180</v>
      </c>
      <c r="B183">
        <f t="shared" si="4"/>
        <v>46180</v>
      </c>
      <c r="C183">
        <f t="shared" si="5"/>
        <v>45180</v>
      </c>
      <c r="G183" t="s">
        <v>3519</v>
      </c>
    </row>
    <row r="184" spans="1:7">
      <c r="A184">
        <v>45181</v>
      </c>
      <c r="B184">
        <f t="shared" si="4"/>
        <v>46181</v>
      </c>
      <c r="C184">
        <f t="shared" si="5"/>
        <v>45181</v>
      </c>
      <c r="G184" t="s">
        <v>3519</v>
      </c>
    </row>
    <row r="185" spans="1:7">
      <c r="A185">
        <v>45182</v>
      </c>
      <c r="B185">
        <f t="shared" si="4"/>
        <v>46182</v>
      </c>
      <c r="C185">
        <f t="shared" si="5"/>
        <v>45182</v>
      </c>
      <c r="G185" t="s">
        <v>3519</v>
      </c>
    </row>
    <row r="186" spans="1:7">
      <c r="A186">
        <v>45183</v>
      </c>
      <c r="B186">
        <f t="shared" si="4"/>
        <v>46183</v>
      </c>
      <c r="C186">
        <f t="shared" si="5"/>
        <v>45183</v>
      </c>
      <c r="G186" t="s">
        <v>3519</v>
      </c>
    </row>
    <row r="187" spans="1:7">
      <c r="A187">
        <v>45184</v>
      </c>
      <c r="B187">
        <f t="shared" si="4"/>
        <v>46184</v>
      </c>
      <c r="C187">
        <f t="shared" si="5"/>
        <v>45184</v>
      </c>
      <c r="G187" t="s">
        <v>3519</v>
      </c>
    </row>
    <row r="188" spans="1:7">
      <c r="A188">
        <v>45185</v>
      </c>
      <c r="B188">
        <f t="shared" si="4"/>
        <v>46185</v>
      </c>
      <c r="C188">
        <f t="shared" si="5"/>
        <v>45185</v>
      </c>
      <c r="G188" t="s">
        <v>3519</v>
      </c>
    </row>
    <row r="189" spans="1:7">
      <c r="A189">
        <v>45186</v>
      </c>
      <c r="B189">
        <f t="shared" si="4"/>
        <v>46186</v>
      </c>
      <c r="C189">
        <f t="shared" si="5"/>
        <v>45186</v>
      </c>
      <c r="G189" t="s">
        <v>3519</v>
      </c>
    </row>
    <row r="190" spans="1:7">
      <c r="A190">
        <v>45187</v>
      </c>
      <c r="B190">
        <f t="shared" si="4"/>
        <v>46187</v>
      </c>
      <c r="C190">
        <f t="shared" si="5"/>
        <v>45187</v>
      </c>
      <c r="G190" t="s">
        <v>3519</v>
      </c>
    </row>
    <row r="191" spans="1:7">
      <c r="A191">
        <v>45188</v>
      </c>
      <c r="B191">
        <f t="shared" si="4"/>
        <v>46188</v>
      </c>
      <c r="C191">
        <f t="shared" si="5"/>
        <v>45188</v>
      </c>
      <c r="G191" t="s">
        <v>3519</v>
      </c>
    </row>
    <row r="192" spans="1:7">
      <c r="A192">
        <v>45189</v>
      </c>
      <c r="B192">
        <f t="shared" si="4"/>
        <v>46189</v>
      </c>
      <c r="C192">
        <f t="shared" si="5"/>
        <v>45189</v>
      </c>
      <c r="G192" t="s">
        <v>3519</v>
      </c>
    </row>
    <row r="193" spans="1:7">
      <c r="A193">
        <v>45190</v>
      </c>
      <c r="B193">
        <f t="shared" si="4"/>
        <v>46190</v>
      </c>
      <c r="C193">
        <f t="shared" si="5"/>
        <v>45190</v>
      </c>
      <c r="G193" t="s">
        <v>3519</v>
      </c>
    </row>
    <row r="194" spans="1:7">
      <c r="A194">
        <v>45191</v>
      </c>
      <c r="B194">
        <f t="shared" si="4"/>
        <v>46191</v>
      </c>
      <c r="C194">
        <f t="shared" si="5"/>
        <v>45191</v>
      </c>
      <c r="G194" t="s">
        <v>3519</v>
      </c>
    </row>
    <row r="195" spans="1:7">
      <c r="A195">
        <v>45192</v>
      </c>
      <c r="B195">
        <f t="shared" si="4"/>
        <v>46192</v>
      </c>
      <c r="C195">
        <f t="shared" si="5"/>
        <v>45192</v>
      </c>
      <c r="G195" t="s">
        <v>3519</v>
      </c>
    </row>
    <row r="196" spans="1:7">
      <c r="A196">
        <v>45193</v>
      </c>
      <c r="B196">
        <f t="shared" ref="B196:B259" si="6">A196+1000</f>
        <v>46193</v>
      </c>
      <c r="C196">
        <f t="shared" ref="C196:C259" si="7">IF(ISERROR(FIND("Epic",E196)),A196,A196+10000)</f>
        <v>45193</v>
      </c>
      <c r="G196" t="s">
        <v>3519</v>
      </c>
    </row>
    <row r="197" spans="1:7">
      <c r="A197">
        <v>45194</v>
      </c>
      <c r="B197">
        <f t="shared" si="6"/>
        <v>46194</v>
      </c>
      <c r="C197">
        <f t="shared" si="7"/>
        <v>45194</v>
      </c>
      <c r="G197" t="s">
        <v>3519</v>
      </c>
    </row>
    <row r="198" spans="1:7">
      <c r="A198">
        <v>45195</v>
      </c>
      <c r="B198">
        <f t="shared" si="6"/>
        <v>46195</v>
      </c>
      <c r="C198">
        <f t="shared" si="7"/>
        <v>45195</v>
      </c>
      <c r="G198" t="s">
        <v>3519</v>
      </c>
    </row>
    <row r="199" spans="1:7">
      <c r="A199">
        <v>45196</v>
      </c>
      <c r="B199">
        <f t="shared" si="6"/>
        <v>46196</v>
      </c>
      <c r="C199">
        <f t="shared" si="7"/>
        <v>45196</v>
      </c>
      <c r="G199" t="s">
        <v>3519</v>
      </c>
    </row>
    <row r="200" spans="1:7">
      <c r="A200">
        <v>45197</v>
      </c>
      <c r="B200">
        <f t="shared" si="6"/>
        <v>46197</v>
      </c>
      <c r="C200">
        <f t="shared" si="7"/>
        <v>45197</v>
      </c>
      <c r="G200" t="s">
        <v>3519</v>
      </c>
    </row>
    <row r="201" spans="1:7">
      <c r="A201">
        <v>45198</v>
      </c>
      <c r="B201">
        <f t="shared" si="6"/>
        <v>46198</v>
      </c>
      <c r="C201">
        <f t="shared" si="7"/>
        <v>45198</v>
      </c>
      <c r="G201" t="s">
        <v>3519</v>
      </c>
    </row>
    <row r="202" spans="1:7">
      <c r="A202">
        <v>45199</v>
      </c>
      <c r="B202">
        <f t="shared" si="6"/>
        <v>46199</v>
      </c>
      <c r="C202">
        <f t="shared" si="7"/>
        <v>45199</v>
      </c>
      <c r="G202" t="s">
        <v>3519</v>
      </c>
    </row>
    <row r="203" spans="1:7">
      <c r="A203">
        <v>45200</v>
      </c>
      <c r="B203">
        <f t="shared" si="6"/>
        <v>46200</v>
      </c>
      <c r="C203">
        <f t="shared" si="7"/>
        <v>45200</v>
      </c>
      <c r="G203" t="s">
        <v>3519</v>
      </c>
    </row>
    <row r="204" spans="1:7">
      <c r="A204">
        <v>45201</v>
      </c>
      <c r="B204">
        <f t="shared" si="6"/>
        <v>46201</v>
      </c>
      <c r="C204">
        <f t="shared" si="7"/>
        <v>45201</v>
      </c>
      <c r="G204" t="s">
        <v>3519</v>
      </c>
    </row>
    <row r="205" spans="1:7">
      <c r="A205">
        <v>45202</v>
      </c>
      <c r="B205">
        <f t="shared" si="6"/>
        <v>46202</v>
      </c>
      <c r="C205">
        <f t="shared" si="7"/>
        <v>45202</v>
      </c>
      <c r="G205" t="s">
        <v>3519</v>
      </c>
    </row>
    <row r="206" spans="1:7">
      <c r="A206">
        <v>45203</v>
      </c>
      <c r="B206">
        <f t="shared" si="6"/>
        <v>46203</v>
      </c>
      <c r="C206">
        <f t="shared" si="7"/>
        <v>45203</v>
      </c>
      <c r="G206" t="s">
        <v>3519</v>
      </c>
    </row>
    <row r="207" spans="1:7">
      <c r="A207">
        <v>45204</v>
      </c>
      <c r="B207">
        <f t="shared" si="6"/>
        <v>46204</v>
      </c>
      <c r="C207">
        <f t="shared" si="7"/>
        <v>45204</v>
      </c>
      <c r="G207" t="s">
        <v>3519</v>
      </c>
    </row>
    <row r="208" spans="1:7">
      <c r="A208">
        <v>45205</v>
      </c>
      <c r="B208">
        <f t="shared" si="6"/>
        <v>46205</v>
      </c>
      <c r="C208">
        <f t="shared" si="7"/>
        <v>45205</v>
      </c>
      <c r="G208" t="s">
        <v>3519</v>
      </c>
    </row>
    <row r="209" spans="1:7">
      <c r="A209">
        <v>45206</v>
      </c>
      <c r="B209">
        <f t="shared" si="6"/>
        <v>46206</v>
      </c>
      <c r="C209">
        <f t="shared" si="7"/>
        <v>45206</v>
      </c>
      <c r="G209" t="s">
        <v>3519</v>
      </c>
    </row>
    <row r="210" spans="1:7">
      <c r="A210">
        <v>45207</v>
      </c>
      <c r="B210">
        <f t="shared" si="6"/>
        <v>46207</v>
      </c>
      <c r="C210">
        <f t="shared" si="7"/>
        <v>45207</v>
      </c>
      <c r="G210" t="s">
        <v>3519</v>
      </c>
    </row>
    <row r="211" spans="1:7">
      <c r="A211">
        <v>45208</v>
      </c>
      <c r="B211">
        <f t="shared" si="6"/>
        <v>46208</v>
      </c>
      <c r="C211">
        <f t="shared" si="7"/>
        <v>45208</v>
      </c>
      <c r="G211" t="s">
        <v>3519</v>
      </c>
    </row>
    <row r="212" spans="1:7">
      <c r="A212">
        <v>45209</v>
      </c>
      <c r="B212">
        <f t="shared" si="6"/>
        <v>46209</v>
      </c>
      <c r="C212">
        <f t="shared" si="7"/>
        <v>45209</v>
      </c>
      <c r="G212" t="s">
        <v>3519</v>
      </c>
    </row>
    <row r="213" spans="1:7">
      <c r="A213">
        <v>45210</v>
      </c>
      <c r="B213">
        <f t="shared" si="6"/>
        <v>46210</v>
      </c>
      <c r="C213">
        <f t="shared" si="7"/>
        <v>45210</v>
      </c>
      <c r="G213" t="s">
        <v>3519</v>
      </c>
    </row>
    <row r="214" spans="1:7">
      <c r="A214">
        <v>45211</v>
      </c>
      <c r="B214">
        <f t="shared" si="6"/>
        <v>46211</v>
      </c>
      <c r="C214">
        <f t="shared" si="7"/>
        <v>45211</v>
      </c>
      <c r="G214" t="s">
        <v>3519</v>
      </c>
    </row>
    <row r="215" spans="1:7">
      <c r="A215">
        <v>45212</v>
      </c>
      <c r="B215">
        <f t="shared" si="6"/>
        <v>46212</v>
      </c>
      <c r="C215">
        <f t="shared" si="7"/>
        <v>45212</v>
      </c>
      <c r="G215" t="s">
        <v>3519</v>
      </c>
    </row>
    <row r="216" spans="1:7">
      <c r="A216">
        <v>45213</v>
      </c>
      <c r="B216">
        <f t="shared" si="6"/>
        <v>46213</v>
      </c>
      <c r="C216">
        <f t="shared" si="7"/>
        <v>45213</v>
      </c>
      <c r="G216" t="s">
        <v>3519</v>
      </c>
    </row>
    <row r="217" spans="1:7">
      <c r="A217">
        <v>45214</v>
      </c>
      <c r="B217">
        <f t="shared" si="6"/>
        <v>46214</v>
      </c>
      <c r="C217">
        <f t="shared" si="7"/>
        <v>45214</v>
      </c>
      <c r="G217" t="s">
        <v>3519</v>
      </c>
    </row>
    <row r="218" spans="1:7">
      <c r="A218">
        <v>45215</v>
      </c>
      <c r="B218">
        <f t="shared" si="6"/>
        <v>46215</v>
      </c>
      <c r="C218">
        <f t="shared" si="7"/>
        <v>45215</v>
      </c>
      <c r="G218" t="s">
        <v>3519</v>
      </c>
    </row>
    <row r="219" spans="1:7">
      <c r="A219">
        <v>45216</v>
      </c>
      <c r="B219">
        <f t="shared" si="6"/>
        <v>46216</v>
      </c>
      <c r="C219">
        <f t="shared" si="7"/>
        <v>45216</v>
      </c>
      <c r="G219" t="s">
        <v>3519</v>
      </c>
    </row>
    <row r="220" spans="1:7">
      <c r="A220">
        <v>45217</v>
      </c>
      <c r="B220">
        <f t="shared" si="6"/>
        <v>46217</v>
      </c>
      <c r="C220">
        <f t="shared" si="7"/>
        <v>45217</v>
      </c>
      <c r="G220" t="s">
        <v>3519</v>
      </c>
    </row>
    <row r="221" spans="1:7">
      <c r="A221">
        <v>45218</v>
      </c>
      <c r="B221">
        <f t="shared" si="6"/>
        <v>46218</v>
      </c>
      <c r="C221">
        <f t="shared" si="7"/>
        <v>45218</v>
      </c>
      <c r="G221" t="s">
        <v>3519</v>
      </c>
    </row>
    <row r="222" spans="1:7">
      <c r="A222">
        <v>45219</v>
      </c>
      <c r="B222">
        <f t="shared" si="6"/>
        <v>46219</v>
      </c>
      <c r="C222">
        <f t="shared" si="7"/>
        <v>45219</v>
      </c>
      <c r="G222" t="s">
        <v>3519</v>
      </c>
    </row>
    <row r="223" spans="1:7">
      <c r="A223">
        <v>45220</v>
      </c>
      <c r="B223">
        <f t="shared" si="6"/>
        <v>46220</v>
      </c>
      <c r="C223">
        <f t="shared" si="7"/>
        <v>45220</v>
      </c>
      <c r="G223" t="s">
        <v>3519</v>
      </c>
    </row>
    <row r="224" spans="1:7">
      <c r="A224">
        <v>45221</v>
      </c>
      <c r="B224">
        <f t="shared" si="6"/>
        <v>46221</v>
      </c>
      <c r="C224">
        <f t="shared" si="7"/>
        <v>45221</v>
      </c>
      <c r="G224" t="s">
        <v>3519</v>
      </c>
    </row>
    <row r="225" spans="1:7">
      <c r="A225">
        <v>45222</v>
      </c>
      <c r="B225">
        <f t="shared" si="6"/>
        <v>46222</v>
      </c>
      <c r="C225">
        <f t="shared" si="7"/>
        <v>45222</v>
      </c>
      <c r="G225" t="s">
        <v>3519</v>
      </c>
    </row>
    <row r="226" spans="1:7">
      <c r="A226">
        <v>45223</v>
      </c>
      <c r="B226">
        <f t="shared" si="6"/>
        <v>46223</v>
      </c>
      <c r="C226">
        <f t="shared" si="7"/>
        <v>45223</v>
      </c>
      <c r="G226" t="s">
        <v>3519</v>
      </c>
    </row>
    <row r="227" spans="1:7">
      <c r="A227">
        <v>45224</v>
      </c>
      <c r="B227">
        <f t="shared" si="6"/>
        <v>46224</v>
      </c>
      <c r="C227">
        <f t="shared" si="7"/>
        <v>45224</v>
      </c>
      <c r="G227" t="s">
        <v>3519</v>
      </c>
    </row>
    <row r="228" spans="1:7">
      <c r="A228">
        <v>45225</v>
      </c>
      <c r="B228">
        <f t="shared" si="6"/>
        <v>46225</v>
      </c>
      <c r="C228">
        <f t="shared" si="7"/>
        <v>45225</v>
      </c>
      <c r="G228" t="s">
        <v>3519</v>
      </c>
    </row>
    <row r="229" spans="1:7">
      <c r="A229">
        <v>45226</v>
      </c>
      <c r="B229">
        <f t="shared" si="6"/>
        <v>46226</v>
      </c>
      <c r="C229">
        <f t="shared" si="7"/>
        <v>45226</v>
      </c>
      <c r="G229" t="s">
        <v>3519</v>
      </c>
    </row>
    <row r="230" spans="1:7">
      <c r="A230">
        <v>45227</v>
      </c>
      <c r="B230">
        <f t="shared" si="6"/>
        <v>46227</v>
      </c>
      <c r="C230">
        <f t="shared" si="7"/>
        <v>45227</v>
      </c>
      <c r="G230" t="s">
        <v>3519</v>
      </c>
    </row>
    <row r="231" spans="1:7">
      <c r="A231">
        <v>45228</v>
      </c>
      <c r="B231">
        <f t="shared" si="6"/>
        <v>46228</v>
      </c>
      <c r="C231">
        <f t="shared" si="7"/>
        <v>45228</v>
      </c>
      <c r="G231" t="s">
        <v>3519</v>
      </c>
    </row>
    <row r="232" spans="1:7">
      <c r="A232">
        <v>45229</v>
      </c>
      <c r="B232">
        <f t="shared" si="6"/>
        <v>46229</v>
      </c>
      <c r="C232">
        <f t="shared" si="7"/>
        <v>45229</v>
      </c>
      <c r="G232" t="s">
        <v>3519</v>
      </c>
    </row>
    <row r="233" spans="1:7">
      <c r="A233">
        <v>45230</v>
      </c>
      <c r="B233">
        <f t="shared" si="6"/>
        <v>46230</v>
      </c>
      <c r="C233">
        <f t="shared" si="7"/>
        <v>45230</v>
      </c>
      <c r="G233" t="s">
        <v>3519</v>
      </c>
    </row>
    <row r="234" spans="1:7">
      <c r="A234">
        <v>45231</v>
      </c>
      <c r="B234">
        <f t="shared" si="6"/>
        <v>46231</v>
      </c>
      <c r="C234">
        <f t="shared" si="7"/>
        <v>45231</v>
      </c>
      <c r="G234" t="s">
        <v>3519</v>
      </c>
    </row>
    <row r="235" spans="1:7">
      <c r="A235">
        <v>45232</v>
      </c>
      <c r="B235">
        <f t="shared" si="6"/>
        <v>46232</v>
      </c>
      <c r="C235">
        <f t="shared" si="7"/>
        <v>45232</v>
      </c>
      <c r="G235" t="s">
        <v>3519</v>
      </c>
    </row>
    <row r="236" spans="1:7">
      <c r="A236">
        <v>45233</v>
      </c>
      <c r="B236">
        <f t="shared" si="6"/>
        <v>46233</v>
      </c>
      <c r="C236">
        <f t="shared" si="7"/>
        <v>45233</v>
      </c>
      <c r="G236" t="s">
        <v>3519</v>
      </c>
    </row>
    <row r="237" spans="1:7">
      <c r="A237">
        <v>45234</v>
      </c>
      <c r="B237">
        <f t="shared" si="6"/>
        <v>46234</v>
      </c>
      <c r="C237">
        <f t="shared" si="7"/>
        <v>45234</v>
      </c>
      <c r="G237" t="s">
        <v>3519</v>
      </c>
    </row>
    <row r="238" spans="1:7">
      <c r="A238">
        <v>45235</v>
      </c>
      <c r="B238">
        <f t="shared" si="6"/>
        <v>46235</v>
      </c>
      <c r="C238">
        <f t="shared" si="7"/>
        <v>45235</v>
      </c>
      <c r="G238" t="s">
        <v>3519</v>
      </c>
    </row>
    <row r="239" spans="1:7">
      <c r="A239">
        <v>45236</v>
      </c>
      <c r="B239">
        <f t="shared" si="6"/>
        <v>46236</v>
      </c>
      <c r="C239">
        <f t="shared" si="7"/>
        <v>45236</v>
      </c>
      <c r="G239" t="s">
        <v>3519</v>
      </c>
    </row>
    <row r="240" spans="1:7">
      <c r="A240">
        <v>45237</v>
      </c>
      <c r="B240">
        <f t="shared" si="6"/>
        <v>46237</v>
      </c>
      <c r="C240">
        <f t="shared" si="7"/>
        <v>45237</v>
      </c>
      <c r="G240" t="s">
        <v>3519</v>
      </c>
    </row>
    <row r="241" spans="1:7">
      <c r="A241">
        <v>45238</v>
      </c>
      <c r="B241">
        <f t="shared" si="6"/>
        <v>46238</v>
      </c>
      <c r="C241">
        <f t="shared" si="7"/>
        <v>45238</v>
      </c>
      <c r="G241" t="s">
        <v>3519</v>
      </c>
    </row>
    <row r="242" spans="1:7">
      <c r="A242">
        <v>45239</v>
      </c>
      <c r="B242">
        <f t="shared" si="6"/>
        <v>46239</v>
      </c>
      <c r="C242">
        <f t="shared" si="7"/>
        <v>45239</v>
      </c>
      <c r="G242" t="s">
        <v>3519</v>
      </c>
    </row>
    <row r="243" spans="1:7">
      <c r="A243">
        <v>45240</v>
      </c>
      <c r="B243">
        <f t="shared" si="6"/>
        <v>46240</v>
      </c>
      <c r="C243">
        <f t="shared" si="7"/>
        <v>45240</v>
      </c>
      <c r="G243" t="s">
        <v>3519</v>
      </c>
    </row>
    <row r="244" spans="1:7">
      <c r="A244">
        <v>45241</v>
      </c>
      <c r="B244">
        <f t="shared" si="6"/>
        <v>46241</v>
      </c>
      <c r="C244">
        <f t="shared" si="7"/>
        <v>45241</v>
      </c>
      <c r="G244" t="s">
        <v>3519</v>
      </c>
    </row>
    <row r="245" spans="1:7">
      <c r="A245">
        <v>45242</v>
      </c>
      <c r="B245">
        <f t="shared" si="6"/>
        <v>46242</v>
      </c>
      <c r="C245">
        <f t="shared" si="7"/>
        <v>45242</v>
      </c>
      <c r="G245" t="s">
        <v>3519</v>
      </c>
    </row>
    <row r="246" spans="1:7">
      <c r="A246">
        <v>45243</v>
      </c>
      <c r="B246">
        <f t="shared" si="6"/>
        <v>46243</v>
      </c>
      <c r="C246">
        <f t="shared" si="7"/>
        <v>45243</v>
      </c>
      <c r="G246" t="s">
        <v>3519</v>
      </c>
    </row>
    <row r="247" spans="1:7">
      <c r="A247">
        <v>45244</v>
      </c>
      <c r="B247">
        <f t="shared" si="6"/>
        <v>46244</v>
      </c>
      <c r="C247">
        <f t="shared" si="7"/>
        <v>45244</v>
      </c>
      <c r="G247" t="s">
        <v>3519</v>
      </c>
    </row>
    <row r="248" spans="1:7">
      <c r="A248">
        <v>45245</v>
      </c>
      <c r="B248">
        <f t="shared" si="6"/>
        <v>46245</v>
      </c>
      <c r="C248">
        <f t="shared" si="7"/>
        <v>45245</v>
      </c>
      <c r="G248" t="s">
        <v>3519</v>
      </c>
    </row>
    <row r="249" spans="1:7">
      <c r="A249">
        <v>45246</v>
      </c>
      <c r="B249">
        <f t="shared" si="6"/>
        <v>46246</v>
      </c>
      <c r="C249">
        <f t="shared" si="7"/>
        <v>45246</v>
      </c>
      <c r="G249" t="s">
        <v>3519</v>
      </c>
    </row>
    <row r="250" spans="1:7">
      <c r="A250">
        <v>45247</v>
      </c>
      <c r="B250">
        <f t="shared" si="6"/>
        <v>46247</v>
      </c>
      <c r="C250">
        <f t="shared" si="7"/>
        <v>45247</v>
      </c>
      <c r="G250" t="s">
        <v>3519</v>
      </c>
    </row>
    <row r="251" spans="1:7">
      <c r="A251">
        <v>45248</v>
      </c>
      <c r="B251">
        <f t="shared" si="6"/>
        <v>46248</v>
      </c>
      <c r="C251">
        <f t="shared" si="7"/>
        <v>45248</v>
      </c>
      <c r="G251" t="s">
        <v>3519</v>
      </c>
    </row>
    <row r="252" spans="1:7">
      <c r="A252">
        <v>45249</v>
      </c>
      <c r="B252">
        <f t="shared" si="6"/>
        <v>46249</v>
      </c>
      <c r="C252">
        <f t="shared" si="7"/>
        <v>45249</v>
      </c>
      <c r="G252" t="s">
        <v>3519</v>
      </c>
    </row>
    <row r="253" spans="1:7">
      <c r="A253">
        <v>45250</v>
      </c>
      <c r="B253">
        <f t="shared" si="6"/>
        <v>46250</v>
      </c>
      <c r="C253">
        <f t="shared" si="7"/>
        <v>45250</v>
      </c>
      <c r="G253" t="s">
        <v>3519</v>
      </c>
    </row>
    <row r="254" spans="1:7">
      <c r="A254">
        <v>45251</v>
      </c>
      <c r="B254">
        <f t="shared" si="6"/>
        <v>46251</v>
      </c>
      <c r="C254">
        <f t="shared" si="7"/>
        <v>45251</v>
      </c>
      <c r="G254" t="s">
        <v>3519</v>
      </c>
    </row>
    <row r="255" spans="1:7">
      <c r="A255">
        <v>45252</v>
      </c>
      <c r="B255">
        <f t="shared" si="6"/>
        <v>46252</v>
      </c>
      <c r="C255">
        <f t="shared" si="7"/>
        <v>45252</v>
      </c>
      <c r="G255" t="s">
        <v>3519</v>
      </c>
    </row>
    <row r="256" spans="1:7">
      <c r="A256">
        <v>45253</v>
      </c>
      <c r="B256">
        <f t="shared" si="6"/>
        <v>46253</v>
      </c>
      <c r="C256">
        <f t="shared" si="7"/>
        <v>45253</v>
      </c>
      <c r="G256" t="s">
        <v>3519</v>
      </c>
    </row>
    <row r="257" spans="1:7">
      <c r="A257">
        <v>45254</v>
      </c>
      <c r="B257">
        <f t="shared" si="6"/>
        <v>46254</v>
      </c>
      <c r="C257">
        <f t="shared" si="7"/>
        <v>45254</v>
      </c>
      <c r="G257" t="s">
        <v>3519</v>
      </c>
    </row>
    <row r="258" spans="1:7">
      <c r="A258">
        <v>45255</v>
      </c>
      <c r="B258">
        <f t="shared" si="6"/>
        <v>46255</v>
      </c>
      <c r="C258">
        <f t="shared" si="7"/>
        <v>45255</v>
      </c>
      <c r="G258" t="s">
        <v>3519</v>
      </c>
    </row>
    <row r="259" spans="1:7">
      <c r="A259">
        <v>45256</v>
      </c>
      <c r="B259">
        <f t="shared" si="6"/>
        <v>46256</v>
      </c>
      <c r="C259">
        <f t="shared" si="7"/>
        <v>45256</v>
      </c>
      <c r="G259" t="s">
        <v>3519</v>
      </c>
    </row>
    <row r="260" spans="1:7">
      <c r="A260">
        <v>45257</v>
      </c>
      <c r="B260">
        <f t="shared" ref="B260:B323" si="8">A260+1000</f>
        <v>46257</v>
      </c>
      <c r="C260">
        <f t="shared" ref="C260:C323" si="9">IF(ISERROR(FIND("Epic",E260)),A260,A260+10000)</f>
        <v>45257</v>
      </c>
      <c r="G260" t="s">
        <v>3519</v>
      </c>
    </row>
    <row r="261" spans="1:7">
      <c r="A261">
        <v>45258</v>
      </c>
      <c r="B261">
        <f t="shared" si="8"/>
        <v>46258</v>
      </c>
      <c r="C261">
        <f t="shared" si="9"/>
        <v>45258</v>
      </c>
      <c r="G261" t="s">
        <v>3519</v>
      </c>
    </row>
    <row r="262" spans="1:7">
      <c r="A262">
        <v>45259</v>
      </c>
      <c r="B262">
        <f t="shared" si="8"/>
        <v>46259</v>
      </c>
      <c r="C262">
        <f t="shared" si="9"/>
        <v>45259</v>
      </c>
      <c r="G262" t="s">
        <v>3519</v>
      </c>
    </row>
    <row r="263" spans="1:7">
      <c r="A263">
        <v>45260</v>
      </c>
      <c r="B263">
        <f t="shared" si="8"/>
        <v>46260</v>
      </c>
      <c r="C263">
        <f t="shared" si="9"/>
        <v>45260</v>
      </c>
      <c r="G263" t="s">
        <v>3519</v>
      </c>
    </row>
    <row r="264" spans="1:7">
      <c r="A264">
        <v>45261</v>
      </c>
      <c r="B264">
        <f t="shared" si="8"/>
        <v>46261</v>
      </c>
      <c r="C264">
        <f t="shared" si="9"/>
        <v>45261</v>
      </c>
      <c r="G264" t="s">
        <v>3519</v>
      </c>
    </row>
    <row r="265" spans="1:7">
      <c r="A265">
        <v>45262</v>
      </c>
      <c r="B265">
        <f t="shared" si="8"/>
        <v>46262</v>
      </c>
      <c r="C265">
        <f t="shared" si="9"/>
        <v>45262</v>
      </c>
      <c r="G265" t="s">
        <v>3519</v>
      </c>
    </row>
    <row r="266" spans="1:7">
      <c r="A266">
        <v>45263</v>
      </c>
      <c r="B266">
        <f t="shared" si="8"/>
        <v>46263</v>
      </c>
      <c r="C266">
        <f t="shared" si="9"/>
        <v>45263</v>
      </c>
      <c r="G266" t="s">
        <v>3519</v>
      </c>
    </row>
    <row r="267" spans="1:7">
      <c r="A267">
        <v>45264</v>
      </c>
      <c r="B267">
        <f t="shared" si="8"/>
        <v>46264</v>
      </c>
      <c r="C267">
        <f t="shared" si="9"/>
        <v>45264</v>
      </c>
      <c r="G267" t="s">
        <v>3519</v>
      </c>
    </row>
    <row r="268" spans="1:7">
      <c r="A268">
        <v>45265</v>
      </c>
      <c r="B268">
        <f t="shared" si="8"/>
        <v>46265</v>
      </c>
      <c r="C268">
        <f t="shared" si="9"/>
        <v>45265</v>
      </c>
      <c r="G268" t="s">
        <v>3519</v>
      </c>
    </row>
    <row r="269" spans="1:7">
      <c r="A269">
        <v>45266</v>
      </c>
      <c r="B269">
        <f t="shared" si="8"/>
        <v>46266</v>
      </c>
      <c r="C269">
        <f t="shared" si="9"/>
        <v>45266</v>
      </c>
      <c r="G269" t="s">
        <v>3519</v>
      </c>
    </row>
    <row r="270" spans="1:7">
      <c r="A270">
        <v>45267</v>
      </c>
      <c r="B270">
        <f t="shared" si="8"/>
        <v>46267</v>
      </c>
      <c r="C270">
        <f t="shared" si="9"/>
        <v>45267</v>
      </c>
      <c r="G270" t="s">
        <v>3519</v>
      </c>
    </row>
    <row r="271" spans="1:7">
      <c r="A271">
        <v>45268</v>
      </c>
      <c r="B271">
        <f t="shared" si="8"/>
        <v>46268</v>
      </c>
      <c r="C271">
        <f t="shared" si="9"/>
        <v>45268</v>
      </c>
      <c r="G271" t="s">
        <v>3519</v>
      </c>
    </row>
    <row r="272" spans="1:7">
      <c r="A272">
        <v>45269</v>
      </c>
      <c r="B272">
        <f t="shared" si="8"/>
        <v>46269</v>
      </c>
      <c r="C272">
        <f t="shared" si="9"/>
        <v>45269</v>
      </c>
      <c r="G272" t="s">
        <v>3519</v>
      </c>
    </row>
    <row r="273" spans="1:7">
      <c r="A273">
        <v>45270</v>
      </c>
      <c r="B273">
        <f t="shared" si="8"/>
        <v>46270</v>
      </c>
      <c r="C273">
        <f t="shared" si="9"/>
        <v>45270</v>
      </c>
      <c r="G273" t="s">
        <v>3519</v>
      </c>
    </row>
    <row r="274" spans="1:7">
      <c r="A274">
        <v>45271</v>
      </c>
      <c r="B274">
        <f t="shared" si="8"/>
        <v>46271</v>
      </c>
      <c r="C274">
        <f t="shared" si="9"/>
        <v>45271</v>
      </c>
      <c r="G274" t="s">
        <v>3519</v>
      </c>
    </row>
    <row r="275" spans="1:7">
      <c r="A275">
        <v>45272</v>
      </c>
      <c r="B275">
        <f t="shared" si="8"/>
        <v>46272</v>
      </c>
      <c r="C275">
        <f t="shared" si="9"/>
        <v>45272</v>
      </c>
      <c r="G275" t="s">
        <v>3519</v>
      </c>
    </row>
    <row r="276" spans="1:7">
      <c r="A276">
        <v>45273</v>
      </c>
      <c r="B276">
        <f t="shared" si="8"/>
        <v>46273</v>
      </c>
      <c r="C276">
        <f t="shared" si="9"/>
        <v>45273</v>
      </c>
      <c r="G276" t="s">
        <v>3519</v>
      </c>
    </row>
    <row r="277" spans="1:7">
      <c r="A277">
        <v>45274</v>
      </c>
      <c r="B277">
        <f t="shared" si="8"/>
        <v>46274</v>
      </c>
      <c r="C277">
        <f t="shared" si="9"/>
        <v>45274</v>
      </c>
      <c r="G277" t="s">
        <v>3519</v>
      </c>
    </row>
    <row r="278" spans="1:7">
      <c r="A278">
        <v>45275</v>
      </c>
      <c r="B278">
        <f t="shared" si="8"/>
        <v>46275</v>
      </c>
      <c r="C278">
        <f t="shared" si="9"/>
        <v>45275</v>
      </c>
      <c r="G278" t="s">
        <v>3519</v>
      </c>
    </row>
    <row r="279" spans="1:7">
      <c r="A279">
        <v>45276</v>
      </c>
      <c r="B279">
        <f t="shared" si="8"/>
        <v>46276</v>
      </c>
      <c r="C279">
        <f t="shared" si="9"/>
        <v>45276</v>
      </c>
      <c r="G279" t="s">
        <v>3519</v>
      </c>
    </row>
    <row r="280" spans="1:7">
      <c r="A280">
        <v>45277</v>
      </c>
      <c r="B280">
        <f t="shared" si="8"/>
        <v>46277</v>
      </c>
      <c r="C280">
        <f t="shared" si="9"/>
        <v>45277</v>
      </c>
      <c r="G280" t="s">
        <v>3519</v>
      </c>
    </row>
    <row r="281" spans="1:7">
      <c r="A281">
        <v>45278</v>
      </c>
      <c r="B281">
        <f t="shared" si="8"/>
        <v>46278</v>
      </c>
      <c r="C281">
        <f t="shared" si="9"/>
        <v>45278</v>
      </c>
      <c r="G281" t="s">
        <v>3519</v>
      </c>
    </row>
    <row r="282" spans="1:7">
      <c r="A282">
        <v>45279</v>
      </c>
      <c r="B282">
        <f t="shared" si="8"/>
        <v>46279</v>
      </c>
      <c r="C282">
        <f t="shared" si="9"/>
        <v>45279</v>
      </c>
      <c r="G282" t="s">
        <v>3519</v>
      </c>
    </row>
    <row r="283" spans="1:7">
      <c r="A283">
        <v>45280</v>
      </c>
      <c r="B283">
        <f t="shared" si="8"/>
        <v>46280</v>
      </c>
      <c r="C283">
        <f t="shared" si="9"/>
        <v>45280</v>
      </c>
      <c r="G283" t="s">
        <v>3519</v>
      </c>
    </row>
    <row r="284" spans="1:7">
      <c r="A284">
        <v>45281</v>
      </c>
      <c r="B284">
        <f t="shared" si="8"/>
        <v>46281</v>
      </c>
      <c r="C284">
        <f t="shared" si="9"/>
        <v>45281</v>
      </c>
      <c r="G284" t="s">
        <v>3519</v>
      </c>
    </row>
    <row r="285" spans="1:7">
      <c r="A285">
        <v>45282</v>
      </c>
      <c r="B285">
        <f t="shared" si="8"/>
        <v>46282</v>
      </c>
      <c r="C285">
        <f t="shared" si="9"/>
        <v>45282</v>
      </c>
      <c r="G285" t="s">
        <v>3519</v>
      </c>
    </row>
    <row r="286" spans="1:7">
      <c r="A286">
        <v>45283</v>
      </c>
      <c r="B286">
        <f t="shared" si="8"/>
        <v>46283</v>
      </c>
      <c r="C286">
        <f t="shared" si="9"/>
        <v>45283</v>
      </c>
      <c r="G286" t="s">
        <v>3519</v>
      </c>
    </row>
    <row r="287" spans="1:7">
      <c r="A287">
        <v>45284</v>
      </c>
      <c r="B287">
        <f t="shared" si="8"/>
        <v>46284</v>
      </c>
      <c r="C287">
        <f t="shared" si="9"/>
        <v>45284</v>
      </c>
      <c r="G287" t="s">
        <v>3519</v>
      </c>
    </row>
    <row r="288" spans="1:7">
      <c r="A288">
        <v>45285</v>
      </c>
      <c r="B288">
        <f t="shared" si="8"/>
        <v>46285</v>
      </c>
      <c r="C288">
        <f t="shared" si="9"/>
        <v>45285</v>
      </c>
      <c r="G288" t="s">
        <v>3519</v>
      </c>
    </row>
    <row r="289" spans="1:7">
      <c r="A289">
        <v>45286</v>
      </c>
      <c r="B289">
        <f t="shared" si="8"/>
        <v>46286</v>
      </c>
      <c r="C289">
        <f t="shared" si="9"/>
        <v>45286</v>
      </c>
      <c r="G289" t="s">
        <v>3519</v>
      </c>
    </row>
    <row r="290" spans="1:7">
      <c r="A290">
        <v>45287</v>
      </c>
      <c r="B290">
        <f t="shared" si="8"/>
        <v>46287</v>
      </c>
      <c r="C290">
        <f t="shared" si="9"/>
        <v>45287</v>
      </c>
      <c r="G290" t="s">
        <v>3519</v>
      </c>
    </row>
    <row r="291" spans="1:7">
      <c r="A291">
        <v>45288</v>
      </c>
      <c r="B291">
        <f t="shared" si="8"/>
        <v>46288</v>
      </c>
      <c r="C291">
        <f t="shared" si="9"/>
        <v>45288</v>
      </c>
      <c r="G291" t="s">
        <v>3519</v>
      </c>
    </row>
    <row r="292" spans="1:7">
      <c r="A292">
        <v>45289</v>
      </c>
      <c r="B292">
        <f t="shared" si="8"/>
        <v>46289</v>
      </c>
      <c r="C292">
        <f t="shared" si="9"/>
        <v>45289</v>
      </c>
      <c r="G292" t="s">
        <v>3519</v>
      </c>
    </row>
    <row r="293" spans="1:7">
      <c r="A293">
        <v>45290</v>
      </c>
      <c r="B293">
        <f t="shared" si="8"/>
        <v>46290</v>
      </c>
      <c r="C293">
        <f t="shared" si="9"/>
        <v>45290</v>
      </c>
      <c r="G293" t="s">
        <v>3519</v>
      </c>
    </row>
    <row r="294" spans="1:7">
      <c r="A294">
        <v>45291</v>
      </c>
      <c r="B294">
        <f t="shared" si="8"/>
        <v>46291</v>
      </c>
      <c r="C294">
        <f t="shared" si="9"/>
        <v>45291</v>
      </c>
      <c r="G294" t="s">
        <v>3519</v>
      </c>
    </row>
    <row r="295" spans="1:7">
      <c r="A295">
        <v>45292</v>
      </c>
      <c r="B295">
        <f t="shared" si="8"/>
        <v>46292</v>
      </c>
      <c r="C295">
        <f t="shared" si="9"/>
        <v>45292</v>
      </c>
      <c r="G295" t="s">
        <v>3519</v>
      </c>
    </row>
    <row r="296" spans="1:7">
      <c r="A296">
        <v>45293</v>
      </c>
      <c r="B296">
        <f t="shared" si="8"/>
        <v>46293</v>
      </c>
      <c r="C296">
        <f t="shared" si="9"/>
        <v>45293</v>
      </c>
      <c r="G296" t="s">
        <v>3519</v>
      </c>
    </row>
    <row r="297" spans="1:7">
      <c r="A297">
        <v>45294</v>
      </c>
      <c r="B297">
        <f t="shared" si="8"/>
        <v>46294</v>
      </c>
      <c r="C297">
        <f t="shared" si="9"/>
        <v>45294</v>
      </c>
      <c r="G297" t="s">
        <v>3519</v>
      </c>
    </row>
    <row r="298" spans="1:7">
      <c r="A298">
        <v>45295</v>
      </c>
      <c r="B298">
        <f t="shared" si="8"/>
        <v>46295</v>
      </c>
      <c r="C298">
        <f t="shared" si="9"/>
        <v>45295</v>
      </c>
      <c r="G298" t="s">
        <v>3519</v>
      </c>
    </row>
    <row r="299" spans="1:7">
      <c r="A299">
        <v>45296</v>
      </c>
      <c r="B299">
        <f t="shared" si="8"/>
        <v>46296</v>
      </c>
      <c r="C299">
        <f t="shared" si="9"/>
        <v>45296</v>
      </c>
      <c r="G299" t="s">
        <v>3519</v>
      </c>
    </row>
    <row r="300" spans="1:7">
      <c r="A300">
        <v>45297</v>
      </c>
      <c r="B300">
        <f t="shared" si="8"/>
        <v>46297</v>
      </c>
      <c r="C300">
        <f t="shared" si="9"/>
        <v>45297</v>
      </c>
      <c r="G300" t="s">
        <v>3519</v>
      </c>
    </row>
    <row r="301" spans="1:7">
      <c r="A301">
        <v>45298</v>
      </c>
      <c r="B301">
        <f t="shared" si="8"/>
        <v>46298</v>
      </c>
      <c r="C301">
        <f t="shared" si="9"/>
        <v>45298</v>
      </c>
      <c r="G301" t="s">
        <v>3519</v>
      </c>
    </row>
    <row r="302" spans="1:7">
      <c r="A302">
        <v>45299</v>
      </c>
      <c r="B302">
        <f t="shared" si="8"/>
        <v>46299</v>
      </c>
      <c r="C302">
        <f t="shared" si="9"/>
        <v>45299</v>
      </c>
      <c r="G302" t="s">
        <v>3519</v>
      </c>
    </row>
    <row r="303" spans="1:7">
      <c r="A303">
        <v>45300</v>
      </c>
      <c r="B303">
        <f t="shared" si="8"/>
        <v>46300</v>
      </c>
      <c r="C303">
        <f t="shared" si="9"/>
        <v>45300</v>
      </c>
      <c r="G303" t="s">
        <v>3519</v>
      </c>
    </row>
    <row r="304" spans="1:7">
      <c r="A304">
        <v>45301</v>
      </c>
      <c r="B304">
        <f t="shared" si="8"/>
        <v>46301</v>
      </c>
      <c r="C304">
        <f t="shared" si="9"/>
        <v>45301</v>
      </c>
      <c r="G304" t="s">
        <v>3519</v>
      </c>
    </row>
    <row r="305" spans="1:7">
      <c r="A305">
        <v>45302</v>
      </c>
      <c r="B305">
        <f t="shared" si="8"/>
        <v>46302</v>
      </c>
      <c r="C305">
        <f t="shared" si="9"/>
        <v>45302</v>
      </c>
      <c r="G305" t="s">
        <v>3519</v>
      </c>
    </row>
    <row r="306" spans="1:7">
      <c r="A306">
        <v>45303</v>
      </c>
      <c r="B306">
        <f t="shared" si="8"/>
        <v>46303</v>
      </c>
      <c r="C306">
        <f t="shared" si="9"/>
        <v>45303</v>
      </c>
      <c r="G306" t="s">
        <v>3519</v>
      </c>
    </row>
    <row r="307" spans="1:7">
      <c r="A307">
        <v>45304</v>
      </c>
      <c r="B307">
        <f t="shared" si="8"/>
        <v>46304</v>
      </c>
      <c r="C307">
        <f t="shared" si="9"/>
        <v>45304</v>
      </c>
      <c r="G307" t="s">
        <v>3519</v>
      </c>
    </row>
    <row r="308" spans="1:7">
      <c r="A308">
        <v>45305</v>
      </c>
      <c r="B308">
        <f t="shared" si="8"/>
        <v>46305</v>
      </c>
      <c r="C308">
        <f t="shared" si="9"/>
        <v>45305</v>
      </c>
      <c r="G308" t="s">
        <v>3519</v>
      </c>
    </row>
    <row r="309" spans="1:7">
      <c r="A309">
        <v>45306</v>
      </c>
      <c r="B309">
        <f t="shared" si="8"/>
        <v>46306</v>
      </c>
      <c r="C309">
        <f t="shared" si="9"/>
        <v>45306</v>
      </c>
      <c r="G309" t="s">
        <v>3519</v>
      </c>
    </row>
    <row r="310" spans="1:7">
      <c r="A310">
        <v>45307</v>
      </c>
      <c r="B310">
        <f t="shared" si="8"/>
        <v>46307</v>
      </c>
      <c r="C310">
        <f t="shared" si="9"/>
        <v>45307</v>
      </c>
      <c r="G310" t="s">
        <v>3519</v>
      </c>
    </row>
    <row r="311" spans="1:7">
      <c r="A311">
        <v>45308</v>
      </c>
      <c r="B311">
        <f t="shared" si="8"/>
        <v>46308</v>
      </c>
      <c r="C311">
        <f t="shared" si="9"/>
        <v>45308</v>
      </c>
      <c r="G311" t="s">
        <v>3519</v>
      </c>
    </row>
    <row r="312" spans="1:7">
      <c r="A312">
        <v>45309</v>
      </c>
      <c r="B312">
        <f t="shared" si="8"/>
        <v>46309</v>
      </c>
      <c r="C312">
        <f t="shared" si="9"/>
        <v>45309</v>
      </c>
      <c r="G312" t="s">
        <v>3519</v>
      </c>
    </row>
    <row r="313" spans="1:7">
      <c r="A313">
        <v>45310</v>
      </c>
      <c r="B313">
        <f t="shared" si="8"/>
        <v>46310</v>
      </c>
      <c r="C313">
        <f t="shared" si="9"/>
        <v>45310</v>
      </c>
      <c r="G313" t="s">
        <v>3519</v>
      </c>
    </row>
    <row r="314" spans="1:7">
      <c r="A314">
        <v>45311</v>
      </c>
      <c r="B314">
        <f t="shared" si="8"/>
        <v>46311</v>
      </c>
      <c r="C314">
        <f t="shared" si="9"/>
        <v>45311</v>
      </c>
      <c r="G314" t="s">
        <v>3519</v>
      </c>
    </row>
    <row r="315" spans="1:7">
      <c r="A315">
        <v>45312</v>
      </c>
      <c r="B315">
        <f t="shared" si="8"/>
        <v>46312</v>
      </c>
      <c r="C315">
        <f t="shared" si="9"/>
        <v>45312</v>
      </c>
      <c r="G315" t="s">
        <v>3519</v>
      </c>
    </row>
    <row r="316" spans="1:7">
      <c r="A316">
        <v>45313</v>
      </c>
      <c r="B316">
        <f t="shared" si="8"/>
        <v>46313</v>
      </c>
      <c r="C316">
        <f t="shared" si="9"/>
        <v>45313</v>
      </c>
      <c r="G316" t="s">
        <v>3519</v>
      </c>
    </row>
    <row r="317" spans="1:7">
      <c r="A317">
        <v>45314</v>
      </c>
      <c r="B317">
        <f t="shared" si="8"/>
        <v>46314</v>
      </c>
      <c r="C317">
        <f t="shared" si="9"/>
        <v>45314</v>
      </c>
      <c r="G317" t="s">
        <v>3519</v>
      </c>
    </row>
    <row r="318" spans="1:7">
      <c r="A318">
        <v>45315</v>
      </c>
      <c r="B318">
        <f t="shared" si="8"/>
        <v>46315</v>
      </c>
      <c r="C318">
        <f t="shared" si="9"/>
        <v>45315</v>
      </c>
      <c r="G318" t="s">
        <v>3519</v>
      </c>
    </row>
    <row r="319" spans="1:7">
      <c r="A319">
        <v>45316</v>
      </c>
      <c r="B319">
        <f t="shared" si="8"/>
        <v>46316</v>
      </c>
      <c r="C319">
        <f t="shared" si="9"/>
        <v>45316</v>
      </c>
      <c r="G319" t="s">
        <v>3519</v>
      </c>
    </row>
    <row r="320" spans="1:7">
      <c r="A320">
        <v>45317</v>
      </c>
      <c r="B320">
        <f t="shared" si="8"/>
        <v>46317</v>
      </c>
      <c r="C320">
        <f t="shared" si="9"/>
        <v>45317</v>
      </c>
      <c r="G320" t="s">
        <v>3519</v>
      </c>
    </row>
    <row r="321" spans="1:7">
      <c r="A321">
        <v>45318</v>
      </c>
      <c r="B321">
        <f t="shared" si="8"/>
        <v>46318</v>
      </c>
      <c r="C321">
        <f t="shared" si="9"/>
        <v>45318</v>
      </c>
      <c r="G321" t="s">
        <v>3519</v>
      </c>
    </row>
    <row r="322" spans="1:7">
      <c r="A322">
        <v>45319</v>
      </c>
      <c r="B322">
        <f t="shared" si="8"/>
        <v>46319</v>
      </c>
      <c r="C322">
        <f t="shared" si="9"/>
        <v>45319</v>
      </c>
      <c r="G322" t="s">
        <v>3519</v>
      </c>
    </row>
    <row r="323" spans="1:7">
      <c r="A323">
        <v>45320</v>
      </c>
      <c r="B323">
        <f t="shared" si="8"/>
        <v>46320</v>
      </c>
      <c r="C323">
        <f t="shared" si="9"/>
        <v>45320</v>
      </c>
      <c r="G323" t="s">
        <v>3519</v>
      </c>
    </row>
    <row r="324" spans="1:7">
      <c r="A324">
        <v>45321</v>
      </c>
      <c r="B324">
        <f t="shared" ref="B324:B387" si="10">A324+1000</f>
        <v>46321</v>
      </c>
      <c r="C324">
        <f t="shared" ref="C324:C387" si="11">IF(ISERROR(FIND("Epic",E324)),A324,A324+10000)</f>
        <v>45321</v>
      </c>
      <c r="G324" t="s">
        <v>3519</v>
      </c>
    </row>
    <row r="325" spans="1:7">
      <c r="A325">
        <v>45322</v>
      </c>
      <c r="B325">
        <f t="shared" si="10"/>
        <v>46322</v>
      </c>
      <c r="C325">
        <f t="shared" si="11"/>
        <v>45322</v>
      </c>
      <c r="G325" t="s">
        <v>3519</v>
      </c>
    </row>
    <row r="326" spans="1:7">
      <c r="A326">
        <v>45323</v>
      </c>
      <c r="B326">
        <f t="shared" si="10"/>
        <v>46323</v>
      </c>
      <c r="C326">
        <f t="shared" si="11"/>
        <v>45323</v>
      </c>
      <c r="G326" t="s">
        <v>3519</v>
      </c>
    </row>
    <row r="327" spans="1:7">
      <c r="A327">
        <v>45324</v>
      </c>
      <c r="B327">
        <f t="shared" si="10"/>
        <v>46324</v>
      </c>
      <c r="C327">
        <f t="shared" si="11"/>
        <v>45324</v>
      </c>
      <c r="G327" t="s">
        <v>3519</v>
      </c>
    </row>
    <row r="328" spans="1:7">
      <c r="A328">
        <v>45325</v>
      </c>
      <c r="B328">
        <f t="shared" si="10"/>
        <v>46325</v>
      </c>
      <c r="C328">
        <f t="shared" si="11"/>
        <v>45325</v>
      </c>
      <c r="G328" t="s">
        <v>3519</v>
      </c>
    </row>
    <row r="329" spans="1:7">
      <c r="A329">
        <v>45326</v>
      </c>
      <c r="B329">
        <f t="shared" si="10"/>
        <v>46326</v>
      </c>
      <c r="C329">
        <f t="shared" si="11"/>
        <v>45326</v>
      </c>
      <c r="G329" t="s">
        <v>3519</v>
      </c>
    </row>
    <row r="330" spans="1:7">
      <c r="A330">
        <v>45327</v>
      </c>
      <c r="B330">
        <f t="shared" si="10"/>
        <v>46327</v>
      </c>
      <c r="C330">
        <f t="shared" si="11"/>
        <v>45327</v>
      </c>
      <c r="G330" t="s">
        <v>3519</v>
      </c>
    </row>
    <row r="331" spans="1:7">
      <c r="A331">
        <v>45328</v>
      </c>
      <c r="B331">
        <f t="shared" si="10"/>
        <v>46328</v>
      </c>
      <c r="C331">
        <f t="shared" si="11"/>
        <v>45328</v>
      </c>
      <c r="G331" t="s">
        <v>3519</v>
      </c>
    </row>
    <row r="332" spans="1:7">
      <c r="A332">
        <v>45329</v>
      </c>
      <c r="B332">
        <f t="shared" si="10"/>
        <v>46329</v>
      </c>
      <c r="C332">
        <f t="shared" si="11"/>
        <v>45329</v>
      </c>
      <c r="G332" t="s">
        <v>3519</v>
      </c>
    </row>
    <row r="333" spans="1:7">
      <c r="A333">
        <v>45330</v>
      </c>
      <c r="B333">
        <f t="shared" si="10"/>
        <v>46330</v>
      </c>
      <c r="C333">
        <f t="shared" si="11"/>
        <v>45330</v>
      </c>
      <c r="G333" t="s">
        <v>3519</v>
      </c>
    </row>
    <row r="334" spans="1:7">
      <c r="A334">
        <v>45331</v>
      </c>
      <c r="B334">
        <f t="shared" si="10"/>
        <v>46331</v>
      </c>
      <c r="C334">
        <f t="shared" si="11"/>
        <v>45331</v>
      </c>
      <c r="G334" t="s">
        <v>3519</v>
      </c>
    </row>
    <row r="335" spans="1:7">
      <c r="A335">
        <v>45332</v>
      </c>
      <c r="B335">
        <f t="shared" si="10"/>
        <v>46332</v>
      </c>
      <c r="C335">
        <f t="shared" si="11"/>
        <v>45332</v>
      </c>
      <c r="G335" t="s">
        <v>3519</v>
      </c>
    </row>
    <row r="336" spans="1:7">
      <c r="A336">
        <v>45333</v>
      </c>
      <c r="B336">
        <f t="shared" si="10"/>
        <v>46333</v>
      </c>
      <c r="C336">
        <f t="shared" si="11"/>
        <v>45333</v>
      </c>
      <c r="G336" t="s">
        <v>3519</v>
      </c>
    </row>
    <row r="337" spans="1:7">
      <c r="A337">
        <v>45334</v>
      </c>
      <c r="B337">
        <f t="shared" si="10"/>
        <v>46334</v>
      </c>
      <c r="C337">
        <f t="shared" si="11"/>
        <v>45334</v>
      </c>
      <c r="G337" t="s">
        <v>3519</v>
      </c>
    </row>
    <row r="338" spans="1:7">
      <c r="A338">
        <v>45335</v>
      </c>
      <c r="B338">
        <f t="shared" si="10"/>
        <v>46335</v>
      </c>
      <c r="C338">
        <f t="shared" si="11"/>
        <v>45335</v>
      </c>
      <c r="G338" t="s">
        <v>3519</v>
      </c>
    </row>
    <row r="339" spans="1:7">
      <c r="A339">
        <v>45336</v>
      </c>
      <c r="B339">
        <f t="shared" si="10"/>
        <v>46336</v>
      </c>
      <c r="C339">
        <f t="shared" si="11"/>
        <v>45336</v>
      </c>
      <c r="G339" t="s">
        <v>3519</v>
      </c>
    </row>
    <row r="340" spans="1:7">
      <c r="A340">
        <v>45337</v>
      </c>
      <c r="B340">
        <f t="shared" si="10"/>
        <v>46337</v>
      </c>
      <c r="C340">
        <f t="shared" si="11"/>
        <v>45337</v>
      </c>
      <c r="G340" t="s">
        <v>3519</v>
      </c>
    </row>
    <row r="341" spans="1:7">
      <c r="A341">
        <v>45338</v>
      </c>
      <c r="B341">
        <f t="shared" si="10"/>
        <v>46338</v>
      </c>
      <c r="C341">
        <f t="shared" si="11"/>
        <v>45338</v>
      </c>
      <c r="G341" t="s">
        <v>3519</v>
      </c>
    </row>
    <row r="342" spans="1:7">
      <c r="A342">
        <v>45339</v>
      </c>
      <c r="B342">
        <f t="shared" si="10"/>
        <v>46339</v>
      </c>
      <c r="C342">
        <f t="shared" si="11"/>
        <v>45339</v>
      </c>
      <c r="G342" t="s">
        <v>3519</v>
      </c>
    </row>
    <row r="343" spans="1:7">
      <c r="A343">
        <v>45340</v>
      </c>
      <c r="B343">
        <f t="shared" si="10"/>
        <v>46340</v>
      </c>
      <c r="C343">
        <f t="shared" si="11"/>
        <v>45340</v>
      </c>
      <c r="G343" t="s">
        <v>3519</v>
      </c>
    </row>
    <row r="344" spans="1:7">
      <c r="A344">
        <v>45341</v>
      </c>
      <c r="B344">
        <f t="shared" si="10"/>
        <v>46341</v>
      </c>
      <c r="C344">
        <f t="shared" si="11"/>
        <v>45341</v>
      </c>
      <c r="G344" t="s">
        <v>3519</v>
      </c>
    </row>
    <row r="345" spans="1:7">
      <c r="A345">
        <v>45342</v>
      </c>
      <c r="B345">
        <f t="shared" si="10"/>
        <v>46342</v>
      </c>
      <c r="C345">
        <f t="shared" si="11"/>
        <v>45342</v>
      </c>
      <c r="G345" t="s">
        <v>3519</v>
      </c>
    </row>
    <row r="346" spans="1:7">
      <c r="A346">
        <v>45343</v>
      </c>
      <c r="B346">
        <f t="shared" si="10"/>
        <v>46343</v>
      </c>
      <c r="C346">
        <f t="shared" si="11"/>
        <v>45343</v>
      </c>
      <c r="G346" t="s">
        <v>3519</v>
      </c>
    </row>
    <row r="347" spans="1:7">
      <c r="A347">
        <v>45344</v>
      </c>
      <c r="B347">
        <f t="shared" si="10"/>
        <v>46344</v>
      </c>
      <c r="C347">
        <f t="shared" si="11"/>
        <v>45344</v>
      </c>
      <c r="G347" t="s">
        <v>3519</v>
      </c>
    </row>
    <row r="348" spans="1:7">
      <c r="A348">
        <v>45345</v>
      </c>
      <c r="B348">
        <f t="shared" si="10"/>
        <v>46345</v>
      </c>
      <c r="C348">
        <f t="shared" si="11"/>
        <v>45345</v>
      </c>
      <c r="G348" t="s">
        <v>3519</v>
      </c>
    </row>
    <row r="349" spans="1:7">
      <c r="A349">
        <v>45346</v>
      </c>
      <c r="B349">
        <f t="shared" si="10"/>
        <v>46346</v>
      </c>
      <c r="C349">
        <f t="shared" si="11"/>
        <v>45346</v>
      </c>
      <c r="G349" t="s">
        <v>3519</v>
      </c>
    </row>
    <row r="350" spans="1:7">
      <c r="A350">
        <v>45347</v>
      </c>
      <c r="B350">
        <f t="shared" si="10"/>
        <v>46347</v>
      </c>
      <c r="C350">
        <f t="shared" si="11"/>
        <v>45347</v>
      </c>
      <c r="G350" t="s">
        <v>3519</v>
      </c>
    </row>
    <row r="351" spans="1:7">
      <c r="A351">
        <v>45348</v>
      </c>
      <c r="B351">
        <f t="shared" si="10"/>
        <v>46348</v>
      </c>
      <c r="C351">
        <f t="shared" si="11"/>
        <v>45348</v>
      </c>
      <c r="G351" t="s">
        <v>3519</v>
      </c>
    </row>
    <row r="352" spans="1:7">
      <c r="A352">
        <v>45349</v>
      </c>
      <c r="B352">
        <f t="shared" si="10"/>
        <v>46349</v>
      </c>
      <c r="C352">
        <f t="shared" si="11"/>
        <v>45349</v>
      </c>
      <c r="G352" t="s">
        <v>3519</v>
      </c>
    </row>
    <row r="353" spans="1:7">
      <c r="A353">
        <v>45350</v>
      </c>
      <c r="B353">
        <f t="shared" si="10"/>
        <v>46350</v>
      </c>
      <c r="C353">
        <f t="shared" si="11"/>
        <v>45350</v>
      </c>
      <c r="G353" t="s">
        <v>3519</v>
      </c>
    </row>
    <row r="354" spans="1:7">
      <c r="A354">
        <v>45351</v>
      </c>
      <c r="B354">
        <f t="shared" si="10"/>
        <v>46351</v>
      </c>
      <c r="C354">
        <f t="shared" si="11"/>
        <v>45351</v>
      </c>
      <c r="G354" t="s">
        <v>3519</v>
      </c>
    </row>
    <row r="355" spans="1:7">
      <c r="A355">
        <v>45352</v>
      </c>
      <c r="B355">
        <f t="shared" si="10"/>
        <v>46352</v>
      </c>
      <c r="C355">
        <f t="shared" si="11"/>
        <v>45352</v>
      </c>
      <c r="G355" t="s">
        <v>3519</v>
      </c>
    </row>
    <row r="356" spans="1:7">
      <c r="A356">
        <v>45353</v>
      </c>
      <c r="B356">
        <f t="shared" si="10"/>
        <v>46353</v>
      </c>
      <c r="C356">
        <f t="shared" si="11"/>
        <v>45353</v>
      </c>
      <c r="G356" t="s">
        <v>3519</v>
      </c>
    </row>
    <row r="357" spans="1:7">
      <c r="A357">
        <v>45354</v>
      </c>
      <c r="B357">
        <f t="shared" si="10"/>
        <v>46354</v>
      </c>
      <c r="C357">
        <f t="shared" si="11"/>
        <v>45354</v>
      </c>
      <c r="G357" t="s">
        <v>3519</v>
      </c>
    </row>
    <row r="358" spans="1:7">
      <c r="A358">
        <v>45355</v>
      </c>
      <c r="B358">
        <f t="shared" si="10"/>
        <v>46355</v>
      </c>
      <c r="C358">
        <f t="shared" si="11"/>
        <v>45355</v>
      </c>
      <c r="G358" t="s">
        <v>3519</v>
      </c>
    </row>
    <row r="359" spans="1:7">
      <c r="A359">
        <v>45356</v>
      </c>
      <c r="B359">
        <f t="shared" si="10"/>
        <v>46356</v>
      </c>
      <c r="C359">
        <f t="shared" si="11"/>
        <v>45356</v>
      </c>
      <c r="G359" t="s">
        <v>3519</v>
      </c>
    </row>
    <row r="360" spans="1:7">
      <c r="A360">
        <v>45357</v>
      </c>
      <c r="B360">
        <f t="shared" si="10"/>
        <v>46357</v>
      </c>
      <c r="C360">
        <f t="shared" si="11"/>
        <v>45357</v>
      </c>
      <c r="G360" t="s">
        <v>3519</v>
      </c>
    </row>
    <row r="361" spans="1:7">
      <c r="A361">
        <v>45358</v>
      </c>
      <c r="B361">
        <f t="shared" si="10"/>
        <v>46358</v>
      </c>
      <c r="C361">
        <f t="shared" si="11"/>
        <v>45358</v>
      </c>
      <c r="G361" t="s">
        <v>3519</v>
      </c>
    </row>
    <row r="362" spans="1:7">
      <c r="A362">
        <v>45359</v>
      </c>
      <c r="B362">
        <f t="shared" si="10"/>
        <v>46359</v>
      </c>
      <c r="C362">
        <f t="shared" si="11"/>
        <v>45359</v>
      </c>
      <c r="G362" t="s">
        <v>3519</v>
      </c>
    </row>
    <row r="363" spans="1:7">
      <c r="A363">
        <v>45360</v>
      </c>
      <c r="B363">
        <f t="shared" si="10"/>
        <v>46360</v>
      </c>
      <c r="C363">
        <f t="shared" si="11"/>
        <v>45360</v>
      </c>
      <c r="G363" t="s">
        <v>3519</v>
      </c>
    </row>
    <row r="364" spans="1:7">
      <c r="A364">
        <v>45361</v>
      </c>
      <c r="B364">
        <f t="shared" si="10"/>
        <v>46361</v>
      </c>
      <c r="C364">
        <f t="shared" si="11"/>
        <v>45361</v>
      </c>
      <c r="G364" t="s">
        <v>3519</v>
      </c>
    </row>
    <row r="365" spans="1:7">
      <c r="A365">
        <v>45362</v>
      </c>
      <c r="B365">
        <f t="shared" si="10"/>
        <v>46362</v>
      </c>
      <c r="C365">
        <f t="shared" si="11"/>
        <v>45362</v>
      </c>
      <c r="G365" t="s">
        <v>3519</v>
      </c>
    </row>
    <row r="366" spans="1:7">
      <c r="A366">
        <v>45363</v>
      </c>
      <c r="B366">
        <f t="shared" si="10"/>
        <v>46363</v>
      </c>
      <c r="C366">
        <f t="shared" si="11"/>
        <v>45363</v>
      </c>
      <c r="G366" t="s">
        <v>3519</v>
      </c>
    </row>
    <row r="367" spans="1:7">
      <c r="A367">
        <v>45364</v>
      </c>
      <c r="B367">
        <f t="shared" si="10"/>
        <v>46364</v>
      </c>
      <c r="C367">
        <f t="shared" si="11"/>
        <v>45364</v>
      </c>
      <c r="G367" t="s">
        <v>3519</v>
      </c>
    </row>
    <row r="368" spans="1:7">
      <c r="A368">
        <v>45365</v>
      </c>
      <c r="B368">
        <f t="shared" si="10"/>
        <v>46365</v>
      </c>
      <c r="C368">
        <f t="shared" si="11"/>
        <v>45365</v>
      </c>
      <c r="G368" t="s">
        <v>3519</v>
      </c>
    </row>
    <row r="369" spans="1:7">
      <c r="A369">
        <v>45366</v>
      </c>
      <c r="B369">
        <f t="shared" si="10"/>
        <v>46366</v>
      </c>
      <c r="C369">
        <f t="shared" si="11"/>
        <v>45366</v>
      </c>
      <c r="G369" t="s">
        <v>3519</v>
      </c>
    </row>
    <row r="370" spans="1:7">
      <c r="A370">
        <v>45367</v>
      </c>
      <c r="B370">
        <f t="shared" si="10"/>
        <v>46367</v>
      </c>
      <c r="C370">
        <f t="shared" si="11"/>
        <v>45367</v>
      </c>
      <c r="G370" t="s">
        <v>3519</v>
      </c>
    </row>
    <row r="371" spans="1:7">
      <c r="A371">
        <v>45368</v>
      </c>
      <c r="B371">
        <f t="shared" si="10"/>
        <v>46368</v>
      </c>
      <c r="C371">
        <f t="shared" si="11"/>
        <v>45368</v>
      </c>
      <c r="G371" t="s">
        <v>3519</v>
      </c>
    </row>
    <row r="372" spans="1:7">
      <c r="A372">
        <v>45369</v>
      </c>
      <c r="B372">
        <f t="shared" si="10"/>
        <v>46369</v>
      </c>
      <c r="C372">
        <f t="shared" si="11"/>
        <v>45369</v>
      </c>
      <c r="G372" t="s">
        <v>3519</v>
      </c>
    </row>
    <row r="373" spans="1:7">
      <c r="A373">
        <v>45370</v>
      </c>
      <c r="B373">
        <f t="shared" si="10"/>
        <v>46370</v>
      </c>
      <c r="C373">
        <f t="shared" si="11"/>
        <v>45370</v>
      </c>
      <c r="G373" t="s">
        <v>3519</v>
      </c>
    </row>
    <row r="374" spans="1:7">
      <c r="A374">
        <v>45371</v>
      </c>
      <c r="B374">
        <f t="shared" si="10"/>
        <v>46371</v>
      </c>
      <c r="C374">
        <f t="shared" si="11"/>
        <v>45371</v>
      </c>
      <c r="G374" t="s">
        <v>3519</v>
      </c>
    </row>
    <row r="375" spans="1:7">
      <c r="A375">
        <v>45372</v>
      </c>
      <c r="B375">
        <f t="shared" si="10"/>
        <v>46372</v>
      </c>
      <c r="C375">
        <f t="shared" si="11"/>
        <v>45372</v>
      </c>
      <c r="G375" t="s">
        <v>3519</v>
      </c>
    </row>
    <row r="376" spans="1:7">
      <c r="A376">
        <v>45373</v>
      </c>
      <c r="B376">
        <f t="shared" si="10"/>
        <v>46373</v>
      </c>
      <c r="C376">
        <f t="shared" si="11"/>
        <v>45373</v>
      </c>
      <c r="G376" t="s">
        <v>3519</v>
      </c>
    </row>
    <row r="377" spans="1:7">
      <c r="A377">
        <v>45374</v>
      </c>
      <c r="B377">
        <f t="shared" si="10"/>
        <v>46374</v>
      </c>
      <c r="C377">
        <f t="shared" si="11"/>
        <v>45374</v>
      </c>
      <c r="G377" t="s">
        <v>3519</v>
      </c>
    </row>
    <row r="378" spans="1:7">
      <c r="A378">
        <v>45375</v>
      </c>
      <c r="B378">
        <f t="shared" si="10"/>
        <v>46375</v>
      </c>
      <c r="C378">
        <f t="shared" si="11"/>
        <v>45375</v>
      </c>
      <c r="G378" t="s">
        <v>3519</v>
      </c>
    </row>
    <row r="379" spans="1:7">
      <c r="A379">
        <v>45376</v>
      </c>
      <c r="B379">
        <f t="shared" si="10"/>
        <v>46376</v>
      </c>
      <c r="C379">
        <f t="shared" si="11"/>
        <v>45376</v>
      </c>
      <c r="G379" t="s">
        <v>3519</v>
      </c>
    </row>
    <row r="380" spans="1:7">
      <c r="A380">
        <v>45377</v>
      </c>
      <c r="B380">
        <f t="shared" si="10"/>
        <v>46377</v>
      </c>
      <c r="C380">
        <f t="shared" si="11"/>
        <v>45377</v>
      </c>
      <c r="G380" t="s">
        <v>3519</v>
      </c>
    </row>
    <row r="381" spans="1:7">
      <c r="A381">
        <v>45378</v>
      </c>
      <c r="B381">
        <f t="shared" si="10"/>
        <v>46378</v>
      </c>
      <c r="C381">
        <f t="shared" si="11"/>
        <v>45378</v>
      </c>
      <c r="G381" t="s">
        <v>3519</v>
      </c>
    </row>
    <row r="382" spans="1:7">
      <c r="A382">
        <v>45379</v>
      </c>
      <c r="B382">
        <f t="shared" si="10"/>
        <v>46379</v>
      </c>
      <c r="C382">
        <f t="shared" si="11"/>
        <v>45379</v>
      </c>
      <c r="G382" t="s">
        <v>3519</v>
      </c>
    </row>
    <row r="383" spans="1:7">
      <c r="A383">
        <v>45380</v>
      </c>
      <c r="B383">
        <f t="shared" si="10"/>
        <v>46380</v>
      </c>
      <c r="C383">
        <f t="shared" si="11"/>
        <v>45380</v>
      </c>
      <c r="G383" t="s">
        <v>3519</v>
      </c>
    </row>
    <row r="384" spans="1:7">
      <c r="A384">
        <v>45381</v>
      </c>
      <c r="B384">
        <f t="shared" si="10"/>
        <v>46381</v>
      </c>
      <c r="C384">
        <f t="shared" si="11"/>
        <v>45381</v>
      </c>
      <c r="G384" t="s">
        <v>3519</v>
      </c>
    </row>
    <row r="385" spans="1:7">
      <c r="A385">
        <v>45382</v>
      </c>
      <c r="B385">
        <f t="shared" si="10"/>
        <v>46382</v>
      </c>
      <c r="C385">
        <f t="shared" si="11"/>
        <v>45382</v>
      </c>
      <c r="G385" t="s">
        <v>3519</v>
      </c>
    </row>
    <row r="386" spans="1:7">
      <c r="A386">
        <v>45383</v>
      </c>
      <c r="B386">
        <f t="shared" si="10"/>
        <v>46383</v>
      </c>
      <c r="C386">
        <f t="shared" si="11"/>
        <v>45383</v>
      </c>
      <c r="G386" t="s">
        <v>3519</v>
      </c>
    </row>
    <row r="387" spans="1:7">
      <c r="A387">
        <v>45384</v>
      </c>
      <c r="B387">
        <f t="shared" si="10"/>
        <v>46384</v>
      </c>
      <c r="C387">
        <f t="shared" si="11"/>
        <v>45384</v>
      </c>
      <c r="G387" t="s">
        <v>3519</v>
      </c>
    </row>
    <row r="388" spans="1:7">
      <c r="A388">
        <v>45385</v>
      </c>
      <c r="B388">
        <f t="shared" ref="B388:B451" si="12">A388+1000</f>
        <v>46385</v>
      </c>
      <c r="C388">
        <f t="shared" ref="C388:C451" si="13">IF(ISERROR(FIND("Epic",E388)),A388,A388+10000)</f>
        <v>45385</v>
      </c>
      <c r="G388" t="s">
        <v>3519</v>
      </c>
    </row>
    <row r="389" spans="1:7">
      <c r="A389">
        <v>45386</v>
      </c>
      <c r="B389">
        <f t="shared" si="12"/>
        <v>46386</v>
      </c>
      <c r="C389">
        <f t="shared" si="13"/>
        <v>45386</v>
      </c>
      <c r="G389" t="s">
        <v>3519</v>
      </c>
    </row>
    <row r="390" spans="1:7">
      <c r="A390">
        <v>45387</v>
      </c>
      <c r="B390">
        <f t="shared" si="12"/>
        <v>46387</v>
      </c>
      <c r="C390">
        <f t="shared" si="13"/>
        <v>45387</v>
      </c>
      <c r="G390" t="s">
        <v>3519</v>
      </c>
    </row>
    <row r="391" spans="1:7">
      <c r="A391">
        <v>45388</v>
      </c>
      <c r="B391">
        <f t="shared" si="12"/>
        <v>46388</v>
      </c>
      <c r="C391">
        <f t="shared" si="13"/>
        <v>45388</v>
      </c>
      <c r="G391" t="s">
        <v>3519</v>
      </c>
    </row>
    <row r="392" spans="1:7">
      <c r="A392">
        <v>45389</v>
      </c>
      <c r="B392">
        <f t="shared" si="12"/>
        <v>46389</v>
      </c>
      <c r="C392">
        <f t="shared" si="13"/>
        <v>45389</v>
      </c>
      <c r="G392" t="s">
        <v>3519</v>
      </c>
    </row>
    <row r="393" spans="1:7">
      <c r="A393">
        <v>45390</v>
      </c>
      <c r="B393">
        <f t="shared" si="12"/>
        <v>46390</v>
      </c>
      <c r="C393">
        <f t="shared" si="13"/>
        <v>45390</v>
      </c>
      <c r="G393" t="s">
        <v>3519</v>
      </c>
    </row>
    <row r="394" spans="1:7">
      <c r="A394">
        <v>45391</v>
      </c>
      <c r="B394">
        <f t="shared" si="12"/>
        <v>46391</v>
      </c>
      <c r="C394">
        <f t="shared" si="13"/>
        <v>45391</v>
      </c>
      <c r="G394" t="s">
        <v>3519</v>
      </c>
    </row>
    <row r="395" spans="1:7">
      <c r="A395">
        <v>45392</v>
      </c>
      <c r="B395">
        <f t="shared" si="12"/>
        <v>46392</v>
      </c>
      <c r="C395">
        <f t="shared" si="13"/>
        <v>45392</v>
      </c>
      <c r="G395" t="s">
        <v>3519</v>
      </c>
    </row>
    <row r="396" spans="1:7">
      <c r="A396">
        <v>45393</v>
      </c>
      <c r="B396">
        <f t="shared" si="12"/>
        <v>46393</v>
      </c>
      <c r="C396">
        <f t="shared" si="13"/>
        <v>45393</v>
      </c>
      <c r="G396" t="s">
        <v>3519</v>
      </c>
    </row>
    <row r="397" spans="1:7">
      <c r="A397">
        <v>45394</v>
      </c>
      <c r="B397">
        <f t="shared" si="12"/>
        <v>46394</v>
      </c>
      <c r="C397">
        <f t="shared" si="13"/>
        <v>45394</v>
      </c>
      <c r="G397" t="s">
        <v>3519</v>
      </c>
    </row>
    <row r="398" spans="1:7">
      <c r="A398">
        <v>45395</v>
      </c>
      <c r="B398">
        <f t="shared" si="12"/>
        <v>46395</v>
      </c>
      <c r="C398">
        <f t="shared" si="13"/>
        <v>45395</v>
      </c>
      <c r="G398" t="s">
        <v>3519</v>
      </c>
    </row>
    <row r="399" spans="1:7">
      <c r="A399">
        <v>45396</v>
      </c>
      <c r="B399">
        <f t="shared" si="12"/>
        <v>46396</v>
      </c>
      <c r="C399">
        <f t="shared" si="13"/>
        <v>45396</v>
      </c>
      <c r="G399" t="s">
        <v>3519</v>
      </c>
    </row>
    <row r="400" spans="1:7">
      <c r="A400">
        <v>45397</v>
      </c>
      <c r="B400">
        <f t="shared" si="12"/>
        <v>46397</v>
      </c>
      <c r="C400">
        <f t="shared" si="13"/>
        <v>45397</v>
      </c>
      <c r="G400" t="s">
        <v>3519</v>
      </c>
    </row>
    <row r="401" spans="1:7">
      <c r="A401">
        <v>45398</v>
      </c>
      <c r="B401">
        <f t="shared" si="12"/>
        <v>46398</v>
      </c>
      <c r="C401">
        <f t="shared" si="13"/>
        <v>45398</v>
      </c>
      <c r="G401" t="s">
        <v>3519</v>
      </c>
    </row>
    <row r="402" spans="1:7">
      <c r="A402">
        <v>45399</v>
      </c>
      <c r="B402">
        <f t="shared" si="12"/>
        <v>46399</v>
      </c>
      <c r="C402">
        <f t="shared" si="13"/>
        <v>45399</v>
      </c>
      <c r="G402" t="s">
        <v>3519</v>
      </c>
    </row>
    <row r="403" spans="1:7">
      <c r="A403">
        <v>45400</v>
      </c>
      <c r="B403">
        <f t="shared" si="12"/>
        <v>46400</v>
      </c>
      <c r="C403">
        <f t="shared" si="13"/>
        <v>45400</v>
      </c>
      <c r="G403" t="s">
        <v>3519</v>
      </c>
    </row>
    <row r="404" spans="1:7">
      <c r="A404">
        <v>45401</v>
      </c>
      <c r="B404">
        <f t="shared" si="12"/>
        <v>46401</v>
      </c>
      <c r="C404">
        <f t="shared" si="13"/>
        <v>45401</v>
      </c>
      <c r="G404" t="s">
        <v>3519</v>
      </c>
    </row>
    <row r="405" spans="1:7">
      <c r="A405">
        <v>45402</v>
      </c>
      <c r="B405">
        <f t="shared" si="12"/>
        <v>46402</v>
      </c>
      <c r="C405">
        <f t="shared" si="13"/>
        <v>45402</v>
      </c>
      <c r="G405" t="s">
        <v>3519</v>
      </c>
    </row>
    <row r="406" spans="1:7">
      <c r="A406">
        <v>45403</v>
      </c>
      <c r="B406">
        <f t="shared" si="12"/>
        <v>46403</v>
      </c>
      <c r="C406">
        <f t="shared" si="13"/>
        <v>45403</v>
      </c>
      <c r="G406" t="s">
        <v>3519</v>
      </c>
    </row>
    <row r="407" spans="1:7">
      <c r="A407">
        <v>45404</v>
      </c>
      <c r="B407">
        <f t="shared" si="12"/>
        <v>46404</v>
      </c>
      <c r="C407">
        <f t="shared" si="13"/>
        <v>45404</v>
      </c>
      <c r="G407" t="s">
        <v>3519</v>
      </c>
    </row>
    <row r="408" spans="1:7">
      <c r="A408">
        <v>45405</v>
      </c>
      <c r="B408">
        <f t="shared" si="12"/>
        <v>46405</v>
      </c>
      <c r="C408">
        <f t="shared" si="13"/>
        <v>45405</v>
      </c>
      <c r="G408" t="s">
        <v>3519</v>
      </c>
    </row>
    <row r="409" spans="1:7">
      <c r="A409">
        <v>45406</v>
      </c>
      <c r="B409">
        <f t="shared" si="12"/>
        <v>46406</v>
      </c>
      <c r="C409">
        <f t="shared" si="13"/>
        <v>45406</v>
      </c>
      <c r="G409" t="s">
        <v>3519</v>
      </c>
    </row>
    <row r="410" spans="1:7">
      <c r="A410">
        <v>45407</v>
      </c>
      <c r="B410">
        <f t="shared" si="12"/>
        <v>46407</v>
      </c>
      <c r="C410">
        <f t="shared" si="13"/>
        <v>45407</v>
      </c>
      <c r="G410" t="s">
        <v>3519</v>
      </c>
    </row>
    <row r="411" spans="1:7">
      <c r="A411">
        <v>45408</v>
      </c>
      <c r="B411">
        <f t="shared" si="12"/>
        <v>46408</v>
      </c>
      <c r="C411">
        <f t="shared" si="13"/>
        <v>45408</v>
      </c>
      <c r="G411" t="s">
        <v>3519</v>
      </c>
    </row>
    <row r="412" spans="1:7">
      <c r="A412">
        <v>45409</v>
      </c>
      <c r="B412">
        <f t="shared" si="12"/>
        <v>46409</v>
      </c>
      <c r="C412">
        <f t="shared" si="13"/>
        <v>45409</v>
      </c>
      <c r="G412" t="s">
        <v>3519</v>
      </c>
    </row>
    <row r="413" spans="1:7">
      <c r="A413">
        <v>45410</v>
      </c>
      <c r="B413">
        <f t="shared" si="12"/>
        <v>46410</v>
      </c>
      <c r="C413">
        <f t="shared" si="13"/>
        <v>45410</v>
      </c>
      <c r="G413" t="s">
        <v>3519</v>
      </c>
    </row>
    <row r="414" spans="1:7">
      <c r="A414">
        <v>45411</v>
      </c>
      <c r="B414">
        <f t="shared" si="12"/>
        <v>46411</v>
      </c>
      <c r="C414">
        <f t="shared" si="13"/>
        <v>45411</v>
      </c>
      <c r="G414" t="s">
        <v>3519</v>
      </c>
    </row>
    <row r="415" spans="1:7">
      <c r="A415">
        <v>45412</v>
      </c>
      <c r="B415">
        <f t="shared" si="12"/>
        <v>46412</v>
      </c>
      <c r="C415">
        <f t="shared" si="13"/>
        <v>45412</v>
      </c>
      <c r="G415" t="s">
        <v>3519</v>
      </c>
    </row>
    <row r="416" spans="1:7">
      <c r="A416">
        <v>45413</v>
      </c>
      <c r="B416">
        <f t="shared" si="12"/>
        <v>46413</v>
      </c>
      <c r="C416">
        <f t="shared" si="13"/>
        <v>45413</v>
      </c>
      <c r="G416" t="s">
        <v>3519</v>
      </c>
    </row>
    <row r="417" spans="1:7">
      <c r="A417">
        <v>45414</v>
      </c>
      <c r="B417">
        <f t="shared" si="12"/>
        <v>46414</v>
      </c>
      <c r="C417">
        <f t="shared" si="13"/>
        <v>45414</v>
      </c>
      <c r="G417" t="s">
        <v>3519</v>
      </c>
    </row>
    <row r="418" spans="1:7">
      <c r="A418">
        <v>45415</v>
      </c>
      <c r="B418">
        <f t="shared" si="12"/>
        <v>46415</v>
      </c>
      <c r="C418">
        <f t="shared" si="13"/>
        <v>45415</v>
      </c>
      <c r="G418" t="s">
        <v>3519</v>
      </c>
    </row>
    <row r="419" spans="1:7">
      <c r="A419">
        <v>45416</v>
      </c>
      <c r="B419">
        <f t="shared" si="12"/>
        <v>46416</v>
      </c>
      <c r="C419">
        <f t="shared" si="13"/>
        <v>45416</v>
      </c>
      <c r="G419" t="s">
        <v>3519</v>
      </c>
    </row>
    <row r="420" spans="1:7">
      <c r="A420">
        <v>45417</v>
      </c>
      <c r="B420">
        <f t="shared" si="12"/>
        <v>46417</v>
      </c>
      <c r="C420">
        <f t="shared" si="13"/>
        <v>45417</v>
      </c>
      <c r="G420" t="s">
        <v>3519</v>
      </c>
    </row>
    <row r="421" spans="1:7">
      <c r="A421">
        <v>45418</v>
      </c>
      <c r="B421">
        <f t="shared" si="12"/>
        <v>46418</v>
      </c>
      <c r="C421">
        <f t="shared" si="13"/>
        <v>45418</v>
      </c>
      <c r="G421" t="s">
        <v>3519</v>
      </c>
    </row>
    <row r="422" spans="1:7">
      <c r="A422">
        <v>45419</v>
      </c>
      <c r="B422">
        <f t="shared" si="12"/>
        <v>46419</v>
      </c>
      <c r="C422">
        <f t="shared" si="13"/>
        <v>45419</v>
      </c>
      <c r="G422" t="s">
        <v>3519</v>
      </c>
    </row>
    <row r="423" spans="1:7">
      <c r="A423">
        <v>45420</v>
      </c>
      <c r="B423">
        <f t="shared" si="12"/>
        <v>46420</v>
      </c>
      <c r="C423">
        <f t="shared" si="13"/>
        <v>45420</v>
      </c>
      <c r="G423" t="s">
        <v>3519</v>
      </c>
    </row>
    <row r="424" spans="1:7">
      <c r="A424">
        <v>45421</v>
      </c>
      <c r="B424">
        <f t="shared" si="12"/>
        <v>46421</v>
      </c>
      <c r="C424">
        <f t="shared" si="13"/>
        <v>45421</v>
      </c>
      <c r="G424" t="s">
        <v>3519</v>
      </c>
    </row>
    <row r="425" spans="1:7">
      <c r="A425">
        <v>45422</v>
      </c>
      <c r="B425">
        <f t="shared" si="12"/>
        <v>46422</v>
      </c>
      <c r="C425">
        <f t="shared" si="13"/>
        <v>45422</v>
      </c>
      <c r="G425" t="s">
        <v>3519</v>
      </c>
    </row>
    <row r="426" spans="1:7">
      <c r="A426">
        <v>45423</v>
      </c>
      <c r="B426">
        <f t="shared" si="12"/>
        <v>46423</v>
      </c>
      <c r="C426">
        <f t="shared" si="13"/>
        <v>45423</v>
      </c>
      <c r="G426" t="s">
        <v>3519</v>
      </c>
    </row>
    <row r="427" spans="1:7">
      <c r="A427">
        <v>45424</v>
      </c>
      <c r="B427">
        <f t="shared" si="12"/>
        <v>46424</v>
      </c>
      <c r="C427">
        <f t="shared" si="13"/>
        <v>45424</v>
      </c>
      <c r="G427" t="s">
        <v>3519</v>
      </c>
    </row>
    <row r="428" spans="1:7">
      <c r="A428">
        <v>45425</v>
      </c>
      <c r="B428">
        <f t="shared" si="12"/>
        <v>46425</v>
      </c>
      <c r="C428">
        <f t="shared" si="13"/>
        <v>45425</v>
      </c>
      <c r="G428" t="s">
        <v>3519</v>
      </c>
    </row>
    <row r="429" spans="1:7">
      <c r="A429">
        <v>45426</v>
      </c>
      <c r="B429">
        <f t="shared" si="12"/>
        <v>46426</v>
      </c>
      <c r="C429">
        <f t="shared" si="13"/>
        <v>45426</v>
      </c>
      <c r="G429" t="s">
        <v>3519</v>
      </c>
    </row>
    <row r="430" spans="1:7">
      <c r="A430">
        <v>45427</v>
      </c>
      <c r="B430">
        <f t="shared" si="12"/>
        <v>46427</v>
      </c>
      <c r="C430">
        <f t="shared" si="13"/>
        <v>45427</v>
      </c>
      <c r="G430" t="s">
        <v>3519</v>
      </c>
    </row>
    <row r="431" spans="1:7">
      <c r="A431">
        <v>45428</v>
      </c>
      <c r="B431">
        <f t="shared" si="12"/>
        <v>46428</v>
      </c>
      <c r="C431">
        <f t="shared" si="13"/>
        <v>45428</v>
      </c>
      <c r="G431" t="s">
        <v>3519</v>
      </c>
    </row>
    <row r="432" spans="1:7">
      <c r="A432">
        <v>45429</v>
      </c>
      <c r="B432">
        <f t="shared" si="12"/>
        <v>46429</v>
      </c>
      <c r="C432">
        <f t="shared" si="13"/>
        <v>45429</v>
      </c>
      <c r="G432" t="s">
        <v>3519</v>
      </c>
    </row>
    <row r="433" spans="1:7">
      <c r="A433">
        <v>45430</v>
      </c>
      <c r="B433">
        <f t="shared" si="12"/>
        <v>46430</v>
      </c>
      <c r="C433">
        <f t="shared" si="13"/>
        <v>45430</v>
      </c>
      <c r="G433" t="s">
        <v>3519</v>
      </c>
    </row>
    <row r="434" spans="1:7">
      <c r="A434">
        <v>45431</v>
      </c>
      <c r="B434">
        <f t="shared" si="12"/>
        <v>46431</v>
      </c>
      <c r="C434">
        <f t="shared" si="13"/>
        <v>45431</v>
      </c>
      <c r="G434" t="s">
        <v>3519</v>
      </c>
    </row>
    <row r="435" spans="1:7">
      <c r="A435">
        <v>45432</v>
      </c>
      <c r="B435">
        <f t="shared" si="12"/>
        <v>46432</v>
      </c>
      <c r="C435">
        <f t="shared" si="13"/>
        <v>45432</v>
      </c>
      <c r="G435" t="s">
        <v>3519</v>
      </c>
    </row>
    <row r="436" spans="1:7">
      <c r="A436">
        <v>45433</v>
      </c>
      <c r="B436">
        <f t="shared" si="12"/>
        <v>46433</v>
      </c>
      <c r="C436">
        <f t="shared" si="13"/>
        <v>45433</v>
      </c>
      <c r="G436" t="s">
        <v>3519</v>
      </c>
    </row>
    <row r="437" spans="1:7">
      <c r="A437">
        <v>45434</v>
      </c>
      <c r="B437">
        <f t="shared" si="12"/>
        <v>46434</v>
      </c>
      <c r="C437">
        <f t="shared" si="13"/>
        <v>45434</v>
      </c>
      <c r="G437" t="s">
        <v>3519</v>
      </c>
    </row>
    <row r="438" spans="1:7">
      <c r="A438">
        <v>45435</v>
      </c>
      <c r="B438">
        <f t="shared" si="12"/>
        <v>46435</v>
      </c>
      <c r="C438">
        <f t="shared" si="13"/>
        <v>45435</v>
      </c>
      <c r="G438" t="s">
        <v>3519</v>
      </c>
    </row>
    <row r="439" spans="1:7">
      <c r="A439">
        <v>45436</v>
      </c>
      <c r="B439">
        <f t="shared" si="12"/>
        <v>46436</v>
      </c>
      <c r="C439">
        <f t="shared" si="13"/>
        <v>45436</v>
      </c>
      <c r="G439" t="s">
        <v>3519</v>
      </c>
    </row>
    <row r="440" spans="1:7">
      <c r="A440">
        <v>45437</v>
      </c>
      <c r="B440">
        <f t="shared" si="12"/>
        <v>46437</v>
      </c>
      <c r="C440">
        <f t="shared" si="13"/>
        <v>45437</v>
      </c>
      <c r="G440" t="s">
        <v>3519</v>
      </c>
    </row>
    <row r="441" spans="1:7">
      <c r="A441">
        <v>45438</v>
      </c>
      <c r="B441">
        <f t="shared" si="12"/>
        <v>46438</v>
      </c>
      <c r="C441">
        <f t="shared" si="13"/>
        <v>45438</v>
      </c>
      <c r="G441" t="s">
        <v>3519</v>
      </c>
    </row>
    <row r="442" spans="1:7">
      <c r="A442">
        <v>45439</v>
      </c>
      <c r="B442">
        <f t="shared" si="12"/>
        <v>46439</v>
      </c>
      <c r="C442">
        <f t="shared" si="13"/>
        <v>45439</v>
      </c>
      <c r="G442" t="s">
        <v>3519</v>
      </c>
    </row>
    <row r="443" spans="1:7">
      <c r="A443">
        <v>45440</v>
      </c>
      <c r="B443">
        <f t="shared" si="12"/>
        <v>46440</v>
      </c>
      <c r="C443">
        <f t="shared" si="13"/>
        <v>45440</v>
      </c>
      <c r="G443" t="s">
        <v>3519</v>
      </c>
    </row>
    <row r="444" spans="1:7">
      <c r="A444">
        <v>45441</v>
      </c>
      <c r="B444">
        <f t="shared" si="12"/>
        <v>46441</v>
      </c>
      <c r="C444">
        <f t="shared" si="13"/>
        <v>45441</v>
      </c>
      <c r="G444" t="s">
        <v>3519</v>
      </c>
    </row>
    <row r="445" spans="1:7">
      <c r="A445">
        <v>45442</v>
      </c>
      <c r="B445">
        <f t="shared" si="12"/>
        <v>46442</v>
      </c>
      <c r="C445">
        <f t="shared" si="13"/>
        <v>45442</v>
      </c>
      <c r="G445" t="s">
        <v>3519</v>
      </c>
    </row>
    <row r="446" spans="1:7">
      <c r="A446">
        <v>45443</v>
      </c>
      <c r="B446">
        <f t="shared" si="12"/>
        <v>46443</v>
      </c>
      <c r="C446">
        <f t="shared" si="13"/>
        <v>45443</v>
      </c>
      <c r="G446" t="s">
        <v>3519</v>
      </c>
    </row>
    <row r="447" spans="1:7">
      <c r="A447">
        <v>45444</v>
      </c>
      <c r="B447">
        <f t="shared" si="12"/>
        <v>46444</v>
      </c>
      <c r="C447">
        <f t="shared" si="13"/>
        <v>45444</v>
      </c>
      <c r="G447" t="s">
        <v>3519</v>
      </c>
    </row>
    <row r="448" spans="1:7">
      <c r="A448">
        <v>45445</v>
      </c>
      <c r="B448">
        <f t="shared" si="12"/>
        <v>46445</v>
      </c>
      <c r="C448">
        <f t="shared" si="13"/>
        <v>45445</v>
      </c>
      <c r="G448" t="s">
        <v>3519</v>
      </c>
    </row>
    <row r="449" spans="1:7">
      <c r="A449">
        <v>45446</v>
      </c>
      <c r="B449">
        <f t="shared" si="12"/>
        <v>46446</v>
      </c>
      <c r="C449">
        <f t="shared" si="13"/>
        <v>45446</v>
      </c>
      <c r="G449" t="s">
        <v>3519</v>
      </c>
    </row>
    <row r="450" spans="1:7">
      <c r="A450">
        <v>45447</v>
      </c>
      <c r="B450">
        <f t="shared" si="12"/>
        <v>46447</v>
      </c>
      <c r="C450">
        <f t="shared" si="13"/>
        <v>45447</v>
      </c>
      <c r="G450" t="s">
        <v>3519</v>
      </c>
    </row>
    <row r="451" spans="1:7">
      <c r="A451">
        <v>45448</v>
      </c>
      <c r="B451">
        <f t="shared" si="12"/>
        <v>46448</v>
      </c>
      <c r="C451">
        <f t="shared" si="13"/>
        <v>45448</v>
      </c>
      <c r="G451" t="s">
        <v>3519</v>
      </c>
    </row>
    <row r="452" spans="1:7">
      <c r="A452">
        <v>45449</v>
      </c>
      <c r="B452">
        <f t="shared" ref="B452:B515" si="14">A452+1000</f>
        <v>46449</v>
      </c>
      <c r="C452">
        <f t="shared" ref="C452:C515" si="15">IF(ISERROR(FIND("Epic",E452)),A452,A452+10000)</f>
        <v>45449</v>
      </c>
      <c r="G452" t="s">
        <v>3519</v>
      </c>
    </row>
    <row r="453" spans="1:7">
      <c r="A453">
        <v>45450</v>
      </c>
      <c r="B453">
        <f t="shared" si="14"/>
        <v>46450</v>
      </c>
      <c r="C453">
        <f t="shared" si="15"/>
        <v>45450</v>
      </c>
      <c r="G453" t="s">
        <v>3519</v>
      </c>
    </row>
    <row r="454" spans="1:7">
      <c r="A454">
        <v>45451</v>
      </c>
      <c r="B454">
        <f t="shared" si="14"/>
        <v>46451</v>
      </c>
      <c r="C454">
        <f t="shared" si="15"/>
        <v>45451</v>
      </c>
      <c r="G454" t="s">
        <v>3519</v>
      </c>
    </row>
    <row r="455" spans="1:7">
      <c r="A455">
        <v>45452</v>
      </c>
      <c r="B455">
        <f t="shared" si="14"/>
        <v>46452</v>
      </c>
      <c r="C455">
        <f t="shared" si="15"/>
        <v>45452</v>
      </c>
      <c r="G455" t="s">
        <v>3519</v>
      </c>
    </row>
    <row r="456" spans="1:7">
      <c r="A456">
        <v>45453</v>
      </c>
      <c r="B456">
        <f t="shared" si="14"/>
        <v>46453</v>
      </c>
      <c r="C456">
        <f t="shared" si="15"/>
        <v>45453</v>
      </c>
      <c r="G456" t="s">
        <v>3519</v>
      </c>
    </row>
    <row r="457" spans="1:7">
      <c r="A457">
        <v>45454</v>
      </c>
      <c r="B457">
        <f t="shared" si="14"/>
        <v>46454</v>
      </c>
      <c r="C457">
        <f t="shared" si="15"/>
        <v>45454</v>
      </c>
      <c r="G457" t="s">
        <v>3519</v>
      </c>
    </row>
    <row r="458" spans="1:7">
      <c r="A458">
        <v>45455</v>
      </c>
      <c r="B458">
        <f t="shared" si="14"/>
        <v>46455</v>
      </c>
      <c r="C458">
        <f t="shared" si="15"/>
        <v>45455</v>
      </c>
      <c r="G458" t="s">
        <v>3519</v>
      </c>
    </row>
    <row r="459" spans="1:7">
      <c r="A459">
        <v>45456</v>
      </c>
      <c r="B459">
        <f t="shared" si="14"/>
        <v>46456</v>
      </c>
      <c r="C459">
        <f t="shared" si="15"/>
        <v>45456</v>
      </c>
      <c r="G459" t="s">
        <v>3519</v>
      </c>
    </row>
    <row r="460" spans="1:7">
      <c r="A460">
        <v>45457</v>
      </c>
      <c r="B460">
        <f t="shared" si="14"/>
        <v>46457</v>
      </c>
      <c r="C460">
        <f t="shared" si="15"/>
        <v>45457</v>
      </c>
      <c r="G460" t="s">
        <v>3519</v>
      </c>
    </row>
    <row r="461" spans="1:7">
      <c r="A461">
        <v>45458</v>
      </c>
      <c r="B461">
        <f t="shared" si="14"/>
        <v>46458</v>
      </c>
      <c r="C461">
        <f t="shared" si="15"/>
        <v>45458</v>
      </c>
      <c r="G461" t="s">
        <v>3519</v>
      </c>
    </row>
    <row r="462" spans="1:7">
      <c r="A462">
        <v>45459</v>
      </c>
      <c r="B462">
        <f t="shared" si="14"/>
        <v>46459</v>
      </c>
      <c r="C462">
        <f t="shared" si="15"/>
        <v>45459</v>
      </c>
      <c r="G462" t="s">
        <v>3519</v>
      </c>
    </row>
    <row r="463" spans="1:7">
      <c r="A463">
        <v>45460</v>
      </c>
      <c r="B463">
        <f t="shared" si="14"/>
        <v>46460</v>
      </c>
      <c r="C463">
        <f t="shared" si="15"/>
        <v>45460</v>
      </c>
      <c r="G463" t="s">
        <v>3519</v>
      </c>
    </row>
    <row r="464" spans="1:7">
      <c r="A464">
        <v>45461</v>
      </c>
      <c r="B464">
        <f t="shared" si="14"/>
        <v>46461</v>
      </c>
      <c r="C464">
        <f t="shared" si="15"/>
        <v>45461</v>
      </c>
      <c r="G464" t="s">
        <v>3519</v>
      </c>
    </row>
    <row r="465" spans="1:7">
      <c r="A465">
        <v>45462</v>
      </c>
      <c r="B465">
        <f t="shared" si="14"/>
        <v>46462</v>
      </c>
      <c r="C465">
        <f t="shared" si="15"/>
        <v>45462</v>
      </c>
      <c r="G465" t="s">
        <v>3519</v>
      </c>
    </row>
    <row r="466" spans="1:7">
      <c r="A466">
        <v>45463</v>
      </c>
      <c r="B466">
        <f t="shared" si="14"/>
        <v>46463</v>
      </c>
      <c r="C466">
        <f t="shared" si="15"/>
        <v>45463</v>
      </c>
      <c r="G466" t="s">
        <v>3519</v>
      </c>
    </row>
    <row r="467" spans="1:7">
      <c r="A467">
        <v>45464</v>
      </c>
      <c r="B467">
        <f t="shared" si="14"/>
        <v>46464</v>
      </c>
      <c r="C467">
        <f t="shared" si="15"/>
        <v>45464</v>
      </c>
      <c r="G467" t="s">
        <v>3519</v>
      </c>
    </row>
    <row r="468" spans="1:7">
      <c r="A468">
        <v>45465</v>
      </c>
      <c r="B468">
        <f t="shared" si="14"/>
        <v>46465</v>
      </c>
      <c r="C468">
        <f t="shared" si="15"/>
        <v>45465</v>
      </c>
      <c r="G468" t="s">
        <v>3519</v>
      </c>
    </row>
    <row r="469" spans="1:7">
      <c r="A469">
        <v>45466</v>
      </c>
      <c r="B469">
        <f t="shared" si="14"/>
        <v>46466</v>
      </c>
      <c r="C469">
        <f t="shared" si="15"/>
        <v>45466</v>
      </c>
      <c r="G469" t="s">
        <v>3519</v>
      </c>
    </row>
    <row r="470" spans="1:7">
      <c r="A470">
        <v>45467</v>
      </c>
      <c r="B470">
        <f t="shared" si="14"/>
        <v>46467</v>
      </c>
      <c r="C470">
        <f t="shared" si="15"/>
        <v>45467</v>
      </c>
      <c r="G470" t="s">
        <v>3519</v>
      </c>
    </row>
    <row r="471" spans="1:7">
      <c r="A471">
        <v>45468</v>
      </c>
      <c r="B471">
        <f t="shared" si="14"/>
        <v>46468</v>
      </c>
      <c r="C471">
        <f t="shared" si="15"/>
        <v>45468</v>
      </c>
      <c r="G471" t="s">
        <v>3519</v>
      </c>
    </row>
    <row r="472" spans="1:7">
      <c r="A472">
        <v>45469</v>
      </c>
      <c r="B472">
        <f t="shared" si="14"/>
        <v>46469</v>
      </c>
      <c r="C472">
        <f t="shared" si="15"/>
        <v>45469</v>
      </c>
      <c r="G472" t="s">
        <v>3519</v>
      </c>
    </row>
    <row r="473" spans="1:7">
      <c r="A473">
        <v>45470</v>
      </c>
      <c r="B473">
        <f t="shared" si="14"/>
        <v>46470</v>
      </c>
      <c r="C473">
        <f t="shared" si="15"/>
        <v>45470</v>
      </c>
      <c r="G473" t="s">
        <v>3519</v>
      </c>
    </row>
    <row r="474" spans="1:7">
      <c r="A474">
        <v>45471</v>
      </c>
      <c r="B474">
        <f t="shared" si="14"/>
        <v>46471</v>
      </c>
      <c r="C474">
        <f t="shared" si="15"/>
        <v>45471</v>
      </c>
      <c r="G474" t="s">
        <v>3519</v>
      </c>
    </row>
    <row r="475" spans="1:7">
      <c r="A475">
        <v>45472</v>
      </c>
      <c r="B475">
        <f t="shared" si="14"/>
        <v>46472</v>
      </c>
      <c r="C475">
        <f t="shared" si="15"/>
        <v>45472</v>
      </c>
      <c r="G475" t="s">
        <v>3519</v>
      </c>
    </row>
    <row r="476" spans="1:7">
      <c r="A476">
        <v>45473</v>
      </c>
      <c r="B476">
        <f t="shared" si="14"/>
        <v>46473</v>
      </c>
      <c r="C476">
        <f t="shared" si="15"/>
        <v>45473</v>
      </c>
      <c r="G476" t="s">
        <v>3519</v>
      </c>
    </row>
    <row r="477" spans="1:7">
      <c r="A477">
        <v>45474</v>
      </c>
      <c r="B477">
        <f t="shared" si="14"/>
        <v>46474</v>
      </c>
      <c r="C477">
        <f t="shared" si="15"/>
        <v>45474</v>
      </c>
      <c r="G477" t="s">
        <v>3519</v>
      </c>
    </row>
    <row r="478" spans="1:7">
      <c r="A478">
        <v>45475</v>
      </c>
      <c r="B478">
        <f t="shared" si="14"/>
        <v>46475</v>
      </c>
      <c r="C478">
        <f t="shared" si="15"/>
        <v>45475</v>
      </c>
      <c r="G478" t="s">
        <v>3519</v>
      </c>
    </row>
    <row r="479" spans="1:7">
      <c r="A479">
        <v>45476</v>
      </c>
      <c r="B479">
        <f t="shared" si="14"/>
        <v>46476</v>
      </c>
      <c r="C479">
        <f t="shared" si="15"/>
        <v>45476</v>
      </c>
      <c r="G479" t="s">
        <v>3519</v>
      </c>
    </row>
    <row r="480" spans="1:7">
      <c r="A480">
        <v>45477</v>
      </c>
      <c r="B480">
        <f t="shared" si="14"/>
        <v>46477</v>
      </c>
      <c r="C480">
        <f t="shared" si="15"/>
        <v>45477</v>
      </c>
      <c r="G480" t="s">
        <v>3519</v>
      </c>
    </row>
    <row r="481" spans="1:7">
      <c r="A481">
        <v>45478</v>
      </c>
      <c r="B481">
        <f t="shared" si="14"/>
        <v>46478</v>
      </c>
      <c r="C481">
        <f t="shared" si="15"/>
        <v>45478</v>
      </c>
      <c r="G481" t="s">
        <v>3519</v>
      </c>
    </row>
    <row r="482" spans="1:7">
      <c r="A482">
        <v>45479</v>
      </c>
      <c r="B482">
        <f t="shared" si="14"/>
        <v>46479</v>
      </c>
      <c r="C482">
        <f t="shared" si="15"/>
        <v>45479</v>
      </c>
      <c r="G482" t="s">
        <v>3519</v>
      </c>
    </row>
    <row r="483" spans="1:7">
      <c r="A483">
        <v>45480</v>
      </c>
      <c r="B483">
        <f t="shared" si="14"/>
        <v>46480</v>
      </c>
      <c r="C483">
        <f t="shared" si="15"/>
        <v>45480</v>
      </c>
      <c r="G483" t="s">
        <v>3519</v>
      </c>
    </row>
    <row r="484" spans="1:7">
      <c r="A484">
        <v>45481</v>
      </c>
      <c r="B484">
        <f t="shared" si="14"/>
        <v>46481</v>
      </c>
      <c r="C484">
        <f t="shared" si="15"/>
        <v>45481</v>
      </c>
      <c r="G484" t="s">
        <v>3519</v>
      </c>
    </row>
    <row r="485" spans="1:7">
      <c r="A485">
        <v>45482</v>
      </c>
      <c r="B485">
        <f t="shared" si="14"/>
        <v>46482</v>
      </c>
      <c r="C485">
        <f t="shared" si="15"/>
        <v>45482</v>
      </c>
      <c r="G485" t="s">
        <v>3519</v>
      </c>
    </row>
    <row r="486" spans="1:7">
      <c r="A486">
        <v>45483</v>
      </c>
      <c r="B486">
        <f t="shared" si="14"/>
        <v>46483</v>
      </c>
      <c r="C486">
        <f t="shared" si="15"/>
        <v>45483</v>
      </c>
      <c r="G486" t="s">
        <v>3519</v>
      </c>
    </row>
    <row r="487" spans="1:7">
      <c r="A487">
        <v>45484</v>
      </c>
      <c r="B487">
        <f t="shared" si="14"/>
        <v>46484</v>
      </c>
      <c r="C487">
        <f t="shared" si="15"/>
        <v>45484</v>
      </c>
      <c r="G487" t="s">
        <v>3519</v>
      </c>
    </row>
    <row r="488" spans="1:7">
      <c r="A488">
        <v>45485</v>
      </c>
      <c r="B488">
        <f t="shared" si="14"/>
        <v>46485</v>
      </c>
      <c r="C488">
        <f t="shared" si="15"/>
        <v>45485</v>
      </c>
      <c r="G488" t="s">
        <v>3519</v>
      </c>
    </row>
    <row r="489" spans="1:7">
      <c r="A489">
        <v>45486</v>
      </c>
      <c r="B489">
        <f t="shared" si="14"/>
        <v>46486</v>
      </c>
      <c r="C489">
        <f t="shared" si="15"/>
        <v>45486</v>
      </c>
      <c r="G489" t="s">
        <v>3519</v>
      </c>
    </row>
    <row r="490" spans="1:7">
      <c r="A490">
        <v>45487</v>
      </c>
      <c r="B490">
        <f t="shared" si="14"/>
        <v>46487</v>
      </c>
      <c r="C490">
        <f t="shared" si="15"/>
        <v>45487</v>
      </c>
      <c r="G490" t="s">
        <v>3519</v>
      </c>
    </row>
    <row r="491" spans="1:7">
      <c r="A491">
        <v>45488</v>
      </c>
      <c r="B491">
        <f t="shared" si="14"/>
        <v>46488</v>
      </c>
      <c r="C491">
        <f t="shared" si="15"/>
        <v>45488</v>
      </c>
      <c r="G491" t="s">
        <v>3519</v>
      </c>
    </row>
    <row r="492" spans="1:7">
      <c r="A492">
        <v>45489</v>
      </c>
      <c r="B492">
        <f t="shared" si="14"/>
        <v>46489</v>
      </c>
      <c r="C492">
        <f t="shared" si="15"/>
        <v>45489</v>
      </c>
      <c r="G492" t="s">
        <v>3519</v>
      </c>
    </row>
    <row r="493" spans="1:7">
      <c r="A493">
        <v>45490</v>
      </c>
      <c r="B493">
        <f t="shared" si="14"/>
        <v>46490</v>
      </c>
      <c r="C493">
        <f t="shared" si="15"/>
        <v>45490</v>
      </c>
      <c r="G493" t="s">
        <v>3519</v>
      </c>
    </row>
    <row r="494" spans="1:7">
      <c r="A494">
        <v>45491</v>
      </c>
      <c r="B494">
        <f t="shared" si="14"/>
        <v>46491</v>
      </c>
      <c r="C494">
        <f t="shared" si="15"/>
        <v>45491</v>
      </c>
      <c r="G494" t="s">
        <v>3519</v>
      </c>
    </row>
    <row r="495" spans="1:7">
      <c r="A495">
        <v>45492</v>
      </c>
      <c r="B495">
        <f t="shared" si="14"/>
        <v>46492</v>
      </c>
      <c r="C495">
        <f t="shared" si="15"/>
        <v>45492</v>
      </c>
      <c r="G495" t="s">
        <v>3519</v>
      </c>
    </row>
    <row r="496" spans="1:7">
      <c r="A496">
        <v>45493</v>
      </c>
      <c r="B496">
        <f t="shared" si="14"/>
        <v>46493</v>
      </c>
      <c r="C496">
        <f t="shared" si="15"/>
        <v>45493</v>
      </c>
      <c r="G496" t="s">
        <v>3519</v>
      </c>
    </row>
    <row r="497" spans="1:7">
      <c r="A497">
        <v>45494</v>
      </c>
      <c r="B497">
        <f t="shared" si="14"/>
        <v>46494</v>
      </c>
      <c r="C497">
        <f t="shared" si="15"/>
        <v>45494</v>
      </c>
      <c r="G497" t="s">
        <v>3519</v>
      </c>
    </row>
    <row r="498" spans="1:7">
      <c r="A498">
        <v>45495</v>
      </c>
      <c r="B498">
        <f t="shared" si="14"/>
        <v>46495</v>
      </c>
      <c r="C498">
        <f t="shared" si="15"/>
        <v>45495</v>
      </c>
      <c r="G498" t="s">
        <v>3519</v>
      </c>
    </row>
    <row r="499" spans="1:7">
      <c r="A499">
        <v>45496</v>
      </c>
      <c r="B499">
        <f t="shared" si="14"/>
        <v>46496</v>
      </c>
      <c r="C499">
        <f t="shared" si="15"/>
        <v>45496</v>
      </c>
      <c r="G499" t="s">
        <v>3519</v>
      </c>
    </row>
    <row r="500" spans="1:7">
      <c r="A500">
        <v>45497</v>
      </c>
      <c r="B500">
        <f t="shared" si="14"/>
        <v>46497</v>
      </c>
      <c r="C500">
        <f t="shared" si="15"/>
        <v>45497</v>
      </c>
      <c r="G500" t="s">
        <v>3519</v>
      </c>
    </row>
    <row r="501" spans="1:7">
      <c r="A501">
        <v>45498</v>
      </c>
      <c r="B501">
        <f t="shared" si="14"/>
        <v>46498</v>
      </c>
      <c r="C501">
        <f t="shared" si="15"/>
        <v>45498</v>
      </c>
      <c r="G501" t="s">
        <v>3519</v>
      </c>
    </row>
    <row r="502" spans="1:7">
      <c r="A502">
        <v>45499</v>
      </c>
      <c r="B502">
        <f t="shared" si="14"/>
        <v>46499</v>
      </c>
      <c r="C502">
        <f t="shared" si="15"/>
        <v>45499</v>
      </c>
      <c r="G502" t="s">
        <v>3519</v>
      </c>
    </row>
    <row r="503" spans="1:7">
      <c r="A503">
        <v>45500</v>
      </c>
      <c r="B503">
        <f t="shared" si="14"/>
        <v>46500</v>
      </c>
      <c r="C503">
        <f t="shared" si="15"/>
        <v>45500</v>
      </c>
      <c r="G503" t="s">
        <v>3529</v>
      </c>
    </row>
    <row r="504" spans="1:7">
      <c r="A504">
        <v>45501</v>
      </c>
      <c r="B504">
        <f t="shared" si="14"/>
        <v>46501</v>
      </c>
      <c r="C504">
        <f t="shared" si="15"/>
        <v>45501</v>
      </c>
      <c r="G504" t="s">
        <v>3529</v>
      </c>
    </row>
    <row r="505" spans="1:7">
      <c r="A505">
        <v>45502</v>
      </c>
      <c r="B505">
        <f t="shared" si="14"/>
        <v>46502</v>
      </c>
      <c r="C505">
        <f t="shared" si="15"/>
        <v>45502</v>
      </c>
      <c r="G505" t="s">
        <v>3529</v>
      </c>
    </row>
    <row r="506" spans="1:7">
      <c r="A506">
        <v>45503</v>
      </c>
      <c r="B506">
        <f t="shared" si="14"/>
        <v>46503</v>
      </c>
      <c r="C506">
        <f t="shared" si="15"/>
        <v>45503</v>
      </c>
      <c r="G506" t="s">
        <v>3529</v>
      </c>
    </row>
    <row r="507" spans="1:7">
      <c r="A507">
        <v>45504</v>
      </c>
      <c r="B507">
        <f t="shared" si="14"/>
        <v>46504</v>
      </c>
      <c r="C507">
        <f t="shared" si="15"/>
        <v>45504</v>
      </c>
      <c r="G507" t="s">
        <v>3529</v>
      </c>
    </row>
    <row r="508" spans="1:7">
      <c r="A508">
        <v>45505</v>
      </c>
      <c r="B508">
        <f t="shared" si="14"/>
        <v>46505</v>
      </c>
      <c r="C508">
        <f t="shared" si="15"/>
        <v>45505</v>
      </c>
      <c r="G508" t="s">
        <v>3529</v>
      </c>
    </row>
    <row r="509" spans="1:7">
      <c r="A509">
        <v>45506</v>
      </c>
      <c r="B509">
        <f t="shared" si="14"/>
        <v>46506</v>
      </c>
      <c r="C509">
        <f t="shared" si="15"/>
        <v>45506</v>
      </c>
      <c r="G509" t="s">
        <v>3529</v>
      </c>
    </row>
    <row r="510" spans="1:7">
      <c r="A510">
        <v>45507</v>
      </c>
      <c r="B510">
        <f t="shared" si="14"/>
        <v>46507</v>
      </c>
      <c r="C510">
        <f t="shared" si="15"/>
        <v>45507</v>
      </c>
      <c r="G510" t="s">
        <v>3529</v>
      </c>
    </row>
    <row r="511" spans="1:7">
      <c r="A511">
        <v>45508</v>
      </c>
      <c r="B511">
        <f t="shared" si="14"/>
        <v>46508</v>
      </c>
      <c r="C511">
        <f t="shared" si="15"/>
        <v>45508</v>
      </c>
      <c r="G511" t="s">
        <v>3529</v>
      </c>
    </row>
    <row r="512" spans="1:7">
      <c r="A512">
        <v>45509</v>
      </c>
      <c r="B512">
        <f t="shared" si="14"/>
        <v>46509</v>
      </c>
      <c r="C512">
        <f t="shared" si="15"/>
        <v>45509</v>
      </c>
      <c r="G512" t="s">
        <v>3529</v>
      </c>
    </row>
    <row r="513" spans="1:7">
      <c r="A513">
        <v>45510</v>
      </c>
      <c r="B513">
        <f t="shared" si="14"/>
        <v>46510</v>
      </c>
      <c r="C513">
        <f t="shared" si="15"/>
        <v>45510</v>
      </c>
      <c r="G513" t="s">
        <v>3529</v>
      </c>
    </row>
    <row r="514" spans="1:7">
      <c r="A514">
        <v>45511</v>
      </c>
      <c r="B514">
        <f t="shared" si="14"/>
        <v>46511</v>
      </c>
      <c r="C514">
        <f t="shared" si="15"/>
        <v>45511</v>
      </c>
      <c r="G514" t="s">
        <v>3529</v>
      </c>
    </row>
    <row r="515" spans="1:7">
      <c r="A515">
        <v>45512</v>
      </c>
      <c r="B515">
        <f t="shared" si="14"/>
        <v>46512</v>
      </c>
      <c r="C515">
        <f t="shared" si="15"/>
        <v>45512</v>
      </c>
      <c r="G515" t="s">
        <v>3529</v>
      </c>
    </row>
    <row r="516" spans="1:7">
      <c r="A516">
        <v>45513</v>
      </c>
      <c r="B516">
        <f t="shared" ref="B516:B579" si="16">A516+1000</f>
        <v>46513</v>
      </c>
      <c r="C516">
        <f t="shared" ref="C516:C579" si="17">IF(ISERROR(FIND("Epic",E516)),A516,A516+10000)</f>
        <v>45513</v>
      </c>
      <c r="G516" t="s">
        <v>3529</v>
      </c>
    </row>
    <row r="517" spans="1:7">
      <c r="A517">
        <v>45514</v>
      </c>
      <c r="B517">
        <f t="shared" si="16"/>
        <v>46514</v>
      </c>
      <c r="C517">
        <f t="shared" si="17"/>
        <v>45514</v>
      </c>
      <c r="G517" t="s">
        <v>3529</v>
      </c>
    </row>
    <row r="518" spans="1:7">
      <c r="A518">
        <v>45515</v>
      </c>
      <c r="B518">
        <f t="shared" si="16"/>
        <v>46515</v>
      </c>
      <c r="C518">
        <f t="shared" si="17"/>
        <v>45515</v>
      </c>
      <c r="G518" t="s">
        <v>3529</v>
      </c>
    </row>
    <row r="519" spans="1:7">
      <c r="A519">
        <v>45516</v>
      </c>
      <c r="B519">
        <f t="shared" si="16"/>
        <v>46516</v>
      </c>
      <c r="C519">
        <f t="shared" si="17"/>
        <v>45516</v>
      </c>
      <c r="G519" t="s">
        <v>3529</v>
      </c>
    </row>
    <row r="520" spans="1:7">
      <c r="A520">
        <v>45517</v>
      </c>
      <c r="B520">
        <f t="shared" si="16"/>
        <v>46517</v>
      </c>
      <c r="C520">
        <f t="shared" si="17"/>
        <v>45517</v>
      </c>
      <c r="G520" t="s">
        <v>3529</v>
      </c>
    </row>
    <row r="521" spans="1:7">
      <c r="A521">
        <v>45518</v>
      </c>
      <c r="B521">
        <f t="shared" si="16"/>
        <v>46518</v>
      </c>
      <c r="C521">
        <f t="shared" si="17"/>
        <v>45518</v>
      </c>
      <c r="G521" t="s">
        <v>3529</v>
      </c>
    </row>
    <row r="522" spans="1:7">
      <c r="A522">
        <v>45519</v>
      </c>
      <c r="B522">
        <f t="shared" si="16"/>
        <v>46519</v>
      </c>
      <c r="C522">
        <f t="shared" si="17"/>
        <v>45519</v>
      </c>
      <c r="G522" t="s">
        <v>3529</v>
      </c>
    </row>
    <row r="523" spans="1:7">
      <c r="A523">
        <v>45520</v>
      </c>
      <c r="B523">
        <f t="shared" si="16"/>
        <v>46520</v>
      </c>
      <c r="C523">
        <f t="shared" si="17"/>
        <v>45520</v>
      </c>
      <c r="G523" t="s">
        <v>3529</v>
      </c>
    </row>
    <row r="524" spans="1:7">
      <c r="A524">
        <v>45521</v>
      </c>
      <c r="B524">
        <f t="shared" si="16"/>
        <v>46521</v>
      </c>
      <c r="C524">
        <f t="shared" si="17"/>
        <v>45521</v>
      </c>
      <c r="G524" t="s">
        <v>3529</v>
      </c>
    </row>
    <row r="525" spans="1:7">
      <c r="A525">
        <v>45522</v>
      </c>
      <c r="B525">
        <f t="shared" si="16"/>
        <v>46522</v>
      </c>
      <c r="C525">
        <f t="shared" si="17"/>
        <v>45522</v>
      </c>
      <c r="G525" t="s">
        <v>3529</v>
      </c>
    </row>
    <row r="526" spans="1:7">
      <c r="A526">
        <v>45523</v>
      </c>
      <c r="B526">
        <f t="shared" si="16"/>
        <v>46523</v>
      </c>
      <c r="C526">
        <f t="shared" si="17"/>
        <v>45523</v>
      </c>
      <c r="G526" t="s">
        <v>3529</v>
      </c>
    </row>
    <row r="527" spans="1:7">
      <c r="A527">
        <v>45524</v>
      </c>
      <c r="B527">
        <f t="shared" si="16"/>
        <v>46524</v>
      </c>
      <c r="C527">
        <f t="shared" si="17"/>
        <v>45524</v>
      </c>
      <c r="G527" t="s">
        <v>3529</v>
      </c>
    </row>
    <row r="528" spans="1:7">
      <c r="A528">
        <v>45525</v>
      </c>
      <c r="B528">
        <f t="shared" si="16"/>
        <v>46525</v>
      </c>
      <c r="C528">
        <f t="shared" si="17"/>
        <v>45525</v>
      </c>
      <c r="G528" t="s">
        <v>3529</v>
      </c>
    </row>
    <row r="529" spans="1:7">
      <c r="A529">
        <v>45526</v>
      </c>
      <c r="B529">
        <f t="shared" si="16"/>
        <v>46526</v>
      </c>
      <c r="C529">
        <f t="shared" si="17"/>
        <v>45526</v>
      </c>
      <c r="G529" t="s">
        <v>3529</v>
      </c>
    </row>
    <row r="530" spans="1:7">
      <c r="A530">
        <v>45527</v>
      </c>
      <c r="B530">
        <f t="shared" si="16"/>
        <v>46527</v>
      </c>
      <c r="C530">
        <f t="shared" si="17"/>
        <v>45527</v>
      </c>
      <c r="G530" t="s">
        <v>3529</v>
      </c>
    </row>
    <row r="531" spans="1:7">
      <c r="A531">
        <v>45528</v>
      </c>
      <c r="B531">
        <f t="shared" si="16"/>
        <v>46528</v>
      </c>
      <c r="C531">
        <f t="shared" si="17"/>
        <v>45528</v>
      </c>
      <c r="G531" t="s">
        <v>3529</v>
      </c>
    </row>
    <row r="532" spans="1:7">
      <c r="A532">
        <v>45529</v>
      </c>
      <c r="B532">
        <f t="shared" si="16"/>
        <v>46529</v>
      </c>
      <c r="C532">
        <f t="shared" si="17"/>
        <v>45529</v>
      </c>
      <c r="G532" t="s">
        <v>3529</v>
      </c>
    </row>
    <row r="533" spans="1:7">
      <c r="A533">
        <v>45530</v>
      </c>
      <c r="B533">
        <f t="shared" si="16"/>
        <v>46530</v>
      </c>
      <c r="C533">
        <f t="shared" si="17"/>
        <v>45530</v>
      </c>
      <c r="G533" t="s">
        <v>3529</v>
      </c>
    </row>
    <row r="534" spans="1:7">
      <c r="A534">
        <v>45531</v>
      </c>
      <c r="B534">
        <f t="shared" si="16"/>
        <v>46531</v>
      </c>
      <c r="C534">
        <f t="shared" si="17"/>
        <v>45531</v>
      </c>
      <c r="G534" t="s">
        <v>3529</v>
      </c>
    </row>
    <row r="535" spans="1:7">
      <c r="A535">
        <v>45532</v>
      </c>
      <c r="B535">
        <f t="shared" si="16"/>
        <v>46532</v>
      </c>
      <c r="C535">
        <f t="shared" si="17"/>
        <v>45532</v>
      </c>
      <c r="G535" t="s">
        <v>3529</v>
      </c>
    </row>
    <row r="536" spans="1:7">
      <c r="A536">
        <v>45533</v>
      </c>
      <c r="B536">
        <f t="shared" si="16"/>
        <v>46533</v>
      </c>
      <c r="C536">
        <f t="shared" si="17"/>
        <v>45533</v>
      </c>
      <c r="G536" t="s">
        <v>3529</v>
      </c>
    </row>
    <row r="537" spans="1:7">
      <c r="A537">
        <v>45534</v>
      </c>
      <c r="B537">
        <f t="shared" si="16"/>
        <v>46534</v>
      </c>
      <c r="C537">
        <f t="shared" si="17"/>
        <v>45534</v>
      </c>
      <c r="G537" t="s">
        <v>3529</v>
      </c>
    </row>
    <row r="538" spans="1:7">
      <c r="A538">
        <v>45535</v>
      </c>
      <c r="B538">
        <f t="shared" si="16"/>
        <v>46535</v>
      </c>
      <c r="C538">
        <f t="shared" si="17"/>
        <v>45535</v>
      </c>
      <c r="G538" t="s">
        <v>3529</v>
      </c>
    </row>
    <row r="539" spans="1:7">
      <c r="A539">
        <v>45536</v>
      </c>
      <c r="B539">
        <f t="shared" si="16"/>
        <v>46536</v>
      </c>
      <c r="C539">
        <f t="shared" si="17"/>
        <v>45536</v>
      </c>
      <c r="G539" t="s">
        <v>3529</v>
      </c>
    </row>
    <row r="540" spans="1:7">
      <c r="A540">
        <v>45537</v>
      </c>
      <c r="B540">
        <f t="shared" si="16"/>
        <v>46537</v>
      </c>
      <c r="C540">
        <f t="shared" si="17"/>
        <v>45537</v>
      </c>
      <c r="G540" t="s">
        <v>3529</v>
      </c>
    </row>
    <row r="541" spans="1:7">
      <c r="A541">
        <v>45538</v>
      </c>
      <c r="B541">
        <f t="shared" si="16"/>
        <v>46538</v>
      </c>
      <c r="C541">
        <f t="shared" si="17"/>
        <v>45538</v>
      </c>
      <c r="G541" t="s">
        <v>3529</v>
      </c>
    </row>
    <row r="542" spans="1:7">
      <c r="A542">
        <v>45539</v>
      </c>
      <c r="B542">
        <f t="shared" si="16"/>
        <v>46539</v>
      </c>
      <c r="C542">
        <f t="shared" si="17"/>
        <v>45539</v>
      </c>
      <c r="G542" t="s">
        <v>3529</v>
      </c>
    </row>
    <row r="543" spans="1:7">
      <c r="A543">
        <v>45540</v>
      </c>
      <c r="B543">
        <f t="shared" si="16"/>
        <v>46540</v>
      </c>
      <c r="C543">
        <f t="shared" si="17"/>
        <v>45540</v>
      </c>
      <c r="G543" t="s">
        <v>3529</v>
      </c>
    </row>
    <row r="544" spans="1:7">
      <c r="A544">
        <v>45541</v>
      </c>
      <c r="B544">
        <f t="shared" si="16"/>
        <v>46541</v>
      </c>
      <c r="C544">
        <f t="shared" si="17"/>
        <v>45541</v>
      </c>
      <c r="G544" t="s">
        <v>3529</v>
      </c>
    </row>
    <row r="545" spans="1:7">
      <c r="A545">
        <v>45542</v>
      </c>
      <c r="B545">
        <f t="shared" si="16"/>
        <v>46542</v>
      </c>
      <c r="C545">
        <f t="shared" si="17"/>
        <v>45542</v>
      </c>
      <c r="G545" t="s">
        <v>3529</v>
      </c>
    </row>
    <row r="546" spans="1:7">
      <c r="A546">
        <v>45543</v>
      </c>
      <c r="B546">
        <f t="shared" si="16"/>
        <v>46543</v>
      </c>
      <c r="C546">
        <f t="shared" si="17"/>
        <v>45543</v>
      </c>
      <c r="G546" t="s">
        <v>3529</v>
      </c>
    </row>
    <row r="547" spans="1:7">
      <c r="A547">
        <v>45544</v>
      </c>
      <c r="B547">
        <f t="shared" si="16"/>
        <v>46544</v>
      </c>
      <c r="C547">
        <f t="shared" si="17"/>
        <v>45544</v>
      </c>
      <c r="G547" t="s">
        <v>3529</v>
      </c>
    </row>
    <row r="548" spans="1:7">
      <c r="A548">
        <v>45545</v>
      </c>
      <c r="B548">
        <f t="shared" si="16"/>
        <v>46545</v>
      </c>
      <c r="C548">
        <f t="shared" si="17"/>
        <v>45545</v>
      </c>
      <c r="G548" t="s">
        <v>3529</v>
      </c>
    </row>
    <row r="549" spans="1:7">
      <c r="A549">
        <v>45546</v>
      </c>
      <c r="B549">
        <f t="shared" si="16"/>
        <v>46546</v>
      </c>
      <c r="C549">
        <f t="shared" si="17"/>
        <v>45546</v>
      </c>
      <c r="G549" t="s">
        <v>3529</v>
      </c>
    </row>
    <row r="550" spans="1:7">
      <c r="A550">
        <v>45547</v>
      </c>
      <c r="B550">
        <f t="shared" si="16"/>
        <v>46547</v>
      </c>
      <c r="C550">
        <f t="shared" si="17"/>
        <v>45547</v>
      </c>
      <c r="G550" t="s">
        <v>3529</v>
      </c>
    </row>
    <row r="551" spans="1:7">
      <c r="A551">
        <v>45548</v>
      </c>
      <c r="B551">
        <f t="shared" si="16"/>
        <v>46548</v>
      </c>
      <c r="C551">
        <f t="shared" si="17"/>
        <v>45548</v>
      </c>
      <c r="G551" t="s">
        <v>3529</v>
      </c>
    </row>
    <row r="552" spans="1:7">
      <c r="A552">
        <v>45549</v>
      </c>
      <c r="B552">
        <f t="shared" si="16"/>
        <v>46549</v>
      </c>
      <c r="C552">
        <f t="shared" si="17"/>
        <v>45549</v>
      </c>
      <c r="G552" t="s">
        <v>3529</v>
      </c>
    </row>
    <row r="553" spans="1:7">
      <c r="A553">
        <v>45550</v>
      </c>
      <c r="B553">
        <f t="shared" si="16"/>
        <v>46550</v>
      </c>
      <c r="C553">
        <f t="shared" si="17"/>
        <v>45550</v>
      </c>
      <c r="G553" t="s">
        <v>3529</v>
      </c>
    </row>
    <row r="554" spans="1:7">
      <c r="A554">
        <v>45551</v>
      </c>
      <c r="B554">
        <f t="shared" si="16"/>
        <v>46551</v>
      </c>
      <c r="C554">
        <f t="shared" si="17"/>
        <v>45551</v>
      </c>
      <c r="G554" t="s">
        <v>3529</v>
      </c>
    </row>
    <row r="555" spans="1:7">
      <c r="A555">
        <v>45552</v>
      </c>
      <c r="B555">
        <f t="shared" si="16"/>
        <v>46552</v>
      </c>
      <c r="C555">
        <f t="shared" si="17"/>
        <v>45552</v>
      </c>
      <c r="G555" t="s">
        <v>3529</v>
      </c>
    </row>
    <row r="556" spans="1:7">
      <c r="A556">
        <v>45553</v>
      </c>
      <c r="B556">
        <f t="shared" si="16"/>
        <v>46553</v>
      </c>
      <c r="C556">
        <f t="shared" si="17"/>
        <v>45553</v>
      </c>
      <c r="G556" t="s">
        <v>3529</v>
      </c>
    </row>
    <row r="557" spans="1:7">
      <c r="A557">
        <v>45554</v>
      </c>
      <c r="B557">
        <f t="shared" si="16"/>
        <v>46554</v>
      </c>
      <c r="C557">
        <f t="shared" si="17"/>
        <v>45554</v>
      </c>
      <c r="G557" t="s">
        <v>3529</v>
      </c>
    </row>
    <row r="558" spans="1:7">
      <c r="A558">
        <v>45555</v>
      </c>
      <c r="B558">
        <f t="shared" si="16"/>
        <v>46555</v>
      </c>
      <c r="C558">
        <f t="shared" si="17"/>
        <v>45555</v>
      </c>
      <c r="G558" t="s">
        <v>3529</v>
      </c>
    </row>
    <row r="559" spans="1:7">
      <c r="A559">
        <v>45556</v>
      </c>
      <c r="B559">
        <f t="shared" si="16"/>
        <v>46556</v>
      </c>
      <c r="C559">
        <f t="shared" si="17"/>
        <v>45556</v>
      </c>
      <c r="G559" t="s">
        <v>3529</v>
      </c>
    </row>
    <row r="560" spans="1:7">
      <c r="A560">
        <v>45557</v>
      </c>
      <c r="B560">
        <f t="shared" si="16"/>
        <v>46557</v>
      </c>
      <c r="C560">
        <f t="shared" si="17"/>
        <v>45557</v>
      </c>
      <c r="G560" t="s">
        <v>3529</v>
      </c>
    </row>
    <row r="561" spans="1:7">
      <c r="A561">
        <v>45558</v>
      </c>
      <c r="B561">
        <f t="shared" si="16"/>
        <v>46558</v>
      </c>
      <c r="C561">
        <f t="shared" si="17"/>
        <v>45558</v>
      </c>
      <c r="G561" t="s">
        <v>3529</v>
      </c>
    </row>
    <row r="562" spans="1:7">
      <c r="A562">
        <v>45559</v>
      </c>
      <c r="B562">
        <f t="shared" si="16"/>
        <v>46559</v>
      </c>
      <c r="C562">
        <f t="shared" si="17"/>
        <v>45559</v>
      </c>
      <c r="G562" t="s">
        <v>3529</v>
      </c>
    </row>
    <row r="563" spans="1:7">
      <c r="A563">
        <v>45560</v>
      </c>
      <c r="B563">
        <f t="shared" si="16"/>
        <v>46560</v>
      </c>
      <c r="C563">
        <f t="shared" si="17"/>
        <v>45560</v>
      </c>
      <c r="G563" t="s">
        <v>3529</v>
      </c>
    </row>
    <row r="564" spans="1:7">
      <c r="A564">
        <v>45561</v>
      </c>
      <c r="B564">
        <f t="shared" si="16"/>
        <v>46561</v>
      </c>
      <c r="C564">
        <f t="shared" si="17"/>
        <v>45561</v>
      </c>
      <c r="G564" t="s">
        <v>3529</v>
      </c>
    </row>
    <row r="565" spans="1:7">
      <c r="A565">
        <v>45562</v>
      </c>
      <c r="B565">
        <f t="shared" si="16"/>
        <v>46562</v>
      </c>
      <c r="C565">
        <f t="shared" si="17"/>
        <v>45562</v>
      </c>
      <c r="G565" t="s">
        <v>3529</v>
      </c>
    </row>
    <row r="566" spans="1:7">
      <c r="A566">
        <v>45563</v>
      </c>
      <c r="B566">
        <f t="shared" si="16"/>
        <v>46563</v>
      </c>
      <c r="C566">
        <f t="shared" si="17"/>
        <v>45563</v>
      </c>
      <c r="G566" t="s">
        <v>3529</v>
      </c>
    </row>
    <row r="567" spans="1:7">
      <c r="A567">
        <v>45564</v>
      </c>
      <c r="B567">
        <f t="shared" si="16"/>
        <v>46564</v>
      </c>
      <c r="C567">
        <f t="shared" si="17"/>
        <v>45564</v>
      </c>
      <c r="G567" t="s">
        <v>3529</v>
      </c>
    </row>
    <row r="568" spans="1:7">
      <c r="A568">
        <v>45565</v>
      </c>
      <c r="B568">
        <f t="shared" si="16"/>
        <v>46565</v>
      </c>
      <c r="C568">
        <f t="shared" si="17"/>
        <v>45565</v>
      </c>
      <c r="G568" t="s">
        <v>3529</v>
      </c>
    </row>
    <row r="569" spans="1:7">
      <c r="A569">
        <v>45566</v>
      </c>
      <c r="B569">
        <f t="shared" si="16"/>
        <v>46566</v>
      </c>
      <c r="C569">
        <f t="shared" si="17"/>
        <v>45566</v>
      </c>
      <c r="G569" t="s">
        <v>3529</v>
      </c>
    </row>
    <row r="570" spans="1:7">
      <c r="A570">
        <v>45567</v>
      </c>
      <c r="B570">
        <f t="shared" si="16"/>
        <v>46567</v>
      </c>
      <c r="C570">
        <f t="shared" si="17"/>
        <v>45567</v>
      </c>
      <c r="G570" t="s">
        <v>3529</v>
      </c>
    </row>
    <row r="571" spans="1:7">
      <c r="A571">
        <v>45568</v>
      </c>
      <c r="B571">
        <f t="shared" si="16"/>
        <v>46568</v>
      </c>
      <c r="C571">
        <f t="shared" si="17"/>
        <v>45568</v>
      </c>
      <c r="G571" t="s">
        <v>3529</v>
      </c>
    </row>
    <row r="572" spans="1:7">
      <c r="A572">
        <v>45569</v>
      </c>
      <c r="B572">
        <f t="shared" si="16"/>
        <v>46569</v>
      </c>
      <c r="C572">
        <f t="shared" si="17"/>
        <v>45569</v>
      </c>
      <c r="G572" t="s">
        <v>3529</v>
      </c>
    </row>
    <row r="573" spans="1:7">
      <c r="A573">
        <v>45570</v>
      </c>
      <c r="B573">
        <f t="shared" si="16"/>
        <v>46570</v>
      </c>
      <c r="C573">
        <f t="shared" si="17"/>
        <v>45570</v>
      </c>
      <c r="G573" t="s">
        <v>3529</v>
      </c>
    </row>
    <row r="574" spans="1:7">
      <c r="A574">
        <v>45571</v>
      </c>
      <c r="B574">
        <f t="shared" si="16"/>
        <v>46571</v>
      </c>
      <c r="C574">
        <f t="shared" si="17"/>
        <v>45571</v>
      </c>
      <c r="G574" t="s">
        <v>3529</v>
      </c>
    </row>
    <row r="575" spans="1:7">
      <c r="A575">
        <v>45572</v>
      </c>
      <c r="B575">
        <f t="shared" si="16"/>
        <v>46572</v>
      </c>
      <c r="C575">
        <f t="shared" si="17"/>
        <v>45572</v>
      </c>
      <c r="G575" t="s">
        <v>3529</v>
      </c>
    </row>
    <row r="576" spans="1:7">
      <c r="A576">
        <v>45573</v>
      </c>
      <c r="B576">
        <f t="shared" si="16"/>
        <v>46573</v>
      </c>
      <c r="C576">
        <f t="shared" si="17"/>
        <v>45573</v>
      </c>
      <c r="G576" t="s">
        <v>3529</v>
      </c>
    </row>
    <row r="577" spans="1:7">
      <c r="A577">
        <v>45574</v>
      </c>
      <c r="B577">
        <f t="shared" si="16"/>
        <v>46574</v>
      </c>
      <c r="C577">
        <f t="shared" si="17"/>
        <v>45574</v>
      </c>
      <c r="G577" t="s">
        <v>3529</v>
      </c>
    </row>
    <row r="578" spans="1:7">
      <c r="A578">
        <v>45575</v>
      </c>
      <c r="B578">
        <f t="shared" si="16"/>
        <v>46575</v>
      </c>
      <c r="C578">
        <f t="shared" si="17"/>
        <v>45575</v>
      </c>
      <c r="G578" t="s">
        <v>3529</v>
      </c>
    </row>
    <row r="579" spans="1:7">
      <c r="A579">
        <v>45576</v>
      </c>
      <c r="B579">
        <f t="shared" si="16"/>
        <v>46576</v>
      </c>
      <c r="C579">
        <f t="shared" si="17"/>
        <v>45576</v>
      </c>
      <c r="G579" t="s">
        <v>3529</v>
      </c>
    </row>
    <row r="580" spans="1:7">
      <c r="A580">
        <v>45577</v>
      </c>
      <c r="B580">
        <f t="shared" ref="B580:B643" si="18">A580+1000</f>
        <v>46577</v>
      </c>
      <c r="C580">
        <f t="shared" ref="C580:C643" si="19">IF(ISERROR(FIND("Epic",E580)),A580,A580+10000)</f>
        <v>45577</v>
      </c>
      <c r="G580" t="s">
        <v>3529</v>
      </c>
    </row>
    <row r="581" spans="1:7">
      <c r="A581">
        <v>45578</v>
      </c>
      <c r="B581">
        <f t="shared" si="18"/>
        <v>46578</v>
      </c>
      <c r="C581">
        <f t="shared" si="19"/>
        <v>45578</v>
      </c>
      <c r="G581" t="s">
        <v>3529</v>
      </c>
    </row>
    <row r="582" spans="1:7">
      <c r="A582">
        <v>45579</v>
      </c>
      <c r="B582">
        <f t="shared" si="18"/>
        <v>46579</v>
      </c>
      <c r="C582">
        <f t="shared" si="19"/>
        <v>45579</v>
      </c>
      <c r="G582" t="s">
        <v>3529</v>
      </c>
    </row>
    <row r="583" spans="1:7">
      <c r="A583">
        <v>45580</v>
      </c>
      <c r="B583">
        <f t="shared" si="18"/>
        <v>46580</v>
      </c>
      <c r="C583">
        <f t="shared" si="19"/>
        <v>45580</v>
      </c>
      <c r="G583" t="s">
        <v>3529</v>
      </c>
    </row>
    <row r="584" spans="1:7">
      <c r="A584">
        <v>45581</v>
      </c>
      <c r="B584">
        <f t="shared" si="18"/>
        <v>46581</v>
      </c>
      <c r="C584">
        <f t="shared" si="19"/>
        <v>45581</v>
      </c>
      <c r="G584" t="s">
        <v>3529</v>
      </c>
    </row>
    <row r="585" spans="1:7">
      <c r="A585">
        <v>45582</v>
      </c>
      <c r="B585">
        <f t="shared" si="18"/>
        <v>46582</v>
      </c>
      <c r="C585">
        <f t="shared" si="19"/>
        <v>45582</v>
      </c>
      <c r="G585" t="s">
        <v>3529</v>
      </c>
    </row>
    <row r="586" spans="1:7">
      <c r="A586">
        <v>45583</v>
      </c>
      <c r="B586">
        <f t="shared" si="18"/>
        <v>46583</v>
      </c>
      <c r="C586">
        <f t="shared" si="19"/>
        <v>45583</v>
      </c>
      <c r="G586" t="s">
        <v>3529</v>
      </c>
    </row>
    <row r="587" spans="1:7">
      <c r="A587">
        <v>45584</v>
      </c>
      <c r="B587">
        <f t="shared" si="18"/>
        <v>46584</v>
      </c>
      <c r="C587">
        <f t="shared" si="19"/>
        <v>45584</v>
      </c>
      <c r="G587" t="s">
        <v>3529</v>
      </c>
    </row>
    <row r="588" spans="1:7">
      <c r="A588">
        <v>45585</v>
      </c>
      <c r="B588">
        <f t="shared" si="18"/>
        <v>46585</v>
      </c>
      <c r="C588">
        <f t="shared" si="19"/>
        <v>45585</v>
      </c>
      <c r="G588" t="s">
        <v>3529</v>
      </c>
    </row>
    <row r="589" spans="1:7">
      <c r="A589">
        <v>45586</v>
      </c>
      <c r="B589">
        <f t="shared" si="18"/>
        <v>46586</v>
      </c>
      <c r="C589">
        <f t="shared" si="19"/>
        <v>45586</v>
      </c>
      <c r="G589" t="s">
        <v>3529</v>
      </c>
    </row>
    <row r="590" spans="1:7">
      <c r="A590">
        <v>45587</v>
      </c>
      <c r="B590">
        <f t="shared" si="18"/>
        <v>46587</v>
      </c>
      <c r="C590">
        <f t="shared" si="19"/>
        <v>45587</v>
      </c>
      <c r="G590" t="s">
        <v>3529</v>
      </c>
    </row>
    <row r="591" spans="1:7">
      <c r="A591">
        <v>45588</v>
      </c>
      <c r="B591">
        <f t="shared" si="18"/>
        <v>46588</v>
      </c>
      <c r="C591">
        <f t="shared" si="19"/>
        <v>45588</v>
      </c>
      <c r="G591" t="s">
        <v>3529</v>
      </c>
    </row>
    <row r="592" spans="1:7">
      <c r="A592">
        <v>45589</v>
      </c>
      <c r="B592">
        <f t="shared" si="18"/>
        <v>46589</v>
      </c>
      <c r="C592">
        <f t="shared" si="19"/>
        <v>45589</v>
      </c>
      <c r="G592" t="s">
        <v>3529</v>
      </c>
    </row>
    <row r="593" spans="1:7">
      <c r="A593">
        <v>45590</v>
      </c>
      <c r="B593">
        <f t="shared" si="18"/>
        <v>46590</v>
      </c>
      <c r="C593">
        <f t="shared" si="19"/>
        <v>45590</v>
      </c>
      <c r="G593" t="s">
        <v>3529</v>
      </c>
    </row>
    <row r="594" spans="1:7">
      <c r="A594">
        <v>45591</v>
      </c>
      <c r="B594">
        <f t="shared" si="18"/>
        <v>46591</v>
      </c>
      <c r="C594">
        <f t="shared" si="19"/>
        <v>45591</v>
      </c>
      <c r="G594" t="s">
        <v>3529</v>
      </c>
    </row>
    <row r="595" spans="1:7">
      <c r="A595">
        <v>45592</v>
      </c>
      <c r="B595">
        <f t="shared" si="18"/>
        <v>46592</v>
      </c>
      <c r="C595">
        <f t="shared" si="19"/>
        <v>45592</v>
      </c>
      <c r="G595" t="s">
        <v>3529</v>
      </c>
    </row>
    <row r="596" spans="1:7">
      <c r="A596">
        <v>45593</v>
      </c>
      <c r="B596">
        <f t="shared" si="18"/>
        <v>46593</v>
      </c>
      <c r="C596">
        <f t="shared" si="19"/>
        <v>45593</v>
      </c>
      <c r="G596" t="s">
        <v>3529</v>
      </c>
    </row>
    <row r="597" spans="1:7">
      <c r="A597">
        <v>45594</v>
      </c>
      <c r="B597">
        <f t="shared" si="18"/>
        <v>46594</v>
      </c>
      <c r="C597">
        <f t="shared" si="19"/>
        <v>45594</v>
      </c>
      <c r="G597" t="s">
        <v>3529</v>
      </c>
    </row>
    <row r="598" spans="1:7">
      <c r="A598">
        <v>45595</v>
      </c>
      <c r="B598">
        <f t="shared" si="18"/>
        <v>46595</v>
      </c>
      <c r="C598">
        <f t="shared" si="19"/>
        <v>45595</v>
      </c>
      <c r="G598" t="s">
        <v>3529</v>
      </c>
    </row>
    <row r="599" spans="1:7">
      <c r="A599">
        <v>45596</v>
      </c>
      <c r="B599">
        <f t="shared" si="18"/>
        <v>46596</v>
      </c>
      <c r="C599">
        <f t="shared" si="19"/>
        <v>45596</v>
      </c>
      <c r="G599" t="s">
        <v>3529</v>
      </c>
    </row>
    <row r="600" spans="1:7">
      <c r="A600">
        <v>45597</v>
      </c>
      <c r="B600">
        <f t="shared" si="18"/>
        <v>46597</v>
      </c>
      <c r="C600">
        <f t="shared" si="19"/>
        <v>45597</v>
      </c>
      <c r="G600" t="s">
        <v>3529</v>
      </c>
    </row>
    <row r="601" spans="1:7">
      <c r="A601">
        <v>45598</v>
      </c>
      <c r="B601">
        <f t="shared" si="18"/>
        <v>46598</v>
      </c>
      <c r="C601">
        <f t="shared" si="19"/>
        <v>45598</v>
      </c>
      <c r="G601" t="s">
        <v>3529</v>
      </c>
    </row>
    <row r="602" spans="1:7">
      <c r="A602">
        <v>45599</v>
      </c>
      <c r="B602">
        <f t="shared" si="18"/>
        <v>46599</v>
      </c>
      <c r="C602">
        <f t="shared" si="19"/>
        <v>45599</v>
      </c>
      <c r="G602" t="s">
        <v>3529</v>
      </c>
    </row>
    <row r="603" spans="1:7">
      <c r="A603">
        <v>45600</v>
      </c>
      <c r="B603">
        <f t="shared" si="18"/>
        <v>46600</v>
      </c>
      <c r="C603">
        <f t="shared" si="19"/>
        <v>45600</v>
      </c>
      <c r="G603" t="s">
        <v>3529</v>
      </c>
    </row>
    <row r="604" spans="1:7">
      <c r="A604">
        <v>45601</v>
      </c>
      <c r="B604">
        <f t="shared" si="18"/>
        <v>46601</v>
      </c>
      <c r="C604">
        <f t="shared" si="19"/>
        <v>45601</v>
      </c>
      <c r="G604" t="s">
        <v>3529</v>
      </c>
    </row>
    <row r="605" spans="1:7">
      <c r="A605">
        <v>45602</v>
      </c>
      <c r="B605">
        <f t="shared" si="18"/>
        <v>46602</v>
      </c>
      <c r="C605">
        <f t="shared" si="19"/>
        <v>45602</v>
      </c>
      <c r="G605" t="s">
        <v>3529</v>
      </c>
    </row>
    <row r="606" spans="1:7">
      <c r="A606">
        <v>45603</v>
      </c>
      <c r="B606">
        <f t="shared" si="18"/>
        <v>46603</v>
      </c>
      <c r="C606">
        <f t="shared" si="19"/>
        <v>45603</v>
      </c>
      <c r="G606" t="s">
        <v>3529</v>
      </c>
    </row>
    <row r="607" spans="1:7">
      <c r="A607">
        <v>45604</v>
      </c>
      <c r="B607">
        <f t="shared" si="18"/>
        <v>46604</v>
      </c>
      <c r="C607">
        <f t="shared" si="19"/>
        <v>45604</v>
      </c>
      <c r="G607" t="s">
        <v>3529</v>
      </c>
    </row>
    <row r="608" spans="1:7">
      <c r="A608">
        <v>45605</v>
      </c>
      <c r="B608">
        <f t="shared" si="18"/>
        <v>46605</v>
      </c>
      <c r="C608">
        <f t="shared" si="19"/>
        <v>45605</v>
      </c>
      <c r="G608" t="s">
        <v>3529</v>
      </c>
    </row>
    <row r="609" spans="1:7">
      <c r="A609">
        <v>45606</v>
      </c>
      <c r="B609">
        <f t="shared" si="18"/>
        <v>46606</v>
      </c>
      <c r="C609">
        <f t="shared" si="19"/>
        <v>45606</v>
      </c>
      <c r="G609" t="s">
        <v>3529</v>
      </c>
    </row>
    <row r="610" spans="1:7">
      <c r="A610">
        <v>45607</v>
      </c>
      <c r="B610">
        <f t="shared" si="18"/>
        <v>46607</v>
      </c>
      <c r="C610">
        <f t="shared" si="19"/>
        <v>45607</v>
      </c>
      <c r="G610" t="s">
        <v>3529</v>
      </c>
    </row>
    <row r="611" spans="1:7">
      <c r="A611">
        <v>45608</v>
      </c>
      <c r="B611">
        <f t="shared" si="18"/>
        <v>46608</v>
      </c>
      <c r="C611">
        <f t="shared" si="19"/>
        <v>45608</v>
      </c>
      <c r="G611" t="s">
        <v>3529</v>
      </c>
    </row>
    <row r="612" spans="1:7">
      <c r="A612">
        <v>45609</v>
      </c>
      <c r="B612">
        <f t="shared" si="18"/>
        <v>46609</v>
      </c>
      <c r="C612">
        <f t="shared" si="19"/>
        <v>45609</v>
      </c>
      <c r="G612" t="s">
        <v>3529</v>
      </c>
    </row>
    <row r="613" spans="1:7">
      <c r="A613">
        <v>45610</v>
      </c>
      <c r="B613">
        <f t="shared" si="18"/>
        <v>46610</v>
      </c>
      <c r="C613">
        <f t="shared" si="19"/>
        <v>45610</v>
      </c>
      <c r="G613" t="s">
        <v>3529</v>
      </c>
    </row>
    <row r="614" spans="1:7">
      <c r="A614">
        <v>45611</v>
      </c>
      <c r="B614">
        <f t="shared" si="18"/>
        <v>46611</v>
      </c>
      <c r="C614">
        <f t="shared" si="19"/>
        <v>45611</v>
      </c>
      <c r="G614" t="s">
        <v>3529</v>
      </c>
    </row>
    <row r="615" spans="1:7">
      <c r="A615">
        <v>45612</v>
      </c>
      <c r="B615">
        <f t="shared" si="18"/>
        <v>46612</v>
      </c>
      <c r="C615">
        <f t="shared" si="19"/>
        <v>45612</v>
      </c>
      <c r="G615" t="s">
        <v>3529</v>
      </c>
    </row>
    <row r="616" spans="1:7">
      <c r="A616">
        <v>45613</v>
      </c>
      <c r="B616">
        <f t="shared" si="18"/>
        <v>46613</v>
      </c>
      <c r="C616">
        <f t="shared" si="19"/>
        <v>45613</v>
      </c>
      <c r="G616" t="s">
        <v>3529</v>
      </c>
    </row>
    <row r="617" spans="1:7">
      <c r="A617">
        <v>45614</v>
      </c>
      <c r="B617">
        <f t="shared" si="18"/>
        <v>46614</v>
      </c>
      <c r="C617">
        <f t="shared" si="19"/>
        <v>45614</v>
      </c>
      <c r="G617" t="s">
        <v>3529</v>
      </c>
    </row>
    <row r="618" spans="1:7">
      <c r="A618">
        <v>45615</v>
      </c>
      <c r="B618">
        <f t="shared" si="18"/>
        <v>46615</v>
      </c>
      <c r="C618">
        <f t="shared" si="19"/>
        <v>45615</v>
      </c>
      <c r="G618" t="s">
        <v>3529</v>
      </c>
    </row>
    <row r="619" spans="1:7">
      <c r="A619">
        <v>45616</v>
      </c>
      <c r="B619">
        <f t="shared" si="18"/>
        <v>46616</v>
      </c>
      <c r="C619">
        <f t="shared" si="19"/>
        <v>45616</v>
      </c>
      <c r="G619" t="s">
        <v>3529</v>
      </c>
    </row>
    <row r="620" spans="1:7">
      <c r="A620">
        <v>45617</v>
      </c>
      <c r="B620">
        <f t="shared" si="18"/>
        <v>46617</v>
      </c>
      <c r="C620">
        <f t="shared" si="19"/>
        <v>45617</v>
      </c>
      <c r="G620" t="s">
        <v>3529</v>
      </c>
    </row>
    <row r="621" spans="1:7">
      <c r="A621">
        <v>45618</v>
      </c>
      <c r="B621">
        <f t="shared" si="18"/>
        <v>46618</v>
      </c>
      <c r="C621">
        <f t="shared" si="19"/>
        <v>45618</v>
      </c>
      <c r="G621" t="s">
        <v>3529</v>
      </c>
    </row>
    <row r="622" spans="1:7">
      <c r="A622">
        <v>45619</v>
      </c>
      <c r="B622">
        <f t="shared" si="18"/>
        <v>46619</v>
      </c>
      <c r="C622">
        <f t="shared" si="19"/>
        <v>45619</v>
      </c>
      <c r="G622" t="s">
        <v>3529</v>
      </c>
    </row>
    <row r="623" spans="1:7">
      <c r="A623">
        <v>45620</v>
      </c>
      <c r="B623">
        <f t="shared" si="18"/>
        <v>46620</v>
      </c>
      <c r="C623">
        <f t="shared" si="19"/>
        <v>45620</v>
      </c>
      <c r="G623" t="s">
        <v>3529</v>
      </c>
    </row>
    <row r="624" spans="1:7">
      <c r="A624">
        <v>45621</v>
      </c>
      <c r="B624">
        <f t="shared" si="18"/>
        <v>46621</v>
      </c>
      <c r="C624">
        <f t="shared" si="19"/>
        <v>45621</v>
      </c>
      <c r="G624" t="s">
        <v>3529</v>
      </c>
    </row>
    <row r="625" spans="1:7">
      <c r="A625">
        <v>45622</v>
      </c>
      <c r="B625">
        <f t="shared" si="18"/>
        <v>46622</v>
      </c>
      <c r="C625">
        <f t="shared" si="19"/>
        <v>45622</v>
      </c>
      <c r="G625" t="s">
        <v>3529</v>
      </c>
    </row>
    <row r="626" spans="1:7">
      <c r="A626">
        <v>45623</v>
      </c>
      <c r="B626">
        <f t="shared" si="18"/>
        <v>46623</v>
      </c>
      <c r="C626">
        <f t="shared" si="19"/>
        <v>45623</v>
      </c>
      <c r="G626" t="s">
        <v>3529</v>
      </c>
    </row>
    <row r="627" spans="1:7">
      <c r="A627">
        <v>45624</v>
      </c>
      <c r="B627">
        <f t="shared" si="18"/>
        <v>46624</v>
      </c>
      <c r="C627">
        <f t="shared" si="19"/>
        <v>45624</v>
      </c>
      <c r="G627" t="s">
        <v>3529</v>
      </c>
    </row>
    <row r="628" spans="1:7">
      <c r="A628">
        <v>45625</v>
      </c>
      <c r="B628">
        <f t="shared" si="18"/>
        <v>46625</v>
      </c>
      <c r="C628">
        <f t="shared" si="19"/>
        <v>45625</v>
      </c>
      <c r="G628" t="s">
        <v>3529</v>
      </c>
    </row>
    <row r="629" spans="1:7">
      <c r="A629">
        <v>45626</v>
      </c>
      <c r="B629">
        <f t="shared" si="18"/>
        <v>46626</v>
      </c>
      <c r="C629">
        <f t="shared" si="19"/>
        <v>45626</v>
      </c>
      <c r="G629" t="s">
        <v>3529</v>
      </c>
    </row>
    <row r="630" spans="1:7">
      <c r="A630">
        <v>45627</v>
      </c>
      <c r="B630">
        <f t="shared" si="18"/>
        <v>46627</v>
      </c>
      <c r="C630">
        <f t="shared" si="19"/>
        <v>45627</v>
      </c>
      <c r="G630" t="s">
        <v>3529</v>
      </c>
    </row>
    <row r="631" spans="1:7">
      <c r="A631">
        <v>45628</v>
      </c>
      <c r="B631">
        <f t="shared" si="18"/>
        <v>46628</v>
      </c>
      <c r="C631">
        <f t="shared" si="19"/>
        <v>45628</v>
      </c>
      <c r="G631" t="s">
        <v>3529</v>
      </c>
    </row>
    <row r="632" spans="1:7">
      <c r="A632">
        <v>45629</v>
      </c>
      <c r="B632">
        <f t="shared" si="18"/>
        <v>46629</v>
      </c>
      <c r="C632">
        <f t="shared" si="19"/>
        <v>45629</v>
      </c>
      <c r="G632" t="s">
        <v>3529</v>
      </c>
    </row>
    <row r="633" spans="1:7">
      <c r="A633">
        <v>45630</v>
      </c>
      <c r="B633">
        <f t="shared" si="18"/>
        <v>46630</v>
      </c>
      <c r="C633">
        <f t="shared" si="19"/>
        <v>45630</v>
      </c>
      <c r="G633" t="s">
        <v>3529</v>
      </c>
    </row>
    <row r="634" spans="1:7">
      <c r="A634">
        <v>45631</v>
      </c>
      <c r="B634">
        <f t="shared" si="18"/>
        <v>46631</v>
      </c>
      <c r="C634">
        <f t="shared" si="19"/>
        <v>45631</v>
      </c>
      <c r="G634" t="s">
        <v>3529</v>
      </c>
    </row>
    <row r="635" spans="1:7">
      <c r="A635">
        <v>45632</v>
      </c>
      <c r="B635">
        <f t="shared" si="18"/>
        <v>46632</v>
      </c>
      <c r="C635">
        <f t="shared" si="19"/>
        <v>45632</v>
      </c>
      <c r="G635" t="s">
        <v>3529</v>
      </c>
    </row>
    <row r="636" spans="1:7">
      <c r="A636">
        <v>45633</v>
      </c>
      <c r="B636">
        <f t="shared" si="18"/>
        <v>46633</v>
      </c>
      <c r="C636">
        <f t="shared" si="19"/>
        <v>45633</v>
      </c>
      <c r="G636" t="s">
        <v>3529</v>
      </c>
    </row>
    <row r="637" spans="1:7">
      <c r="A637">
        <v>45634</v>
      </c>
      <c r="B637">
        <f t="shared" si="18"/>
        <v>46634</v>
      </c>
      <c r="C637">
        <f t="shared" si="19"/>
        <v>45634</v>
      </c>
      <c r="G637" t="s">
        <v>3529</v>
      </c>
    </row>
    <row r="638" spans="1:7">
      <c r="A638">
        <v>45635</v>
      </c>
      <c r="B638">
        <f t="shared" si="18"/>
        <v>46635</v>
      </c>
      <c r="C638">
        <f t="shared" si="19"/>
        <v>45635</v>
      </c>
      <c r="G638" t="s">
        <v>3529</v>
      </c>
    </row>
    <row r="639" spans="1:7">
      <c r="A639">
        <v>45636</v>
      </c>
      <c r="B639">
        <f t="shared" si="18"/>
        <v>46636</v>
      </c>
      <c r="C639">
        <f t="shared" si="19"/>
        <v>45636</v>
      </c>
      <c r="G639" t="s">
        <v>3529</v>
      </c>
    </row>
    <row r="640" spans="1:7">
      <c r="A640">
        <v>45637</v>
      </c>
      <c r="B640">
        <f t="shared" si="18"/>
        <v>46637</v>
      </c>
      <c r="C640">
        <f t="shared" si="19"/>
        <v>45637</v>
      </c>
      <c r="G640" t="s">
        <v>3529</v>
      </c>
    </row>
    <row r="641" spans="1:7">
      <c r="A641">
        <v>45638</v>
      </c>
      <c r="B641">
        <f t="shared" si="18"/>
        <v>46638</v>
      </c>
      <c r="C641">
        <f t="shared" si="19"/>
        <v>45638</v>
      </c>
      <c r="G641" t="s">
        <v>3529</v>
      </c>
    </row>
    <row r="642" spans="1:7">
      <c r="A642">
        <v>45639</v>
      </c>
      <c r="B642">
        <f t="shared" si="18"/>
        <v>46639</v>
      </c>
      <c r="C642">
        <f t="shared" si="19"/>
        <v>45639</v>
      </c>
      <c r="G642" t="s">
        <v>3529</v>
      </c>
    </row>
    <row r="643" spans="1:7">
      <c r="A643">
        <v>45640</v>
      </c>
      <c r="B643">
        <f t="shared" si="18"/>
        <v>46640</v>
      </c>
      <c r="C643">
        <f t="shared" si="19"/>
        <v>45640</v>
      </c>
      <c r="G643" t="s">
        <v>3529</v>
      </c>
    </row>
    <row r="644" spans="1:7">
      <c r="A644">
        <v>45641</v>
      </c>
      <c r="B644">
        <f t="shared" ref="B644:B707" si="20">A644+1000</f>
        <v>46641</v>
      </c>
      <c r="C644">
        <f t="shared" ref="C644:C707" si="21">IF(ISERROR(FIND("Epic",E644)),A644,A644+10000)</f>
        <v>45641</v>
      </c>
      <c r="G644" t="s">
        <v>3529</v>
      </c>
    </row>
    <row r="645" spans="1:7">
      <c r="A645">
        <v>45642</v>
      </c>
      <c r="B645">
        <f t="shared" si="20"/>
        <v>46642</v>
      </c>
      <c r="C645">
        <f t="shared" si="21"/>
        <v>45642</v>
      </c>
      <c r="G645" t="s">
        <v>3529</v>
      </c>
    </row>
    <row r="646" spans="1:7">
      <c r="A646">
        <v>45643</v>
      </c>
      <c r="B646">
        <f t="shared" si="20"/>
        <v>46643</v>
      </c>
      <c r="C646">
        <f t="shared" si="21"/>
        <v>45643</v>
      </c>
      <c r="G646" t="s">
        <v>3529</v>
      </c>
    </row>
    <row r="647" spans="1:7">
      <c r="A647">
        <v>45644</v>
      </c>
      <c r="B647">
        <f t="shared" si="20"/>
        <v>46644</v>
      </c>
      <c r="C647">
        <f t="shared" si="21"/>
        <v>45644</v>
      </c>
      <c r="G647" t="s">
        <v>3529</v>
      </c>
    </row>
    <row r="648" spans="1:7">
      <c r="A648">
        <v>45645</v>
      </c>
      <c r="B648">
        <f t="shared" si="20"/>
        <v>46645</v>
      </c>
      <c r="C648">
        <f t="shared" si="21"/>
        <v>45645</v>
      </c>
      <c r="G648" t="s">
        <v>3529</v>
      </c>
    </row>
    <row r="649" spans="1:7">
      <c r="A649">
        <v>45646</v>
      </c>
      <c r="B649">
        <f t="shared" si="20"/>
        <v>46646</v>
      </c>
      <c r="C649">
        <f t="shared" si="21"/>
        <v>45646</v>
      </c>
      <c r="G649" t="s">
        <v>3529</v>
      </c>
    </row>
    <row r="650" spans="1:7">
      <c r="A650">
        <v>45647</v>
      </c>
      <c r="B650">
        <f t="shared" si="20"/>
        <v>46647</v>
      </c>
      <c r="C650">
        <f t="shared" si="21"/>
        <v>45647</v>
      </c>
      <c r="G650" t="s">
        <v>3529</v>
      </c>
    </row>
    <row r="651" spans="1:7">
      <c r="A651">
        <v>45648</v>
      </c>
      <c r="B651">
        <f t="shared" si="20"/>
        <v>46648</v>
      </c>
      <c r="C651">
        <f t="shared" si="21"/>
        <v>45648</v>
      </c>
      <c r="G651" t="s">
        <v>3529</v>
      </c>
    </row>
    <row r="652" spans="1:7">
      <c r="A652">
        <v>45649</v>
      </c>
      <c r="B652">
        <f t="shared" si="20"/>
        <v>46649</v>
      </c>
      <c r="C652">
        <f t="shared" si="21"/>
        <v>45649</v>
      </c>
      <c r="G652" t="s">
        <v>3529</v>
      </c>
    </row>
    <row r="653" spans="1:7">
      <c r="A653">
        <v>45650</v>
      </c>
      <c r="B653">
        <f t="shared" si="20"/>
        <v>46650</v>
      </c>
      <c r="C653">
        <f t="shared" si="21"/>
        <v>45650</v>
      </c>
      <c r="G653" t="s">
        <v>3529</v>
      </c>
    </row>
    <row r="654" spans="1:7">
      <c r="A654">
        <v>45651</v>
      </c>
      <c r="B654">
        <f t="shared" si="20"/>
        <v>46651</v>
      </c>
      <c r="C654">
        <f t="shared" si="21"/>
        <v>45651</v>
      </c>
      <c r="G654" t="s">
        <v>3529</v>
      </c>
    </row>
    <row r="655" spans="1:7">
      <c r="A655">
        <v>45652</v>
      </c>
      <c r="B655">
        <f t="shared" si="20"/>
        <v>46652</v>
      </c>
      <c r="C655">
        <f t="shared" si="21"/>
        <v>45652</v>
      </c>
      <c r="G655" t="s">
        <v>3529</v>
      </c>
    </row>
    <row r="656" spans="1:7">
      <c r="A656">
        <v>45653</v>
      </c>
      <c r="B656">
        <f t="shared" si="20"/>
        <v>46653</v>
      </c>
      <c r="C656">
        <f t="shared" si="21"/>
        <v>45653</v>
      </c>
      <c r="G656" t="s">
        <v>3529</v>
      </c>
    </row>
    <row r="657" spans="1:7">
      <c r="A657">
        <v>45654</v>
      </c>
      <c r="B657">
        <f t="shared" si="20"/>
        <v>46654</v>
      </c>
      <c r="C657">
        <f t="shared" si="21"/>
        <v>45654</v>
      </c>
      <c r="G657" t="s">
        <v>3529</v>
      </c>
    </row>
    <row r="658" spans="1:7">
      <c r="A658">
        <v>45655</v>
      </c>
      <c r="B658">
        <f t="shared" si="20"/>
        <v>46655</v>
      </c>
      <c r="C658">
        <f t="shared" si="21"/>
        <v>45655</v>
      </c>
      <c r="G658" t="s">
        <v>3529</v>
      </c>
    </row>
    <row r="659" spans="1:7">
      <c r="A659">
        <v>45656</v>
      </c>
      <c r="B659">
        <f t="shared" si="20"/>
        <v>46656</v>
      </c>
      <c r="C659">
        <f t="shared" si="21"/>
        <v>45656</v>
      </c>
      <c r="G659" t="s">
        <v>3529</v>
      </c>
    </row>
    <row r="660" spans="1:7">
      <c r="A660">
        <v>45657</v>
      </c>
      <c r="B660">
        <f t="shared" si="20"/>
        <v>46657</v>
      </c>
      <c r="C660">
        <f t="shared" si="21"/>
        <v>45657</v>
      </c>
      <c r="G660" t="s">
        <v>3529</v>
      </c>
    </row>
    <row r="661" spans="1:7">
      <c r="A661">
        <v>45658</v>
      </c>
      <c r="B661">
        <f t="shared" si="20"/>
        <v>46658</v>
      </c>
      <c r="C661">
        <f t="shared" si="21"/>
        <v>45658</v>
      </c>
      <c r="G661" t="s">
        <v>3529</v>
      </c>
    </row>
    <row r="662" spans="1:7">
      <c r="A662">
        <v>45659</v>
      </c>
      <c r="B662">
        <f t="shared" si="20"/>
        <v>46659</v>
      </c>
      <c r="C662">
        <f t="shared" si="21"/>
        <v>45659</v>
      </c>
      <c r="G662" t="s">
        <v>3529</v>
      </c>
    </row>
    <row r="663" spans="1:7">
      <c r="A663">
        <v>45660</v>
      </c>
      <c r="B663">
        <f t="shared" si="20"/>
        <v>46660</v>
      </c>
      <c r="C663">
        <f t="shared" si="21"/>
        <v>45660</v>
      </c>
      <c r="G663" t="s">
        <v>3529</v>
      </c>
    </row>
    <row r="664" spans="1:7">
      <c r="A664">
        <v>45661</v>
      </c>
      <c r="B664">
        <f t="shared" si="20"/>
        <v>46661</v>
      </c>
      <c r="C664">
        <f t="shared" si="21"/>
        <v>45661</v>
      </c>
      <c r="G664" t="s">
        <v>3529</v>
      </c>
    </row>
    <row r="665" spans="1:7">
      <c r="A665">
        <v>45662</v>
      </c>
      <c r="B665">
        <f t="shared" si="20"/>
        <v>46662</v>
      </c>
      <c r="C665">
        <f t="shared" si="21"/>
        <v>45662</v>
      </c>
      <c r="G665" t="s">
        <v>3529</v>
      </c>
    </row>
    <row r="666" spans="1:7">
      <c r="A666">
        <v>45663</v>
      </c>
      <c r="B666">
        <f t="shared" si="20"/>
        <v>46663</v>
      </c>
      <c r="C666">
        <f t="shared" si="21"/>
        <v>45663</v>
      </c>
      <c r="G666" t="s">
        <v>3529</v>
      </c>
    </row>
    <row r="667" spans="1:7">
      <c r="A667">
        <v>45664</v>
      </c>
      <c r="B667">
        <f t="shared" si="20"/>
        <v>46664</v>
      </c>
      <c r="C667">
        <f t="shared" si="21"/>
        <v>45664</v>
      </c>
      <c r="G667" t="s">
        <v>3529</v>
      </c>
    </row>
    <row r="668" spans="1:7">
      <c r="A668">
        <v>45665</v>
      </c>
      <c r="B668">
        <f t="shared" si="20"/>
        <v>46665</v>
      </c>
      <c r="C668">
        <f t="shared" si="21"/>
        <v>45665</v>
      </c>
      <c r="G668" t="s">
        <v>3529</v>
      </c>
    </row>
    <row r="669" spans="1:7">
      <c r="A669">
        <v>45666</v>
      </c>
      <c r="B669">
        <f t="shared" si="20"/>
        <v>46666</v>
      </c>
      <c r="C669">
        <f t="shared" si="21"/>
        <v>45666</v>
      </c>
      <c r="G669" t="s">
        <v>3529</v>
      </c>
    </row>
    <row r="670" spans="1:7">
      <c r="A670">
        <v>45667</v>
      </c>
      <c r="B670">
        <f t="shared" si="20"/>
        <v>46667</v>
      </c>
      <c r="C670">
        <f t="shared" si="21"/>
        <v>45667</v>
      </c>
      <c r="G670" t="s">
        <v>3529</v>
      </c>
    </row>
    <row r="671" spans="1:7">
      <c r="A671">
        <v>45668</v>
      </c>
      <c r="B671">
        <f t="shared" si="20"/>
        <v>46668</v>
      </c>
      <c r="C671">
        <f t="shared" si="21"/>
        <v>45668</v>
      </c>
      <c r="G671" t="s">
        <v>3529</v>
      </c>
    </row>
    <row r="672" spans="1:7">
      <c r="A672">
        <v>45669</v>
      </c>
      <c r="B672">
        <f t="shared" si="20"/>
        <v>46669</v>
      </c>
      <c r="C672">
        <f t="shared" si="21"/>
        <v>45669</v>
      </c>
      <c r="G672" t="s">
        <v>3529</v>
      </c>
    </row>
    <row r="673" spans="1:7">
      <c r="A673">
        <v>45670</v>
      </c>
      <c r="B673">
        <f t="shared" si="20"/>
        <v>46670</v>
      </c>
      <c r="C673">
        <f t="shared" si="21"/>
        <v>45670</v>
      </c>
      <c r="G673" t="s">
        <v>3529</v>
      </c>
    </row>
    <row r="674" spans="1:7">
      <c r="A674">
        <v>45671</v>
      </c>
      <c r="B674">
        <f t="shared" si="20"/>
        <v>46671</v>
      </c>
      <c r="C674">
        <f t="shared" si="21"/>
        <v>45671</v>
      </c>
      <c r="G674" t="s">
        <v>3529</v>
      </c>
    </row>
    <row r="675" spans="1:7">
      <c r="A675">
        <v>45672</v>
      </c>
      <c r="B675">
        <f t="shared" si="20"/>
        <v>46672</v>
      </c>
      <c r="C675">
        <f t="shared" si="21"/>
        <v>45672</v>
      </c>
      <c r="G675" t="s">
        <v>3529</v>
      </c>
    </row>
    <row r="676" spans="1:7">
      <c r="A676">
        <v>45673</v>
      </c>
      <c r="B676">
        <f t="shared" si="20"/>
        <v>46673</v>
      </c>
      <c r="C676">
        <f t="shared" si="21"/>
        <v>45673</v>
      </c>
      <c r="G676" t="s">
        <v>3529</v>
      </c>
    </row>
    <row r="677" spans="1:7">
      <c r="A677">
        <v>45674</v>
      </c>
      <c r="B677">
        <f t="shared" si="20"/>
        <v>46674</v>
      </c>
      <c r="C677">
        <f t="shared" si="21"/>
        <v>45674</v>
      </c>
      <c r="G677" t="s">
        <v>3529</v>
      </c>
    </row>
    <row r="678" spans="1:7">
      <c r="A678">
        <v>45675</v>
      </c>
      <c r="B678">
        <f t="shared" si="20"/>
        <v>46675</v>
      </c>
      <c r="C678">
        <f t="shared" si="21"/>
        <v>45675</v>
      </c>
      <c r="G678" t="s">
        <v>3529</v>
      </c>
    </row>
    <row r="679" spans="1:7">
      <c r="A679">
        <v>45676</v>
      </c>
      <c r="B679">
        <f t="shared" si="20"/>
        <v>46676</v>
      </c>
      <c r="C679">
        <f t="shared" si="21"/>
        <v>45676</v>
      </c>
      <c r="G679" t="s">
        <v>3529</v>
      </c>
    </row>
    <row r="680" spans="1:7">
      <c r="A680">
        <v>45677</v>
      </c>
      <c r="B680">
        <f t="shared" si="20"/>
        <v>46677</v>
      </c>
      <c r="C680">
        <f t="shared" si="21"/>
        <v>45677</v>
      </c>
      <c r="G680" t="s">
        <v>3529</v>
      </c>
    </row>
    <row r="681" spans="1:7">
      <c r="A681">
        <v>45678</v>
      </c>
      <c r="B681">
        <f t="shared" si="20"/>
        <v>46678</v>
      </c>
      <c r="C681">
        <f t="shared" si="21"/>
        <v>45678</v>
      </c>
      <c r="G681" t="s">
        <v>3529</v>
      </c>
    </row>
    <row r="682" spans="1:7">
      <c r="A682">
        <v>45679</v>
      </c>
      <c r="B682">
        <f t="shared" si="20"/>
        <v>46679</v>
      </c>
      <c r="C682">
        <f t="shared" si="21"/>
        <v>45679</v>
      </c>
      <c r="G682" t="s">
        <v>3529</v>
      </c>
    </row>
    <row r="683" spans="1:7">
      <c r="A683">
        <v>45680</v>
      </c>
      <c r="B683">
        <f t="shared" si="20"/>
        <v>46680</v>
      </c>
      <c r="C683">
        <f t="shared" si="21"/>
        <v>45680</v>
      </c>
      <c r="G683" t="s">
        <v>3529</v>
      </c>
    </row>
    <row r="684" spans="1:7">
      <c r="A684">
        <v>45681</v>
      </c>
      <c r="B684">
        <f t="shared" si="20"/>
        <v>46681</v>
      </c>
      <c r="C684">
        <f t="shared" si="21"/>
        <v>45681</v>
      </c>
      <c r="G684" t="s">
        <v>3529</v>
      </c>
    </row>
    <row r="685" spans="1:7">
      <c r="A685">
        <v>45682</v>
      </c>
      <c r="B685">
        <f t="shared" si="20"/>
        <v>46682</v>
      </c>
      <c r="C685">
        <f t="shared" si="21"/>
        <v>45682</v>
      </c>
      <c r="G685" t="s">
        <v>3529</v>
      </c>
    </row>
    <row r="686" spans="1:7">
      <c r="A686">
        <v>45683</v>
      </c>
      <c r="B686">
        <f t="shared" si="20"/>
        <v>46683</v>
      </c>
      <c r="C686">
        <f t="shared" si="21"/>
        <v>45683</v>
      </c>
      <c r="G686" t="s">
        <v>3529</v>
      </c>
    </row>
    <row r="687" spans="1:7">
      <c r="A687">
        <v>45684</v>
      </c>
      <c r="B687">
        <f t="shared" si="20"/>
        <v>46684</v>
      </c>
      <c r="C687">
        <f t="shared" si="21"/>
        <v>45684</v>
      </c>
      <c r="G687" t="s">
        <v>3529</v>
      </c>
    </row>
    <row r="688" spans="1:7">
      <c r="A688">
        <v>45685</v>
      </c>
      <c r="B688">
        <f t="shared" si="20"/>
        <v>46685</v>
      </c>
      <c r="C688">
        <f t="shared" si="21"/>
        <v>45685</v>
      </c>
      <c r="G688" t="s">
        <v>3529</v>
      </c>
    </row>
    <row r="689" spans="1:7">
      <c r="A689">
        <v>45686</v>
      </c>
      <c r="B689">
        <f t="shared" si="20"/>
        <v>46686</v>
      </c>
      <c r="C689">
        <f t="shared" si="21"/>
        <v>45686</v>
      </c>
      <c r="G689" t="s">
        <v>3529</v>
      </c>
    </row>
    <row r="690" spans="1:7">
      <c r="A690">
        <v>45687</v>
      </c>
      <c r="B690">
        <f t="shared" si="20"/>
        <v>46687</v>
      </c>
      <c r="C690">
        <f t="shared" si="21"/>
        <v>45687</v>
      </c>
      <c r="G690" t="s">
        <v>3529</v>
      </c>
    </row>
    <row r="691" spans="1:7">
      <c r="A691">
        <v>45688</v>
      </c>
      <c r="B691">
        <f t="shared" si="20"/>
        <v>46688</v>
      </c>
      <c r="C691">
        <f t="shared" si="21"/>
        <v>45688</v>
      </c>
      <c r="G691" t="s">
        <v>3529</v>
      </c>
    </row>
    <row r="692" spans="1:7">
      <c r="A692">
        <v>45689</v>
      </c>
      <c r="B692">
        <f t="shared" si="20"/>
        <v>46689</v>
      </c>
      <c r="C692">
        <f t="shared" si="21"/>
        <v>45689</v>
      </c>
      <c r="G692" t="s">
        <v>3529</v>
      </c>
    </row>
    <row r="693" spans="1:7">
      <c r="A693">
        <v>45690</v>
      </c>
      <c r="B693">
        <f t="shared" si="20"/>
        <v>46690</v>
      </c>
      <c r="C693">
        <f t="shared" si="21"/>
        <v>45690</v>
      </c>
      <c r="G693" t="s">
        <v>3529</v>
      </c>
    </row>
    <row r="694" spans="1:7">
      <c r="A694">
        <v>45691</v>
      </c>
      <c r="B694">
        <f t="shared" si="20"/>
        <v>46691</v>
      </c>
      <c r="C694">
        <f t="shared" si="21"/>
        <v>45691</v>
      </c>
      <c r="G694" t="s">
        <v>3529</v>
      </c>
    </row>
    <row r="695" spans="1:7">
      <c r="A695">
        <v>45692</v>
      </c>
      <c r="B695">
        <f t="shared" si="20"/>
        <v>46692</v>
      </c>
      <c r="C695">
        <f t="shared" si="21"/>
        <v>45692</v>
      </c>
      <c r="G695" t="s">
        <v>3529</v>
      </c>
    </row>
    <row r="696" spans="1:7">
      <c r="A696">
        <v>45693</v>
      </c>
      <c r="B696">
        <f t="shared" si="20"/>
        <v>46693</v>
      </c>
      <c r="C696">
        <f t="shared" si="21"/>
        <v>45693</v>
      </c>
      <c r="G696" t="s">
        <v>3529</v>
      </c>
    </row>
    <row r="697" spans="1:7">
      <c r="A697">
        <v>45694</v>
      </c>
      <c r="B697">
        <f t="shared" si="20"/>
        <v>46694</v>
      </c>
      <c r="C697">
        <f t="shared" si="21"/>
        <v>45694</v>
      </c>
      <c r="G697" t="s">
        <v>3529</v>
      </c>
    </row>
    <row r="698" spans="1:7">
      <c r="A698">
        <v>45695</v>
      </c>
      <c r="B698">
        <f t="shared" si="20"/>
        <v>46695</v>
      </c>
      <c r="C698">
        <f t="shared" si="21"/>
        <v>45695</v>
      </c>
      <c r="G698" t="s">
        <v>3529</v>
      </c>
    </row>
    <row r="699" spans="1:7">
      <c r="A699">
        <v>45696</v>
      </c>
      <c r="B699">
        <f t="shared" si="20"/>
        <v>46696</v>
      </c>
      <c r="C699">
        <f t="shared" si="21"/>
        <v>45696</v>
      </c>
      <c r="G699" t="s">
        <v>3529</v>
      </c>
    </row>
    <row r="700" spans="1:7">
      <c r="A700">
        <v>45697</v>
      </c>
      <c r="B700">
        <f t="shared" si="20"/>
        <v>46697</v>
      </c>
      <c r="C700">
        <f t="shared" si="21"/>
        <v>45697</v>
      </c>
      <c r="G700" t="s">
        <v>3529</v>
      </c>
    </row>
    <row r="701" spans="1:7">
      <c r="A701">
        <v>45698</v>
      </c>
      <c r="B701">
        <f t="shared" si="20"/>
        <v>46698</v>
      </c>
      <c r="C701">
        <f t="shared" si="21"/>
        <v>45698</v>
      </c>
      <c r="G701" t="s">
        <v>3529</v>
      </c>
    </row>
    <row r="702" spans="1:7">
      <c r="A702">
        <v>45699</v>
      </c>
      <c r="B702">
        <f t="shared" si="20"/>
        <v>46699</v>
      </c>
      <c r="C702">
        <f t="shared" si="21"/>
        <v>45699</v>
      </c>
      <c r="G702" t="s">
        <v>3529</v>
      </c>
    </row>
    <row r="703" spans="1:7">
      <c r="A703">
        <v>45700</v>
      </c>
      <c r="B703">
        <f t="shared" si="20"/>
        <v>46700</v>
      </c>
      <c r="C703">
        <f t="shared" si="21"/>
        <v>45700</v>
      </c>
      <c r="G703" t="s">
        <v>3529</v>
      </c>
    </row>
    <row r="704" spans="1:7">
      <c r="A704">
        <v>45701</v>
      </c>
      <c r="B704">
        <f t="shared" si="20"/>
        <v>46701</v>
      </c>
      <c r="C704">
        <f t="shared" si="21"/>
        <v>45701</v>
      </c>
      <c r="G704" t="s">
        <v>3529</v>
      </c>
    </row>
    <row r="705" spans="1:7">
      <c r="A705">
        <v>45702</v>
      </c>
      <c r="B705">
        <f t="shared" si="20"/>
        <v>46702</v>
      </c>
      <c r="C705">
        <f t="shared" si="21"/>
        <v>45702</v>
      </c>
      <c r="G705" t="s">
        <v>3529</v>
      </c>
    </row>
    <row r="706" spans="1:7">
      <c r="A706">
        <v>45703</v>
      </c>
      <c r="B706">
        <f t="shared" si="20"/>
        <v>46703</v>
      </c>
      <c r="C706">
        <f t="shared" si="21"/>
        <v>45703</v>
      </c>
      <c r="G706" t="s">
        <v>3529</v>
      </c>
    </row>
    <row r="707" spans="1:7">
      <c r="A707">
        <v>45704</v>
      </c>
      <c r="B707">
        <f t="shared" si="20"/>
        <v>46704</v>
      </c>
      <c r="C707">
        <f t="shared" si="21"/>
        <v>45704</v>
      </c>
      <c r="G707" t="s">
        <v>3529</v>
      </c>
    </row>
    <row r="708" spans="1:7">
      <c r="A708">
        <v>45705</v>
      </c>
      <c r="B708">
        <f t="shared" ref="B708:B771" si="22">A708+1000</f>
        <v>46705</v>
      </c>
      <c r="C708">
        <f t="shared" ref="C708:C771" si="23">IF(ISERROR(FIND("Epic",E708)),A708,A708+10000)</f>
        <v>45705</v>
      </c>
      <c r="G708" t="s">
        <v>3529</v>
      </c>
    </row>
    <row r="709" spans="1:7">
      <c r="A709">
        <v>45706</v>
      </c>
      <c r="B709">
        <f t="shared" si="22"/>
        <v>46706</v>
      </c>
      <c r="C709">
        <f t="shared" si="23"/>
        <v>45706</v>
      </c>
      <c r="G709" t="s">
        <v>3529</v>
      </c>
    </row>
    <row r="710" spans="1:7">
      <c r="A710">
        <v>45707</v>
      </c>
      <c r="B710">
        <f t="shared" si="22"/>
        <v>46707</v>
      </c>
      <c r="C710">
        <f t="shared" si="23"/>
        <v>45707</v>
      </c>
      <c r="G710" t="s">
        <v>3529</v>
      </c>
    </row>
    <row r="711" spans="1:7">
      <c r="A711">
        <v>45708</v>
      </c>
      <c r="B711">
        <f t="shared" si="22"/>
        <v>46708</v>
      </c>
      <c r="C711">
        <f t="shared" si="23"/>
        <v>45708</v>
      </c>
      <c r="G711" t="s">
        <v>3529</v>
      </c>
    </row>
    <row r="712" spans="1:7">
      <c r="A712">
        <v>45709</v>
      </c>
      <c r="B712">
        <f t="shared" si="22"/>
        <v>46709</v>
      </c>
      <c r="C712">
        <f t="shared" si="23"/>
        <v>45709</v>
      </c>
      <c r="G712" t="s">
        <v>3529</v>
      </c>
    </row>
    <row r="713" spans="1:7">
      <c r="A713">
        <v>45710</v>
      </c>
      <c r="B713">
        <f t="shared" si="22"/>
        <v>46710</v>
      </c>
      <c r="C713">
        <f t="shared" si="23"/>
        <v>45710</v>
      </c>
      <c r="G713" t="s">
        <v>3529</v>
      </c>
    </row>
    <row r="714" spans="1:7">
      <c r="A714">
        <v>45711</v>
      </c>
      <c r="B714">
        <f t="shared" si="22"/>
        <v>46711</v>
      </c>
      <c r="C714">
        <f t="shared" si="23"/>
        <v>45711</v>
      </c>
      <c r="G714" t="s">
        <v>3529</v>
      </c>
    </row>
    <row r="715" spans="1:7">
      <c r="A715">
        <v>45712</v>
      </c>
      <c r="B715">
        <f t="shared" si="22"/>
        <v>46712</v>
      </c>
      <c r="C715">
        <f t="shared" si="23"/>
        <v>45712</v>
      </c>
      <c r="G715" t="s">
        <v>3529</v>
      </c>
    </row>
    <row r="716" spans="1:7">
      <c r="A716">
        <v>45713</v>
      </c>
      <c r="B716">
        <f t="shared" si="22"/>
        <v>46713</v>
      </c>
      <c r="C716">
        <f t="shared" si="23"/>
        <v>45713</v>
      </c>
      <c r="G716" t="s">
        <v>3529</v>
      </c>
    </row>
    <row r="717" spans="1:7">
      <c r="A717">
        <v>45714</v>
      </c>
      <c r="B717">
        <f t="shared" si="22"/>
        <v>46714</v>
      </c>
      <c r="C717">
        <f t="shared" si="23"/>
        <v>45714</v>
      </c>
      <c r="G717" t="s">
        <v>3529</v>
      </c>
    </row>
    <row r="718" spans="1:7">
      <c r="A718">
        <v>45715</v>
      </c>
      <c r="B718">
        <f t="shared" si="22"/>
        <v>46715</v>
      </c>
      <c r="C718">
        <f t="shared" si="23"/>
        <v>45715</v>
      </c>
      <c r="G718" t="s">
        <v>3529</v>
      </c>
    </row>
    <row r="719" spans="1:7">
      <c r="A719">
        <v>45716</v>
      </c>
      <c r="B719">
        <f t="shared" si="22"/>
        <v>46716</v>
      </c>
      <c r="C719">
        <f t="shared" si="23"/>
        <v>45716</v>
      </c>
      <c r="G719" t="s">
        <v>3529</v>
      </c>
    </row>
    <row r="720" spans="1:7">
      <c r="A720">
        <v>45717</v>
      </c>
      <c r="B720">
        <f t="shared" si="22"/>
        <v>46717</v>
      </c>
      <c r="C720">
        <f t="shared" si="23"/>
        <v>45717</v>
      </c>
      <c r="G720" t="s">
        <v>3529</v>
      </c>
    </row>
    <row r="721" spans="1:7">
      <c r="A721">
        <v>45718</v>
      </c>
      <c r="B721">
        <f t="shared" si="22"/>
        <v>46718</v>
      </c>
      <c r="C721">
        <f t="shared" si="23"/>
        <v>45718</v>
      </c>
      <c r="G721" t="s">
        <v>3529</v>
      </c>
    </row>
    <row r="722" spans="1:7">
      <c r="A722">
        <v>45719</v>
      </c>
      <c r="B722">
        <f t="shared" si="22"/>
        <v>46719</v>
      </c>
      <c r="C722">
        <f t="shared" si="23"/>
        <v>45719</v>
      </c>
      <c r="G722" t="s">
        <v>3529</v>
      </c>
    </row>
    <row r="723" spans="1:7">
      <c r="A723">
        <v>45720</v>
      </c>
      <c r="B723">
        <f t="shared" si="22"/>
        <v>46720</v>
      </c>
      <c r="C723">
        <f t="shared" si="23"/>
        <v>45720</v>
      </c>
      <c r="G723" t="s">
        <v>3529</v>
      </c>
    </row>
    <row r="724" spans="1:7">
      <c r="A724">
        <v>45721</v>
      </c>
      <c r="B724">
        <f t="shared" si="22"/>
        <v>46721</v>
      </c>
      <c r="C724">
        <f t="shared" si="23"/>
        <v>45721</v>
      </c>
      <c r="G724" t="s">
        <v>3529</v>
      </c>
    </row>
    <row r="725" spans="1:7">
      <c r="A725">
        <v>45722</v>
      </c>
      <c r="B725">
        <f t="shared" si="22"/>
        <v>46722</v>
      </c>
      <c r="C725">
        <f t="shared" si="23"/>
        <v>45722</v>
      </c>
      <c r="G725" t="s">
        <v>3529</v>
      </c>
    </row>
    <row r="726" spans="1:7">
      <c r="A726">
        <v>45723</v>
      </c>
      <c r="B726">
        <f t="shared" si="22"/>
        <v>46723</v>
      </c>
      <c r="C726">
        <f t="shared" si="23"/>
        <v>45723</v>
      </c>
      <c r="G726" t="s">
        <v>3529</v>
      </c>
    </row>
    <row r="727" spans="1:7">
      <c r="A727">
        <v>45724</v>
      </c>
      <c r="B727">
        <f t="shared" si="22"/>
        <v>46724</v>
      </c>
      <c r="C727">
        <f t="shared" si="23"/>
        <v>45724</v>
      </c>
      <c r="G727" t="s">
        <v>3529</v>
      </c>
    </row>
    <row r="728" spans="1:7">
      <c r="A728">
        <v>45725</v>
      </c>
      <c r="B728">
        <f t="shared" si="22"/>
        <v>46725</v>
      </c>
      <c r="C728">
        <f t="shared" si="23"/>
        <v>45725</v>
      </c>
      <c r="G728" t="s">
        <v>3529</v>
      </c>
    </row>
    <row r="729" spans="1:7">
      <c r="A729">
        <v>45726</v>
      </c>
      <c r="B729">
        <f t="shared" si="22"/>
        <v>46726</v>
      </c>
      <c r="C729">
        <f t="shared" si="23"/>
        <v>45726</v>
      </c>
      <c r="G729" t="s">
        <v>3529</v>
      </c>
    </row>
    <row r="730" spans="1:7">
      <c r="A730">
        <v>45727</v>
      </c>
      <c r="B730">
        <f t="shared" si="22"/>
        <v>46727</v>
      </c>
      <c r="C730">
        <f t="shared" si="23"/>
        <v>45727</v>
      </c>
      <c r="G730" t="s">
        <v>3529</v>
      </c>
    </row>
    <row r="731" spans="1:7">
      <c r="A731">
        <v>45728</v>
      </c>
      <c r="B731">
        <f t="shared" si="22"/>
        <v>46728</v>
      </c>
      <c r="C731">
        <f t="shared" si="23"/>
        <v>45728</v>
      </c>
      <c r="G731" t="s">
        <v>3529</v>
      </c>
    </row>
    <row r="732" spans="1:7">
      <c r="A732">
        <v>45729</v>
      </c>
      <c r="B732">
        <f t="shared" si="22"/>
        <v>46729</v>
      </c>
      <c r="C732">
        <f t="shared" si="23"/>
        <v>45729</v>
      </c>
      <c r="G732" t="s">
        <v>3529</v>
      </c>
    </row>
    <row r="733" spans="1:7">
      <c r="A733">
        <v>45730</v>
      </c>
      <c r="B733">
        <f t="shared" si="22"/>
        <v>46730</v>
      </c>
      <c r="C733">
        <f t="shared" si="23"/>
        <v>45730</v>
      </c>
      <c r="G733" t="s">
        <v>3529</v>
      </c>
    </row>
    <row r="734" spans="1:7">
      <c r="A734">
        <v>45731</v>
      </c>
      <c r="B734">
        <f t="shared" si="22"/>
        <v>46731</v>
      </c>
      <c r="C734">
        <f t="shared" si="23"/>
        <v>45731</v>
      </c>
      <c r="G734" t="s">
        <v>3529</v>
      </c>
    </row>
    <row r="735" spans="1:7">
      <c r="A735">
        <v>45732</v>
      </c>
      <c r="B735">
        <f t="shared" si="22"/>
        <v>46732</v>
      </c>
      <c r="C735">
        <f t="shared" si="23"/>
        <v>45732</v>
      </c>
      <c r="G735" t="s">
        <v>3529</v>
      </c>
    </row>
    <row r="736" spans="1:7">
      <c r="A736">
        <v>45733</v>
      </c>
      <c r="B736">
        <f t="shared" si="22"/>
        <v>46733</v>
      </c>
      <c r="C736">
        <f t="shared" si="23"/>
        <v>45733</v>
      </c>
      <c r="G736" t="s">
        <v>3529</v>
      </c>
    </row>
    <row r="737" spans="1:7">
      <c r="A737">
        <v>45734</v>
      </c>
      <c r="B737">
        <f t="shared" si="22"/>
        <v>46734</v>
      </c>
      <c r="C737">
        <f t="shared" si="23"/>
        <v>45734</v>
      </c>
      <c r="G737" t="s">
        <v>3529</v>
      </c>
    </row>
    <row r="738" spans="1:7">
      <c r="A738">
        <v>45735</v>
      </c>
      <c r="B738">
        <f t="shared" si="22"/>
        <v>46735</v>
      </c>
      <c r="C738">
        <f t="shared" si="23"/>
        <v>45735</v>
      </c>
      <c r="G738" t="s">
        <v>3529</v>
      </c>
    </row>
    <row r="739" spans="1:7">
      <c r="A739">
        <v>45736</v>
      </c>
      <c r="B739">
        <f t="shared" si="22"/>
        <v>46736</v>
      </c>
      <c r="C739">
        <f t="shared" si="23"/>
        <v>45736</v>
      </c>
      <c r="G739" t="s">
        <v>3529</v>
      </c>
    </row>
    <row r="740" spans="1:7">
      <c r="A740">
        <v>45737</v>
      </c>
      <c r="B740">
        <f t="shared" si="22"/>
        <v>46737</v>
      </c>
      <c r="C740">
        <f t="shared" si="23"/>
        <v>45737</v>
      </c>
      <c r="G740" t="s">
        <v>3529</v>
      </c>
    </row>
    <row r="741" spans="1:7">
      <c r="A741">
        <v>45738</v>
      </c>
      <c r="B741">
        <f t="shared" si="22"/>
        <v>46738</v>
      </c>
      <c r="C741">
        <f t="shared" si="23"/>
        <v>45738</v>
      </c>
      <c r="G741" t="s">
        <v>3529</v>
      </c>
    </row>
    <row r="742" spans="1:7">
      <c r="A742">
        <v>45739</v>
      </c>
      <c r="B742">
        <f t="shared" si="22"/>
        <v>46739</v>
      </c>
      <c r="C742">
        <f t="shared" si="23"/>
        <v>45739</v>
      </c>
      <c r="G742" t="s">
        <v>3529</v>
      </c>
    </row>
    <row r="743" spans="1:7">
      <c r="A743">
        <v>45740</v>
      </c>
      <c r="B743">
        <f t="shared" si="22"/>
        <v>46740</v>
      </c>
      <c r="C743">
        <f t="shared" si="23"/>
        <v>45740</v>
      </c>
      <c r="G743" t="s">
        <v>3529</v>
      </c>
    </row>
    <row r="744" spans="1:7">
      <c r="A744">
        <v>45741</v>
      </c>
      <c r="B744">
        <f t="shared" si="22"/>
        <v>46741</v>
      </c>
      <c r="C744">
        <f t="shared" si="23"/>
        <v>45741</v>
      </c>
      <c r="G744" t="s">
        <v>3529</v>
      </c>
    </row>
    <row r="745" spans="1:7">
      <c r="A745">
        <v>45742</v>
      </c>
      <c r="B745">
        <f t="shared" si="22"/>
        <v>46742</v>
      </c>
      <c r="C745">
        <f t="shared" si="23"/>
        <v>45742</v>
      </c>
      <c r="G745" t="s">
        <v>3529</v>
      </c>
    </row>
    <row r="746" spans="1:7">
      <c r="A746">
        <v>45743</v>
      </c>
      <c r="B746">
        <f t="shared" si="22"/>
        <v>46743</v>
      </c>
      <c r="C746">
        <f t="shared" si="23"/>
        <v>45743</v>
      </c>
      <c r="G746" t="s">
        <v>3529</v>
      </c>
    </row>
    <row r="747" spans="1:7">
      <c r="A747">
        <v>45744</v>
      </c>
      <c r="B747">
        <f t="shared" si="22"/>
        <v>46744</v>
      </c>
      <c r="C747">
        <f t="shared" si="23"/>
        <v>45744</v>
      </c>
      <c r="G747" t="s">
        <v>3529</v>
      </c>
    </row>
    <row r="748" spans="1:7">
      <c r="A748">
        <v>45745</v>
      </c>
      <c r="B748">
        <f t="shared" si="22"/>
        <v>46745</v>
      </c>
      <c r="C748">
        <f t="shared" si="23"/>
        <v>45745</v>
      </c>
      <c r="G748" t="s">
        <v>3529</v>
      </c>
    </row>
    <row r="749" spans="1:7">
      <c r="A749">
        <v>45746</v>
      </c>
      <c r="B749">
        <f t="shared" si="22"/>
        <v>46746</v>
      </c>
      <c r="C749">
        <f t="shared" si="23"/>
        <v>45746</v>
      </c>
      <c r="G749" t="s">
        <v>3529</v>
      </c>
    </row>
    <row r="750" spans="1:7">
      <c r="A750">
        <v>45747</v>
      </c>
      <c r="B750">
        <f t="shared" si="22"/>
        <v>46747</v>
      </c>
      <c r="C750">
        <f t="shared" si="23"/>
        <v>45747</v>
      </c>
      <c r="G750" t="s">
        <v>3529</v>
      </c>
    </row>
    <row r="751" spans="1:7">
      <c r="A751">
        <v>45748</v>
      </c>
      <c r="B751">
        <f t="shared" si="22"/>
        <v>46748</v>
      </c>
      <c r="C751">
        <f t="shared" si="23"/>
        <v>45748</v>
      </c>
      <c r="G751" t="s">
        <v>3529</v>
      </c>
    </row>
    <row r="752" spans="1:7">
      <c r="A752">
        <v>45749</v>
      </c>
      <c r="B752">
        <f t="shared" si="22"/>
        <v>46749</v>
      </c>
      <c r="C752">
        <f t="shared" si="23"/>
        <v>45749</v>
      </c>
      <c r="G752" t="s">
        <v>3529</v>
      </c>
    </row>
    <row r="753" spans="1:7">
      <c r="A753">
        <v>45750</v>
      </c>
      <c r="B753">
        <f t="shared" si="22"/>
        <v>46750</v>
      </c>
      <c r="C753">
        <f t="shared" si="23"/>
        <v>45750</v>
      </c>
      <c r="G753" t="s">
        <v>3529</v>
      </c>
    </row>
    <row r="754" spans="1:7">
      <c r="A754">
        <v>45751</v>
      </c>
      <c r="B754">
        <f t="shared" si="22"/>
        <v>46751</v>
      </c>
      <c r="C754">
        <f t="shared" si="23"/>
        <v>45751</v>
      </c>
      <c r="G754" t="s">
        <v>3529</v>
      </c>
    </row>
    <row r="755" spans="1:7">
      <c r="A755">
        <v>45752</v>
      </c>
      <c r="B755">
        <f t="shared" si="22"/>
        <v>46752</v>
      </c>
      <c r="C755">
        <f t="shared" si="23"/>
        <v>45752</v>
      </c>
      <c r="G755" t="s">
        <v>3529</v>
      </c>
    </row>
    <row r="756" spans="1:7">
      <c r="A756">
        <v>45753</v>
      </c>
      <c r="B756">
        <f t="shared" si="22"/>
        <v>46753</v>
      </c>
      <c r="C756">
        <f t="shared" si="23"/>
        <v>45753</v>
      </c>
      <c r="G756" t="s">
        <v>3529</v>
      </c>
    </row>
    <row r="757" spans="1:7">
      <c r="A757">
        <v>45754</v>
      </c>
      <c r="B757">
        <f t="shared" si="22"/>
        <v>46754</v>
      </c>
      <c r="C757">
        <f t="shared" si="23"/>
        <v>45754</v>
      </c>
      <c r="G757" t="s">
        <v>3529</v>
      </c>
    </row>
    <row r="758" spans="1:7">
      <c r="A758">
        <v>45755</v>
      </c>
      <c r="B758">
        <f t="shared" si="22"/>
        <v>46755</v>
      </c>
      <c r="C758">
        <f t="shared" si="23"/>
        <v>45755</v>
      </c>
      <c r="G758" t="s">
        <v>3529</v>
      </c>
    </row>
    <row r="759" spans="1:7">
      <c r="A759">
        <v>45756</v>
      </c>
      <c r="B759">
        <f t="shared" si="22"/>
        <v>46756</v>
      </c>
      <c r="C759">
        <f t="shared" si="23"/>
        <v>45756</v>
      </c>
      <c r="G759" t="s">
        <v>3529</v>
      </c>
    </row>
    <row r="760" spans="1:7">
      <c r="A760">
        <v>45757</v>
      </c>
      <c r="B760">
        <f t="shared" si="22"/>
        <v>46757</v>
      </c>
      <c r="C760">
        <f t="shared" si="23"/>
        <v>45757</v>
      </c>
      <c r="G760" t="s">
        <v>3529</v>
      </c>
    </row>
    <row r="761" spans="1:7">
      <c r="A761">
        <v>45758</v>
      </c>
      <c r="B761">
        <f t="shared" si="22"/>
        <v>46758</v>
      </c>
      <c r="C761">
        <f t="shared" si="23"/>
        <v>45758</v>
      </c>
      <c r="G761" t="s">
        <v>3529</v>
      </c>
    </row>
    <row r="762" spans="1:7">
      <c r="A762">
        <v>45759</v>
      </c>
      <c r="B762">
        <f t="shared" si="22"/>
        <v>46759</v>
      </c>
      <c r="C762">
        <f t="shared" si="23"/>
        <v>45759</v>
      </c>
      <c r="G762" t="s">
        <v>3529</v>
      </c>
    </row>
    <row r="763" spans="1:7">
      <c r="A763">
        <v>45760</v>
      </c>
      <c r="B763">
        <f t="shared" si="22"/>
        <v>46760</v>
      </c>
      <c r="C763">
        <f t="shared" si="23"/>
        <v>45760</v>
      </c>
      <c r="G763" t="s">
        <v>3529</v>
      </c>
    </row>
    <row r="764" spans="1:7">
      <c r="A764">
        <v>45761</v>
      </c>
      <c r="B764">
        <f t="shared" si="22"/>
        <v>46761</v>
      </c>
      <c r="C764">
        <f t="shared" si="23"/>
        <v>45761</v>
      </c>
      <c r="G764" t="s">
        <v>3529</v>
      </c>
    </row>
    <row r="765" spans="1:7">
      <c r="A765">
        <v>45762</v>
      </c>
      <c r="B765">
        <f t="shared" si="22"/>
        <v>46762</v>
      </c>
      <c r="C765">
        <f t="shared" si="23"/>
        <v>45762</v>
      </c>
      <c r="G765" t="s">
        <v>3529</v>
      </c>
    </row>
    <row r="766" spans="1:7">
      <c r="A766">
        <v>45763</v>
      </c>
      <c r="B766">
        <f t="shared" si="22"/>
        <v>46763</v>
      </c>
      <c r="C766">
        <f t="shared" si="23"/>
        <v>45763</v>
      </c>
      <c r="G766" t="s">
        <v>3529</v>
      </c>
    </row>
    <row r="767" spans="1:7">
      <c r="A767">
        <v>45764</v>
      </c>
      <c r="B767">
        <f t="shared" si="22"/>
        <v>46764</v>
      </c>
      <c r="C767">
        <f t="shared" si="23"/>
        <v>45764</v>
      </c>
      <c r="G767" t="s">
        <v>3529</v>
      </c>
    </row>
    <row r="768" spans="1:7">
      <c r="A768">
        <v>45765</v>
      </c>
      <c r="B768">
        <f t="shared" si="22"/>
        <v>46765</v>
      </c>
      <c r="C768">
        <f t="shared" si="23"/>
        <v>45765</v>
      </c>
      <c r="G768" t="s">
        <v>3529</v>
      </c>
    </row>
    <row r="769" spans="1:7">
      <c r="A769">
        <v>45766</v>
      </c>
      <c r="B769">
        <f t="shared" si="22"/>
        <v>46766</v>
      </c>
      <c r="C769">
        <f t="shared" si="23"/>
        <v>45766</v>
      </c>
      <c r="G769" t="s">
        <v>3529</v>
      </c>
    </row>
    <row r="770" spans="1:7">
      <c r="A770">
        <v>45767</v>
      </c>
      <c r="B770">
        <f t="shared" si="22"/>
        <v>46767</v>
      </c>
      <c r="C770">
        <f t="shared" si="23"/>
        <v>45767</v>
      </c>
      <c r="G770" t="s">
        <v>3529</v>
      </c>
    </row>
    <row r="771" spans="1:7">
      <c r="A771">
        <v>45768</v>
      </c>
      <c r="B771">
        <f t="shared" si="22"/>
        <v>46768</v>
      </c>
      <c r="C771">
        <f t="shared" si="23"/>
        <v>45768</v>
      </c>
      <c r="G771" t="s">
        <v>3529</v>
      </c>
    </row>
    <row r="772" spans="1:7">
      <c r="A772">
        <v>45769</v>
      </c>
      <c r="B772">
        <f t="shared" ref="B772:B835" si="24">A772+1000</f>
        <v>46769</v>
      </c>
      <c r="C772">
        <f t="shared" ref="C772:C835" si="25">IF(ISERROR(FIND("Epic",E772)),A772,A772+10000)</f>
        <v>45769</v>
      </c>
      <c r="G772" t="s">
        <v>3529</v>
      </c>
    </row>
    <row r="773" spans="1:7">
      <c r="A773">
        <v>45770</v>
      </c>
      <c r="B773">
        <f t="shared" si="24"/>
        <v>46770</v>
      </c>
      <c r="C773">
        <f t="shared" si="25"/>
        <v>45770</v>
      </c>
      <c r="G773" t="s">
        <v>3529</v>
      </c>
    </row>
    <row r="774" spans="1:7">
      <c r="A774">
        <v>45771</v>
      </c>
      <c r="B774">
        <f t="shared" si="24"/>
        <v>46771</v>
      </c>
      <c r="C774">
        <f t="shared" si="25"/>
        <v>45771</v>
      </c>
      <c r="G774" t="s">
        <v>3529</v>
      </c>
    </row>
    <row r="775" spans="1:7">
      <c r="A775">
        <v>45772</v>
      </c>
      <c r="B775">
        <f t="shared" si="24"/>
        <v>46772</v>
      </c>
      <c r="C775">
        <f t="shared" si="25"/>
        <v>45772</v>
      </c>
      <c r="G775" t="s">
        <v>3529</v>
      </c>
    </row>
    <row r="776" spans="1:7">
      <c r="A776">
        <v>45773</v>
      </c>
      <c r="B776">
        <f t="shared" si="24"/>
        <v>46773</v>
      </c>
      <c r="C776">
        <f t="shared" si="25"/>
        <v>45773</v>
      </c>
      <c r="G776" t="s">
        <v>3529</v>
      </c>
    </row>
    <row r="777" spans="1:7">
      <c r="A777">
        <v>45774</v>
      </c>
      <c r="B777">
        <f t="shared" si="24"/>
        <v>46774</v>
      </c>
      <c r="C777">
        <f t="shared" si="25"/>
        <v>45774</v>
      </c>
      <c r="G777" t="s">
        <v>3529</v>
      </c>
    </row>
    <row r="778" spans="1:7">
      <c r="A778">
        <v>45775</v>
      </c>
      <c r="B778">
        <f t="shared" si="24"/>
        <v>46775</v>
      </c>
      <c r="C778">
        <f t="shared" si="25"/>
        <v>45775</v>
      </c>
      <c r="G778" t="s">
        <v>3529</v>
      </c>
    </row>
    <row r="779" spans="1:7">
      <c r="A779">
        <v>45776</v>
      </c>
      <c r="B779">
        <f t="shared" si="24"/>
        <v>46776</v>
      </c>
      <c r="C779">
        <f t="shared" si="25"/>
        <v>45776</v>
      </c>
      <c r="G779" t="s">
        <v>3529</v>
      </c>
    </row>
    <row r="780" spans="1:7">
      <c r="A780">
        <v>45777</v>
      </c>
      <c r="B780">
        <f t="shared" si="24"/>
        <v>46777</v>
      </c>
      <c r="C780">
        <f t="shared" si="25"/>
        <v>45777</v>
      </c>
      <c r="G780" t="s">
        <v>3529</v>
      </c>
    </row>
    <row r="781" spans="1:7">
      <c r="A781">
        <v>45778</v>
      </c>
      <c r="B781">
        <f t="shared" si="24"/>
        <v>46778</v>
      </c>
      <c r="C781">
        <f t="shared" si="25"/>
        <v>45778</v>
      </c>
      <c r="G781" t="s">
        <v>3529</v>
      </c>
    </row>
    <row r="782" spans="1:7">
      <c r="A782">
        <v>45779</v>
      </c>
      <c r="B782">
        <f t="shared" si="24"/>
        <v>46779</v>
      </c>
      <c r="C782">
        <f t="shared" si="25"/>
        <v>45779</v>
      </c>
      <c r="G782" t="s">
        <v>3529</v>
      </c>
    </row>
    <row r="783" spans="1:7">
      <c r="A783">
        <v>45780</v>
      </c>
      <c r="B783">
        <f t="shared" si="24"/>
        <v>46780</v>
      </c>
      <c r="C783">
        <f t="shared" si="25"/>
        <v>45780</v>
      </c>
      <c r="G783" t="s">
        <v>3529</v>
      </c>
    </row>
    <row r="784" spans="1:7">
      <c r="A784">
        <v>45781</v>
      </c>
      <c r="B784">
        <f t="shared" si="24"/>
        <v>46781</v>
      </c>
      <c r="C784">
        <f t="shared" si="25"/>
        <v>45781</v>
      </c>
      <c r="G784" t="s">
        <v>3529</v>
      </c>
    </row>
    <row r="785" spans="1:7">
      <c r="A785">
        <v>45782</v>
      </c>
      <c r="B785">
        <f t="shared" si="24"/>
        <v>46782</v>
      </c>
      <c r="C785">
        <f t="shared" si="25"/>
        <v>45782</v>
      </c>
      <c r="G785" t="s">
        <v>3529</v>
      </c>
    </row>
    <row r="786" spans="1:7">
      <c r="A786">
        <v>45783</v>
      </c>
      <c r="B786">
        <f t="shared" si="24"/>
        <v>46783</v>
      </c>
      <c r="C786">
        <f t="shared" si="25"/>
        <v>45783</v>
      </c>
      <c r="G786" t="s">
        <v>3529</v>
      </c>
    </row>
    <row r="787" spans="1:7">
      <c r="A787">
        <v>45784</v>
      </c>
      <c r="B787">
        <f t="shared" si="24"/>
        <v>46784</v>
      </c>
      <c r="C787">
        <f t="shared" si="25"/>
        <v>45784</v>
      </c>
      <c r="G787" t="s">
        <v>3529</v>
      </c>
    </row>
    <row r="788" spans="1:7">
      <c r="A788">
        <v>45785</v>
      </c>
      <c r="B788">
        <f t="shared" si="24"/>
        <v>46785</v>
      </c>
      <c r="C788">
        <f t="shared" si="25"/>
        <v>45785</v>
      </c>
      <c r="G788" t="s">
        <v>3529</v>
      </c>
    </row>
    <row r="789" spans="1:7">
      <c r="A789">
        <v>45786</v>
      </c>
      <c r="B789">
        <f t="shared" si="24"/>
        <v>46786</v>
      </c>
      <c r="C789">
        <f t="shared" si="25"/>
        <v>45786</v>
      </c>
      <c r="G789" t="s">
        <v>3529</v>
      </c>
    </row>
    <row r="790" spans="1:7">
      <c r="A790">
        <v>45787</v>
      </c>
      <c r="B790">
        <f t="shared" si="24"/>
        <v>46787</v>
      </c>
      <c r="C790">
        <f t="shared" si="25"/>
        <v>45787</v>
      </c>
      <c r="G790" t="s">
        <v>3529</v>
      </c>
    </row>
    <row r="791" spans="1:7">
      <c r="A791">
        <v>45788</v>
      </c>
      <c r="B791">
        <f t="shared" si="24"/>
        <v>46788</v>
      </c>
      <c r="C791">
        <f t="shared" si="25"/>
        <v>45788</v>
      </c>
      <c r="G791" t="s">
        <v>3529</v>
      </c>
    </row>
    <row r="792" spans="1:7">
      <c r="A792">
        <v>45789</v>
      </c>
      <c r="B792">
        <f t="shared" si="24"/>
        <v>46789</v>
      </c>
      <c r="C792">
        <f t="shared" si="25"/>
        <v>45789</v>
      </c>
      <c r="G792" t="s">
        <v>3529</v>
      </c>
    </row>
    <row r="793" spans="1:7">
      <c r="A793">
        <v>45790</v>
      </c>
      <c r="B793">
        <f t="shared" si="24"/>
        <v>46790</v>
      </c>
      <c r="C793">
        <f t="shared" si="25"/>
        <v>45790</v>
      </c>
      <c r="G793" t="s">
        <v>3529</v>
      </c>
    </row>
    <row r="794" spans="1:7">
      <c r="A794">
        <v>45791</v>
      </c>
      <c r="B794">
        <f t="shared" si="24"/>
        <v>46791</v>
      </c>
      <c r="C794">
        <f t="shared" si="25"/>
        <v>45791</v>
      </c>
      <c r="G794" t="s">
        <v>3529</v>
      </c>
    </row>
    <row r="795" spans="1:7">
      <c r="A795">
        <v>45792</v>
      </c>
      <c r="B795">
        <f t="shared" si="24"/>
        <v>46792</v>
      </c>
      <c r="C795">
        <f t="shared" si="25"/>
        <v>45792</v>
      </c>
      <c r="G795" t="s">
        <v>3529</v>
      </c>
    </row>
    <row r="796" spans="1:7">
      <c r="A796">
        <v>45793</v>
      </c>
      <c r="B796">
        <f t="shared" si="24"/>
        <v>46793</v>
      </c>
      <c r="C796">
        <f t="shared" si="25"/>
        <v>45793</v>
      </c>
      <c r="G796" t="s">
        <v>3529</v>
      </c>
    </row>
    <row r="797" spans="1:7">
      <c r="A797">
        <v>45794</v>
      </c>
      <c r="B797">
        <f t="shared" si="24"/>
        <v>46794</v>
      </c>
      <c r="C797">
        <f t="shared" si="25"/>
        <v>45794</v>
      </c>
      <c r="G797" t="s">
        <v>3529</v>
      </c>
    </row>
    <row r="798" spans="1:7">
      <c r="A798">
        <v>45795</v>
      </c>
      <c r="B798">
        <f t="shared" si="24"/>
        <v>46795</v>
      </c>
      <c r="C798">
        <f t="shared" si="25"/>
        <v>45795</v>
      </c>
      <c r="G798" t="s">
        <v>3529</v>
      </c>
    </row>
    <row r="799" spans="1:7">
      <c r="A799">
        <v>45796</v>
      </c>
      <c r="B799">
        <f t="shared" si="24"/>
        <v>46796</v>
      </c>
      <c r="C799">
        <f t="shared" si="25"/>
        <v>45796</v>
      </c>
      <c r="G799" t="s">
        <v>3529</v>
      </c>
    </row>
    <row r="800" spans="1:7">
      <c r="A800">
        <v>45797</v>
      </c>
      <c r="B800">
        <f t="shared" si="24"/>
        <v>46797</v>
      </c>
      <c r="C800">
        <f t="shared" si="25"/>
        <v>45797</v>
      </c>
      <c r="G800" t="s">
        <v>3529</v>
      </c>
    </row>
    <row r="801" spans="1:7">
      <c r="A801">
        <v>45798</v>
      </c>
      <c r="B801">
        <f t="shared" si="24"/>
        <v>46798</v>
      </c>
      <c r="C801">
        <f t="shared" si="25"/>
        <v>45798</v>
      </c>
      <c r="G801" t="s">
        <v>3529</v>
      </c>
    </row>
    <row r="802" spans="1:7">
      <c r="A802">
        <v>45799</v>
      </c>
      <c r="B802">
        <f t="shared" si="24"/>
        <v>46799</v>
      </c>
      <c r="C802">
        <f t="shared" si="25"/>
        <v>45799</v>
      </c>
      <c r="G802" t="s">
        <v>3529</v>
      </c>
    </row>
    <row r="803" spans="1:7">
      <c r="A803">
        <v>45800</v>
      </c>
      <c r="B803">
        <f t="shared" si="24"/>
        <v>46800</v>
      </c>
      <c r="C803">
        <f t="shared" si="25"/>
        <v>45800</v>
      </c>
      <c r="G803" t="s">
        <v>3529</v>
      </c>
    </row>
    <row r="804" spans="1:7">
      <c r="A804">
        <v>45801</v>
      </c>
      <c r="B804">
        <f t="shared" si="24"/>
        <v>46801</v>
      </c>
      <c r="C804">
        <f t="shared" si="25"/>
        <v>45801</v>
      </c>
      <c r="G804" t="s">
        <v>3529</v>
      </c>
    </row>
    <row r="805" spans="1:7">
      <c r="A805">
        <v>45802</v>
      </c>
      <c r="B805">
        <f t="shared" si="24"/>
        <v>46802</v>
      </c>
      <c r="C805">
        <f t="shared" si="25"/>
        <v>45802</v>
      </c>
      <c r="G805" t="s">
        <v>3529</v>
      </c>
    </row>
    <row r="806" spans="1:7">
      <c r="A806">
        <v>45803</v>
      </c>
      <c r="B806">
        <f t="shared" si="24"/>
        <v>46803</v>
      </c>
      <c r="C806">
        <f t="shared" si="25"/>
        <v>45803</v>
      </c>
      <c r="G806" t="s">
        <v>3529</v>
      </c>
    </row>
    <row r="807" spans="1:7">
      <c r="A807">
        <v>45804</v>
      </c>
      <c r="B807">
        <f t="shared" si="24"/>
        <v>46804</v>
      </c>
      <c r="C807">
        <f t="shared" si="25"/>
        <v>45804</v>
      </c>
      <c r="G807" t="s">
        <v>3529</v>
      </c>
    </row>
    <row r="808" spans="1:7">
      <c r="A808">
        <v>45805</v>
      </c>
      <c r="B808">
        <f t="shared" si="24"/>
        <v>46805</v>
      </c>
      <c r="C808">
        <f t="shared" si="25"/>
        <v>45805</v>
      </c>
      <c r="G808" t="s">
        <v>3529</v>
      </c>
    </row>
    <row r="809" spans="1:7">
      <c r="A809">
        <v>45806</v>
      </c>
      <c r="B809">
        <f t="shared" si="24"/>
        <v>46806</v>
      </c>
      <c r="C809">
        <f t="shared" si="25"/>
        <v>45806</v>
      </c>
      <c r="G809" t="s">
        <v>3529</v>
      </c>
    </row>
    <row r="810" spans="1:7">
      <c r="A810">
        <v>45807</v>
      </c>
      <c r="B810">
        <f t="shared" si="24"/>
        <v>46807</v>
      </c>
      <c r="C810">
        <f t="shared" si="25"/>
        <v>45807</v>
      </c>
      <c r="G810" t="s">
        <v>3529</v>
      </c>
    </row>
    <row r="811" spans="1:7">
      <c r="A811">
        <v>45808</v>
      </c>
      <c r="B811">
        <f t="shared" si="24"/>
        <v>46808</v>
      </c>
      <c r="C811">
        <f t="shared" si="25"/>
        <v>45808</v>
      </c>
      <c r="G811" t="s">
        <v>3529</v>
      </c>
    </row>
    <row r="812" spans="1:7">
      <c r="A812">
        <v>45809</v>
      </c>
      <c r="B812">
        <f t="shared" si="24"/>
        <v>46809</v>
      </c>
      <c r="C812">
        <f t="shared" si="25"/>
        <v>45809</v>
      </c>
      <c r="G812" t="s">
        <v>3529</v>
      </c>
    </row>
    <row r="813" spans="1:7">
      <c r="A813">
        <v>45810</v>
      </c>
      <c r="B813">
        <f t="shared" si="24"/>
        <v>46810</v>
      </c>
      <c r="C813">
        <f t="shared" si="25"/>
        <v>45810</v>
      </c>
      <c r="G813" t="s">
        <v>3529</v>
      </c>
    </row>
    <row r="814" spans="1:7">
      <c r="A814">
        <v>45811</v>
      </c>
      <c r="B814">
        <f t="shared" si="24"/>
        <v>46811</v>
      </c>
      <c r="C814">
        <f t="shared" si="25"/>
        <v>45811</v>
      </c>
      <c r="G814" t="s">
        <v>3529</v>
      </c>
    </row>
    <row r="815" spans="1:7">
      <c r="A815">
        <v>45812</v>
      </c>
      <c r="B815">
        <f t="shared" si="24"/>
        <v>46812</v>
      </c>
      <c r="C815">
        <f t="shared" si="25"/>
        <v>45812</v>
      </c>
      <c r="G815" t="s">
        <v>3529</v>
      </c>
    </row>
    <row r="816" spans="1:7">
      <c r="A816">
        <v>45813</v>
      </c>
      <c r="B816">
        <f t="shared" si="24"/>
        <v>46813</v>
      </c>
      <c r="C816">
        <f t="shared" si="25"/>
        <v>45813</v>
      </c>
      <c r="G816" t="s">
        <v>3529</v>
      </c>
    </row>
    <row r="817" spans="1:7">
      <c r="A817">
        <v>45814</v>
      </c>
      <c r="B817">
        <f t="shared" si="24"/>
        <v>46814</v>
      </c>
      <c r="C817">
        <f t="shared" si="25"/>
        <v>45814</v>
      </c>
      <c r="G817" t="s">
        <v>3529</v>
      </c>
    </row>
    <row r="818" spans="1:7">
      <c r="A818">
        <v>45815</v>
      </c>
      <c r="B818">
        <f t="shared" si="24"/>
        <v>46815</v>
      </c>
      <c r="C818">
        <f t="shared" si="25"/>
        <v>45815</v>
      </c>
      <c r="G818" t="s">
        <v>3529</v>
      </c>
    </row>
    <row r="819" spans="1:7">
      <c r="A819">
        <v>45816</v>
      </c>
      <c r="B819">
        <f t="shared" si="24"/>
        <v>46816</v>
      </c>
      <c r="C819">
        <f t="shared" si="25"/>
        <v>45816</v>
      </c>
      <c r="G819" t="s">
        <v>3529</v>
      </c>
    </row>
    <row r="820" spans="1:7">
      <c r="A820">
        <v>45817</v>
      </c>
      <c r="B820">
        <f t="shared" si="24"/>
        <v>46817</v>
      </c>
      <c r="C820">
        <f t="shared" si="25"/>
        <v>45817</v>
      </c>
      <c r="G820" t="s">
        <v>3529</v>
      </c>
    </row>
    <row r="821" spans="1:7">
      <c r="A821">
        <v>45818</v>
      </c>
      <c r="B821">
        <f t="shared" si="24"/>
        <v>46818</v>
      </c>
      <c r="C821">
        <f t="shared" si="25"/>
        <v>45818</v>
      </c>
      <c r="G821" t="s">
        <v>3529</v>
      </c>
    </row>
    <row r="822" spans="1:7">
      <c r="A822">
        <v>45819</v>
      </c>
      <c r="B822">
        <f t="shared" si="24"/>
        <v>46819</v>
      </c>
      <c r="C822">
        <f t="shared" si="25"/>
        <v>45819</v>
      </c>
      <c r="G822" t="s">
        <v>3529</v>
      </c>
    </row>
    <row r="823" spans="1:7">
      <c r="A823">
        <v>45820</v>
      </c>
      <c r="B823">
        <f t="shared" si="24"/>
        <v>46820</v>
      </c>
      <c r="C823">
        <f t="shared" si="25"/>
        <v>45820</v>
      </c>
      <c r="G823" t="s">
        <v>3529</v>
      </c>
    </row>
    <row r="824" spans="1:7">
      <c r="A824">
        <v>45821</v>
      </c>
      <c r="B824">
        <f t="shared" si="24"/>
        <v>46821</v>
      </c>
      <c r="C824">
        <f t="shared" si="25"/>
        <v>45821</v>
      </c>
      <c r="G824" t="s">
        <v>3529</v>
      </c>
    </row>
    <row r="825" spans="1:7">
      <c r="A825">
        <v>45822</v>
      </c>
      <c r="B825">
        <f t="shared" si="24"/>
        <v>46822</v>
      </c>
      <c r="C825">
        <f t="shared" si="25"/>
        <v>45822</v>
      </c>
      <c r="G825" t="s">
        <v>3529</v>
      </c>
    </row>
    <row r="826" spans="1:7">
      <c r="A826">
        <v>45823</v>
      </c>
      <c r="B826">
        <f t="shared" si="24"/>
        <v>46823</v>
      </c>
      <c r="C826">
        <f t="shared" si="25"/>
        <v>45823</v>
      </c>
      <c r="G826" t="s">
        <v>3529</v>
      </c>
    </row>
    <row r="827" spans="1:7">
      <c r="A827">
        <v>45824</v>
      </c>
      <c r="B827">
        <f t="shared" si="24"/>
        <v>46824</v>
      </c>
      <c r="C827">
        <f t="shared" si="25"/>
        <v>45824</v>
      </c>
      <c r="G827" t="s">
        <v>3529</v>
      </c>
    </row>
    <row r="828" spans="1:7">
      <c r="A828">
        <v>45825</v>
      </c>
      <c r="B828">
        <f t="shared" si="24"/>
        <v>46825</v>
      </c>
      <c r="C828">
        <f t="shared" si="25"/>
        <v>45825</v>
      </c>
      <c r="G828" t="s">
        <v>3529</v>
      </c>
    </row>
    <row r="829" spans="1:7">
      <c r="A829">
        <v>45826</v>
      </c>
      <c r="B829">
        <f t="shared" si="24"/>
        <v>46826</v>
      </c>
      <c r="C829">
        <f t="shared" si="25"/>
        <v>45826</v>
      </c>
      <c r="G829" t="s">
        <v>3529</v>
      </c>
    </row>
    <row r="830" spans="1:7">
      <c r="A830">
        <v>45827</v>
      </c>
      <c r="B830">
        <f t="shared" si="24"/>
        <v>46827</v>
      </c>
      <c r="C830">
        <f t="shared" si="25"/>
        <v>45827</v>
      </c>
      <c r="G830" t="s">
        <v>3529</v>
      </c>
    </row>
    <row r="831" spans="1:7">
      <c r="A831">
        <v>45828</v>
      </c>
      <c r="B831">
        <f t="shared" si="24"/>
        <v>46828</v>
      </c>
      <c r="C831">
        <f t="shared" si="25"/>
        <v>45828</v>
      </c>
      <c r="G831" t="s">
        <v>3529</v>
      </c>
    </row>
    <row r="832" spans="1:7">
      <c r="A832">
        <v>45829</v>
      </c>
      <c r="B832">
        <f t="shared" si="24"/>
        <v>46829</v>
      </c>
      <c r="C832">
        <f t="shared" si="25"/>
        <v>45829</v>
      </c>
      <c r="G832" t="s">
        <v>3529</v>
      </c>
    </row>
    <row r="833" spans="1:7">
      <c r="A833">
        <v>45830</v>
      </c>
      <c r="B833">
        <f t="shared" si="24"/>
        <v>46830</v>
      </c>
      <c r="C833">
        <f t="shared" si="25"/>
        <v>45830</v>
      </c>
      <c r="G833" t="s">
        <v>3529</v>
      </c>
    </row>
    <row r="834" spans="1:7">
      <c r="A834">
        <v>45831</v>
      </c>
      <c r="B834">
        <f t="shared" si="24"/>
        <v>46831</v>
      </c>
      <c r="C834">
        <f t="shared" si="25"/>
        <v>45831</v>
      </c>
      <c r="G834" t="s">
        <v>3529</v>
      </c>
    </row>
    <row r="835" spans="1:7">
      <c r="A835">
        <v>45832</v>
      </c>
      <c r="B835">
        <f t="shared" si="24"/>
        <v>46832</v>
      </c>
      <c r="C835">
        <f t="shared" si="25"/>
        <v>45832</v>
      </c>
      <c r="G835" t="s">
        <v>3529</v>
      </c>
    </row>
    <row r="836" spans="1:7">
      <c r="A836">
        <v>45833</v>
      </c>
      <c r="B836">
        <f t="shared" ref="B836:B899" si="26">A836+1000</f>
        <v>46833</v>
      </c>
      <c r="C836">
        <f t="shared" ref="C836:C899" si="27">IF(ISERROR(FIND("Epic",E836)),A836,A836+10000)</f>
        <v>45833</v>
      </c>
      <c r="G836" t="s">
        <v>3529</v>
      </c>
    </row>
    <row r="837" spans="1:7">
      <c r="A837">
        <v>45834</v>
      </c>
      <c r="B837">
        <f t="shared" si="26"/>
        <v>46834</v>
      </c>
      <c r="C837">
        <f t="shared" si="27"/>
        <v>45834</v>
      </c>
      <c r="G837" t="s">
        <v>3529</v>
      </c>
    </row>
    <row r="838" spans="1:7">
      <c r="A838">
        <v>45835</v>
      </c>
      <c r="B838">
        <f t="shared" si="26"/>
        <v>46835</v>
      </c>
      <c r="C838">
        <f t="shared" si="27"/>
        <v>45835</v>
      </c>
      <c r="G838" t="s">
        <v>3529</v>
      </c>
    </row>
    <row r="839" spans="1:7">
      <c r="A839">
        <v>45836</v>
      </c>
      <c r="B839">
        <f t="shared" si="26"/>
        <v>46836</v>
      </c>
      <c r="C839">
        <f t="shared" si="27"/>
        <v>45836</v>
      </c>
      <c r="G839" t="s">
        <v>3529</v>
      </c>
    </row>
    <row r="840" spans="1:7">
      <c r="A840">
        <v>45837</v>
      </c>
      <c r="B840">
        <f t="shared" si="26"/>
        <v>46837</v>
      </c>
      <c r="C840">
        <f t="shared" si="27"/>
        <v>45837</v>
      </c>
      <c r="G840" t="s">
        <v>3529</v>
      </c>
    </row>
    <row r="841" spans="1:7">
      <c r="A841">
        <v>45838</v>
      </c>
      <c r="B841">
        <f t="shared" si="26"/>
        <v>46838</v>
      </c>
      <c r="C841">
        <f t="shared" si="27"/>
        <v>45838</v>
      </c>
      <c r="G841" t="s">
        <v>3529</v>
      </c>
    </row>
    <row r="842" spans="1:7">
      <c r="A842">
        <v>45839</v>
      </c>
      <c r="B842">
        <f t="shared" si="26"/>
        <v>46839</v>
      </c>
      <c r="C842">
        <f t="shared" si="27"/>
        <v>45839</v>
      </c>
      <c r="G842" t="s">
        <v>3529</v>
      </c>
    </row>
    <row r="843" spans="1:7">
      <c r="A843">
        <v>45840</v>
      </c>
      <c r="B843">
        <f t="shared" si="26"/>
        <v>46840</v>
      </c>
      <c r="C843">
        <f t="shared" si="27"/>
        <v>45840</v>
      </c>
      <c r="G843" t="s">
        <v>3529</v>
      </c>
    </row>
    <row r="844" spans="1:7">
      <c r="A844">
        <v>45841</v>
      </c>
      <c r="B844">
        <f t="shared" si="26"/>
        <v>46841</v>
      </c>
      <c r="C844">
        <f t="shared" si="27"/>
        <v>45841</v>
      </c>
      <c r="G844" t="s">
        <v>3529</v>
      </c>
    </row>
    <row r="845" spans="1:7">
      <c r="A845">
        <v>45842</v>
      </c>
      <c r="B845">
        <f t="shared" si="26"/>
        <v>46842</v>
      </c>
      <c r="C845">
        <f t="shared" si="27"/>
        <v>45842</v>
      </c>
      <c r="G845" t="s">
        <v>3529</v>
      </c>
    </row>
    <row r="846" spans="1:7">
      <c r="A846">
        <v>45843</v>
      </c>
      <c r="B846">
        <f t="shared" si="26"/>
        <v>46843</v>
      </c>
      <c r="C846">
        <f t="shared" si="27"/>
        <v>45843</v>
      </c>
      <c r="G846" t="s">
        <v>3529</v>
      </c>
    </row>
    <row r="847" spans="1:7">
      <c r="A847">
        <v>45844</v>
      </c>
      <c r="B847">
        <f t="shared" si="26"/>
        <v>46844</v>
      </c>
      <c r="C847">
        <f t="shared" si="27"/>
        <v>45844</v>
      </c>
      <c r="G847" t="s">
        <v>3529</v>
      </c>
    </row>
    <row r="848" spans="1:7">
      <c r="A848">
        <v>45845</v>
      </c>
      <c r="B848">
        <f t="shared" si="26"/>
        <v>46845</v>
      </c>
      <c r="C848">
        <f t="shared" si="27"/>
        <v>45845</v>
      </c>
      <c r="G848" t="s">
        <v>3529</v>
      </c>
    </row>
    <row r="849" spans="1:7">
      <c r="A849">
        <v>45846</v>
      </c>
      <c r="B849">
        <f t="shared" si="26"/>
        <v>46846</v>
      </c>
      <c r="C849">
        <f t="shared" si="27"/>
        <v>45846</v>
      </c>
      <c r="G849" t="s">
        <v>3529</v>
      </c>
    </row>
    <row r="850" spans="1:7">
      <c r="A850">
        <v>45847</v>
      </c>
      <c r="B850">
        <f t="shared" si="26"/>
        <v>46847</v>
      </c>
      <c r="C850">
        <f t="shared" si="27"/>
        <v>45847</v>
      </c>
      <c r="G850" t="s">
        <v>3529</v>
      </c>
    </row>
    <row r="851" spans="1:7">
      <c r="A851">
        <v>45848</v>
      </c>
      <c r="B851">
        <f t="shared" si="26"/>
        <v>46848</v>
      </c>
      <c r="C851">
        <f t="shared" si="27"/>
        <v>45848</v>
      </c>
      <c r="G851" t="s">
        <v>3529</v>
      </c>
    </row>
    <row r="852" spans="1:7">
      <c r="A852">
        <v>45849</v>
      </c>
      <c r="B852">
        <f t="shared" si="26"/>
        <v>46849</v>
      </c>
      <c r="C852">
        <f t="shared" si="27"/>
        <v>45849</v>
      </c>
      <c r="G852" t="s">
        <v>3529</v>
      </c>
    </row>
    <row r="853" spans="1:7">
      <c r="A853">
        <v>45850</v>
      </c>
      <c r="B853">
        <f t="shared" si="26"/>
        <v>46850</v>
      </c>
      <c r="C853">
        <f t="shared" si="27"/>
        <v>45850</v>
      </c>
      <c r="G853" t="s">
        <v>3529</v>
      </c>
    </row>
    <row r="854" spans="1:7">
      <c r="A854">
        <v>45851</v>
      </c>
      <c r="B854">
        <f t="shared" si="26"/>
        <v>46851</v>
      </c>
      <c r="C854">
        <f t="shared" si="27"/>
        <v>45851</v>
      </c>
      <c r="G854" t="s">
        <v>3529</v>
      </c>
    </row>
    <row r="855" spans="1:7">
      <c r="A855">
        <v>45852</v>
      </c>
      <c r="B855">
        <f t="shared" si="26"/>
        <v>46852</v>
      </c>
      <c r="C855">
        <f t="shared" si="27"/>
        <v>45852</v>
      </c>
      <c r="G855" t="s">
        <v>3529</v>
      </c>
    </row>
    <row r="856" spans="1:7">
      <c r="A856">
        <v>45853</v>
      </c>
      <c r="B856">
        <f t="shared" si="26"/>
        <v>46853</v>
      </c>
      <c r="C856">
        <f t="shared" si="27"/>
        <v>45853</v>
      </c>
      <c r="G856" t="s">
        <v>3529</v>
      </c>
    </row>
    <row r="857" spans="1:7">
      <c r="A857">
        <v>45854</v>
      </c>
      <c r="B857">
        <f t="shared" si="26"/>
        <v>46854</v>
      </c>
      <c r="C857">
        <f t="shared" si="27"/>
        <v>45854</v>
      </c>
      <c r="G857" t="s">
        <v>3529</v>
      </c>
    </row>
    <row r="858" spans="1:7">
      <c r="A858">
        <v>45855</v>
      </c>
      <c r="B858">
        <f t="shared" si="26"/>
        <v>46855</v>
      </c>
      <c r="C858">
        <f t="shared" si="27"/>
        <v>45855</v>
      </c>
      <c r="G858" t="s">
        <v>3529</v>
      </c>
    </row>
    <row r="859" spans="1:7">
      <c r="A859">
        <v>45856</v>
      </c>
      <c r="B859">
        <f t="shared" si="26"/>
        <v>46856</v>
      </c>
      <c r="C859">
        <f t="shared" si="27"/>
        <v>45856</v>
      </c>
      <c r="G859" t="s">
        <v>3529</v>
      </c>
    </row>
    <row r="860" spans="1:7">
      <c r="A860">
        <v>45857</v>
      </c>
      <c r="B860">
        <f t="shared" si="26"/>
        <v>46857</v>
      </c>
      <c r="C860">
        <f t="shared" si="27"/>
        <v>45857</v>
      </c>
      <c r="G860" t="s">
        <v>3529</v>
      </c>
    </row>
    <row r="861" spans="1:7">
      <c r="A861">
        <v>45858</v>
      </c>
      <c r="B861">
        <f t="shared" si="26"/>
        <v>46858</v>
      </c>
      <c r="C861">
        <f t="shared" si="27"/>
        <v>45858</v>
      </c>
      <c r="G861" t="s">
        <v>3529</v>
      </c>
    </row>
    <row r="862" spans="1:7">
      <c r="A862">
        <v>45859</v>
      </c>
      <c r="B862">
        <f t="shared" si="26"/>
        <v>46859</v>
      </c>
      <c r="C862">
        <f t="shared" si="27"/>
        <v>45859</v>
      </c>
      <c r="G862" t="s">
        <v>3529</v>
      </c>
    </row>
    <row r="863" spans="1:7">
      <c r="A863">
        <v>45860</v>
      </c>
      <c r="B863">
        <f t="shared" si="26"/>
        <v>46860</v>
      </c>
      <c r="C863">
        <f t="shared" si="27"/>
        <v>45860</v>
      </c>
      <c r="G863" t="s">
        <v>3529</v>
      </c>
    </row>
    <row r="864" spans="1:7">
      <c r="A864">
        <v>45861</v>
      </c>
      <c r="B864">
        <f t="shared" si="26"/>
        <v>46861</v>
      </c>
      <c r="C864">
        <f t="shared" si="27"/>
        <v>45861</v>
      </c>
      <c r="G864" t="s">
        <v>3529</v>
      </c>
    </row>
    <row r="865" spans="1:7">
      <c r="A865">
        <v>45862</v>
      </c>
      <c r="B865">
        <f t="shared" si="26"/>
        <v>46862</v>
      </c>
      <c r="C865">
        <f t="shared" si="27"/>
        <v>45862</v>
      </c>
      <c r="G865" t="s">
        <v>3529</v>
      </c>
    </row>
    <row r="866" spans="1:7">
      <c r="A866">
        <v>45863</v>
      </c>
      <c r="B866">
        <f t="shared" si="26"/>
        <v>46863</v>
      </c>
      <c r="C866">
        <f t="shared" si="27"/>
        <v>45863</v>
      </c>
      <c r="G866" t="s">
        <v>3529</v>
      </c>
    </row>
    <row r="867" spans="1:7">
      <c r="A867">
        <v>45864</v>
      </c>
      <c r="B867">
        <f t="shared" si="26"/>
        <v>46864</v>
      </c>
      <c r="C867">
        <f t="shared" si="27"/>
        <v>45864</v>
      </c>
      <c r="G867" t="s">
        <v>3529</v>
      </c>
    </row>
    <row r="868" spans="1:7">
      <c r="A868">
        <v>45865</v>
      </c>
      <c r="B868">
        <f t="shared" si="26"/>
        <v>46865</v>
      </c>
      <c r="C868">
        <f t="shared" si="27"/>
        <v>45865</v>
      </c>
      <c r="G868" t="s">
        <v>3529</v>
      </c>
    </row>
    <row r="869" spans="1:7">
      <c r="A869">
        <v>45866</v>
      </c>
      <c r="B869">
        <f t="shared" si="26"/>
        <v>46866</v>
      </c>
      <c r="C869">
        <f t="shared" si="27"/>
        <v>45866</v>
      </c>
      <c r="G869" t="s">
        <v>3529</v>
      </c>
    </row>
    <row r="870" spans="1:7">
      <c r="A870">
        <v>45867</v>
      </c>
      <c r="B870">
        <f t="shared" si="26"/>
        <v>46867</v>
      </c>
      <c r="C870">
        <f t="shared" si="27"/>
        <v>45867</v>
      </c>
      <c r="G870" t="s">
        <v>3529</v>
      </c>
    </row>
    <row r="871" spans="1:7">
      <c r="A871">
        <v>45868</v>
      </c>
      <c r="B871">
        <f t="shared" si="26"/>
        <v>46868</v>
      </c>
      <c r="C871">
        <f t="shared" si="27"/>
        <v>45868</v>
      </c>
      <c r="G871" t="s">
        <v>3529</v>
      </c>
    </row>
    <row r="872" spans="1:7">
      <c r="A872">
        <v>45869</v>
      </c>
      <c r="B872">
        <f t="shared" si="26"/>
        <v>46869</v>
      </c>
      <c r="C872">
        <f t="shared" si="27"/>
        <v>45869</v>
      </c>
      <c r="G872" t="s">
        <v>3529</v>
      </c>
    </row>
    <row r="873" spans="1:7">
      <c r="A873">
        <v>45870</v>
      </c>
      <c r="B873">
        <f t="shared" si="26"/>
        <v>46870</v>
      </c>
      <c r="C873">
        <f t="shared" si="27"/>
        <v>45870</v>
      </c>
      <c r="G873" t="s">
        <v>3529</v>
      </c>
    </row>
    <row r="874" spans="1:7">
      <c r="A874">
        <v>45871</v>
      </c>
      <c r="B874">
        <f t="shared" si="26"/>
        <v>46871</v>
      </c>
      <c r="C874">
        <f t="shared" si="27"/>
        <v>45871</v>
      </c>
      <c r="G874" t="s">
        <v>3529</v>
      </c>
    </row>
    <row r="875" spans="1:7">
      <c r="A875">
        <v>45872</v>
      </c>
      <c r="B875">
        <f t="shared" si="26"/>
        <v>46872</v>
      </c>
      <c r="C875">
        <f t="shared" si="27"/>
        <v>45872</v>
      </c>
      <c r="G875" t="s">
        <v>3529</v>
      </c>
    </row>
    <row r="876" spans="1:7">
      <c r="A876">
        <v>45873</v>
      </c>
      <c r="B876">
        <f t="shared" si="26"/>
        <v>46873</v>
      </c>
      <c r="C876">
        <f t="shared" si="27"/>
        <v>45873</v>
      </c>
      <c r="G876" t="s">
        <v>3529</v>
      </c>
    </row>
    <row r="877" spans="1:7">
      <c r="A877">
        <v>45874</v>
      </c>
      <c r="B877">
        <f t="shared" si="26"/>
        <v>46874</v>
      </c>
      <c r="C877">
        <f t="shared" si="27"/>
        <v>45874</v>
      </c>
      <c r="G877" t="s">
        <v>3529</v>
      </c>
    </row>
    <row r="878" spans="1:7">
      <c r="A878">
        <v>45875</v>
      </c>
      <c r="B878">
        <f t="shared" si="26"/>
        <v>46875</v>
      </c>
      <c r="C878">
        <f t="shared" si="27"/>
        <v>45875</v>
      </c>
      <c r="G878" t="s">
        <v>3529</v>
      </c>
    </row>
    <row r="879" spans="1:7">
      <c r="A879">
        <v>45876</v>
      </c>
      <c r="B879">
        <f t="shared" si="26"/>
        <v>46876</v>
      </c>
      <c r="C879">
        <f t="shared" si="27"/>
        <v>45876</v>
      </c>
      <c r="G879" t="s">
        <v>3529</v>
      </c>
    </row>
    <row r="880" spans="1:7">
      <c r="A880">
        <v>45877</v>
      </c>
      <c r="B880">
        <f t="shared" si="26"/>
        <v>46877</v>
      </c>
      <c r="C880">
        <f t="shared" si="27"/>
        <v>45877</v>
      </c>
      <c r="G880" t="s">
        <v>3529</v>
      </c>
    </row>
    <row r="881" spans="1:7">
      <c r="A881">
        <v>45878</v>
      </c>
      <c r="B881">
        <f t="shared" si="26"/>
        <v>46878</v>
      </c>
      <c r="C881">
        <f t="shared" si="27"/>
        <v>45878</v>
      </c>
      <c r="G881" t="s">
        <v>3529</v>
      </c>
    </row>
    <row r="882" spans="1:7">
      <c r="A882">
        <v>45879</v>
      </c>
      <c r="B882">
        <f t="shared" si="26"/>
        <v>46879</v>
      </c>
      <c r="C882">
        <f t="shared" si="27"/>
        <v>45879</v>
      </c>
      <c r="G882" t="s">
        <v>3529</v>
      </c>
    </row>
    <row r="883" spans="1:7">
      <c r="A883">
        <v>45880</v>
      </c>
      <c r="B883">
        <f t="shared" si="26"/>
        <v>46880</v>
      </c>
      <c r="C883">
        <f t="shared" si="27"/>
        <v>45880</v>
      </c>
      <c r="G883" t="s">
        <v>3529</v>
      </c>
    </row>
    <row r="884" spans="1:7">
      <c r="A884">
        <v>45881</v>
      </c>
      <c r="B884">
        <f t="shared" si="26"/>
        <v>46881</v>
      </c>
      <c r="C884">
        <f t="shared" si="27"/>
        <v>45881</v>
      </c>
      <c r="G884" t="s">
        <v>3529</v>
      </c>
    </row>
    <row r="885" spans="1:7">
      <c r="A885">
        <v>45882</v>
      </c>
      <c r="B885">
        <f t="shared" si="26"/>
        <v>46882</v>
      </c>
      <c r="C885">
        <f t="shared" si="27"/>
        <v>45882</v>
      </c>
      <c r="G885" t="s">
        <v>3529</v>
      </c>
    </row>
    <row r="886" spans="1:7">
      <c r="A886">
        <v>45883</v>
      </c>
      <c r="B886">
        <f t="shared" si="26"/>
        <v>46883</v>
      </c>
      <c r="C886">
        <f t="shared" si="27"/>
        <v>45883</v>
      </c>
      <c r="G886" t="s">
        <v>3529</v>
      </c>
    </row>
    <row r="887" spans="1:7">
      <c r="A887">
        <v>45884</v>
      </c>
      <c r="B887">
        <f t="shared" si="26"/>
        <v>46884</v>
      </c>
      <c r="C887">
        <f t="shared" si="27"/>
        <v>45884</v>
      </c>
      <c r="G887" t="s">
        <v>3529</v>
      </c>
    </row>
    <row r="888" spans="1:7">
      <c r="A888">
        <v>45885</v>
      </c>
      <c r="B888">
        <f t="shared" si="26"/>
        <v>46885</v>
      </c>
      <c r="C888">
        <f t="shared" si="27"/>
        <v>45885</v>
      </c>
      <c r="G888" t="s">
        <v>3529</v>
      </c>
    </row>
    <row r="889" spans="1:7">
      <c r="A889">
        <v>45886</v>
      </c>
      <c r="B889">
        <f t="shared" si="26"/>
        <v>46886</v>
      </c>
      <c r="C889">
        <f t="shared" si="27"/>
        <v>45886</v>
      </c>
      <c r="G889" t="s">
        <v>3529</v>
      </c>
    </row>
    <row r="890" spans="1:7">
      <c r="A890">
        <v>45887</v>
      </c>
      <c r="B890">
        <f t="shared" si="26"/>
        <v>46887</v>
      </c>
      <c r="C890">
        <f t="shared" si="27"/>
        <v>45887</v>
      </c>
      <c r="G890" t="s">
        <v>3529</v>
      </c>
    </row>
    <row r="891" spans="1:7">
      <c r="A891">
        <v>45888</v>
      </c>
      <c r="B891">
        <f t="shared" si="26"/>
        <v>46888</v>
      </c>
      <c r="C891">
        <f t="shared" si="27"/>
        <v>45888</v>
      </c>
      <c r="G891" t="s">
        <v>3529</v>
      </c>
    </row>
    <row r="892" spans="1:7">
      <c r="A892">
        <v>45889</v>
      </c>
      <c r="B892">
        <f t="shared" si="26"/>
        <v>46889</v>
      </c>
      <c r="C892">
        <f t="shared" si="27"/>
        <v>45889</v>
      </c>
      <c r="G892" t="s">
        <v>3529</v>
      </c>
    </row>
    <row r="893" spans="1:7">
      <c r="A893">
        <v>45890</v>
      </c>
      <c r="B893">
        <f t="shared" si="26"/>
        <v>46890</v>
      </c>
      <c r="C893">
        <f t="shared" si="27"/>
        <v>45890</v>
      </c>
      <c r="G893" t="s">
        <v>3529</v>
      </c>
    </row>
    <row r="894" spans="1:7">
      <c r="A894">
        <v>45891</v>
      </c>
      <c r="B894">
        <f t="shared" si="26"/>
        <v>46891</v>
      </c>
      <c r="C894">
        <f t="shared" si="27"/>
        <v>45891</v>
      </c>
      <c r="G894" t="s">
        <v>3529</v>
      </c>
    </row>
    <row r="895" spans="1:7">
      <c r="A895">
        <v>45892</v>
      </c>
      <c r="B895">
        <f t="shared" si="26"/>
        <v>46892</v>
      </c>
      <c r="C895">
        <f t="shared" si="27"/>
        <v>45892</v>
      </c>
      <c r="G895" t="s">
        <v>3529</v>
      </c>
    </row>
    <row r="896" spans="1:7">
      <c r="A896">
        <v>45893</v>
      </c>
      <c r="B896">
        <f t="shared" si="26"/>
        <v>46893</v>
      </c>
      <c r="C896">
        <f t="shared" si="27"/>
        <v>45893</v>
      </c>
      <c r="G896" t="s">
        <v>3529</v>
      </c>
    </row>
    <row r="897" spans="1:7">
      <c r="A897">
        <v>45894</v>
      </c>
      <c r="B897">
        <f t="shared" si="26"/>
        <v>46894</v>
      </c>
      <c r="C897">
        <f t="shared" si="27"/>
        <v>45894</v>
      </c>
      <c r="G897" t="s">
        <v>3529</v>
      </c>
    </row>
    <row r="898" spans="1:7">
      <c r="A898">
        <v>45895</v>
      </c>
      <c r="B898">
        <f t="shared" si="26"/>
        <v>46895</v>
      </c>
      <c r="C898">
        <f t="shared" si="27"/>
        <v>45895</v>
      </c>
      <c r="G898" t="s">
        <v>3529</v>
      </c>
    </row>
    <row r="899" spans="1:7">
      <c r="A899">
        <v>45896</v>
      </c>
      <c r="B899">
        <f t="shared" si="26"/>
        <v>46896</v>
      </c>
      <c r="C899">
        <f t="shared" si="27"/>
        <v>45896</v>
      </c>
      <c r="G899" t="s">
        <v>3529</v>
      </c>
    </row>
    <row r="900" spans="1:7">
      <c r="A900">
        <v>45897</v>
      </c>
      <c r="B900">
        <f t="shared" ref="B900:B963" si="28">A900+1000</f>
        <v>46897</v>
      </c>
      <c r="C900">
        <f t="shared" ref="C900:C963" si="29">IF(ISERROR(FIND("Epic",E900)),A900,A900+10000)</f>
        <v>45897</v>
      </c>
      <c r="G900" t="s">
        <v>3529</v>
      </c>
    </row>
    <row r="901" spans="1:7">
      <c r="A901">
        <v>45898</v>
      </c>
      <c r="B901">
        <f t="shared" si="28"/>
        <v>46898</v>
      </c>
      <c r="C901">
        <f t="shared" si="29"/>
        <v>45898</v>
      </c>
      <c r="G901" t="s">
        <v>3529</v>
      </c>
    </row>
    <row r="902" spans="1:7">
      <c r="A902">
        <v>45899</v>
      </c>
      <c r="B902">
        <f t="shared" si="28"/>
        <v>46899</v>
      </c>
      <c r="C902">
        <f t="shared" si="29"/>
        <v>45899</v>
      </c>
      <c r="G902" t="s">
        <v>3529</v>
      </c>
    </row>
    <row r="903" spans="1:7">
      <c r="A903">
        <v>45900</v>
      </c>
      <c r="B903">
        <f t="shared" si="28"/>
        <v>46900</v>
      </c>
      <c r="C903">
        <f t="shared" si="29"/>
        <v>45900</v>
      </c>
      <c r="G903" t="s">
        <v>3529</v>
      </c>
    </row>
    <row r="904" spans="1:7">
      <c r="A904">
        <v>45901</v>
      </c>
      <c r="B904">
        <f t="shared" si="28"/>
        <v>46901</v>
      </c>
      <c r="C904">
        <f t="shared" si="29"/>
        <v>45901</v>
      </c>
      <c r="G904" t="s">
        <v>3529</v>
      </c>
    </row>
    <row r="905" spans="1:7">
      <c r="A905">
        <v>45902</v>
      </c>
      <c r="B905">
        <f t="shared" si="28"/>
        <v>46902</v>
      </c>
      <c r="C905">
        <f t="shared" si="29"/>
        <v>45902</v>
      </c>
      <c r="G905" t="s">
        <v>3529</v>
      </c>
    </row>
    <row r="906" spans="1:7">
      <c r="A906">
        <v>45903</v>
      </c>
      <c r="B906">
        <f t="shared" si="28"/>
        <v>46903</v>
      </c>
      <c r="C906">
        <f t="shared" si="29"/>
        <v>45903</v>
      </c>
      <c r="G906" t="s">
        <v>3529</v>
      </c>
    </row>
    <row r="907" spans="1:7">
      <c r="A907">
        <v>45904</v>
      </c>
      <c r="B907">
        <f t="shared" si="28"/>
        <v>46904</v>
      </c>
      <c r="C907">
        <f t="shared" si="29"/>
        <v>45904</v>
      </c>
      <c r="G907" t="s">
        <v>3529</v>
      </c>
    </row>
    <row r="908" spans="1:7">
      <c r="A908">
        <v>45905</v>
      </c>
      <c r="B908">
        <f t="shared" si="28"/>
        <v>46905</v>
      </c>
      <c r="C908">
        <f t="shared" si="29"/>
        <v>45905</v>
      </c>
      <c r="G908" t="s">
        <v>3529</v>
      </c>
    </row>
    <row r="909" spans="1:7">
      <c r="A909">
        <v>45906</v>
      </c>
      <c r="B909">
        <f t="shared" si="28"/>
        <v>46906</v>
      </c>
      <c r="C909">
        <f t="shared" si="29"/>
        <v>45906</v>
      </c>
      <c r="G909" t="s">
        <v>3529</v>
      </c>
    </row>
    <row r="910" spans="1:7">
      <c r="A910">
        <v>45907</v>
      </c>
      <c r="B910">
        <f t="shared" si="28"/>
        <v>46907</v>
      </c>
      <c r="C910">
        <f t="shared" si="29"/>
        <v>45907</v>
      </c>
      <c r="G910" t="s">
        <v>3529</v>
      </c>
    </row>
    <row r="911" spans="1:7">
      <c r="A911">
        <v>45908</v>
      </c>
      <c r="B911">
        <f t="shared" si="28"/>
        <v>46908</v>
      </c>
      <c r="C911">
        <f t="shared" si="29"/>
        <v>45908</v>
      </c>
      <c r="G911" t="s">
        <v>3529</v>
      </c>
    </row>
    <row r="912" spans="1:7">
      <c r="A912">
        <v>45909</v>
      </c>
      <c r="B912">
        <f t="shared" si="28"/>
        <v>46909</v>
      </c>
      <c r="C912">
        <f t="shared" si="29"/>
        <v>45909</v>
      </c>
      <c r="G912" t="s">
        <v>3529</v>
      </c>
    </row>
    <row r="913" spans="1:7">
      <c r="A913">
        <v>45910</v>
      </c>
      <c r="B913">
        <f t="shared" si="28"/>
        <v>46910</v>
      </c>
      <c r="C913">
        <f t="shared" si="29"/>
        <v>45910</v>
      </c>
      <c r="G913" t="s">
        <v>3529</v>
      </c>
    </row>
    <row r="914" spans="1:7">
      <c r="A914">
        <v>45911</v>
      </c>
      <c r="B914">
        <f t="shared" si="28"/>
        <v>46911</v>
      </c>
      <c r="C914">
        <f t="shared" si="29"/>
        <v>45911</v>
      </c>
      <c r="G914" t="s">
        <v>3529</v>
      </c>
    </row>
    <row r="915" spans="1:7">
      <c r="A915">
        <v>45912</v>
      </c>
      <c r="B915">
        <f t="shared" si="28"/>
        <v>46912</v>
      </c>
      <c r="C915">
        <f t="shared" si="29"/>
        <v>45912</v>
      </c>
      <c r="G915" t="s">
        <v>3529</v>
      </c>
    </row>
    <row r="916" spans="1:7">
      <c r="A916">
        <v>45913</v>
      </c>
      <c r="B916">
        <f t="shared" si="28"/>
        <v>46913</v>
      </c>
      <c r="C916">
        <f t="shared" si="29"/>
        <v>45913</v>
      </c>
      <c r="G916" t="s">
        <v>3529</v>
      </c>
    </row>
    <row r="917" spans="1:7">
      <c r="A917">
        <v>45914</v>
      </c>
      <c r="B917">
        <f t="shared" si="28"/>
        <v>46914</v>
      </c>
      <c r="C917">
        <f t="shared" si="29"/>
        <v>45914</v>
      </c>
      <c r="G917" t="s">
        <v>3529</v>
      </c>
    </row>
    <row r="918" spans="1:7">
      <c r="A918">
        <v>45915</v>
      </c>
      <c r="B918">
        <f t="shared" si="28"/>
        <v>46915</v>
      </c>
      <c r="C918">
        <f t="shared" si="29"/>
        <v>45915</v>
      </c>
      <c r="G918" t="s">
        <v>3529</v>
      </c>
    </row>
    <row r="919" spans="1:7">
      <c r="A919">
        <v>45916</v>
      </c>
      <c r="B919">
        <f t="shared" si="28"/>
        <v>46916</v>
      </c>
      <c r="C919">
        <f t="shared" si="29"/>
        <v>45916</v>
      </c>
      <c r="G919" t="s">
        <v>3529</v>
      </c>
    </row>
    <row r="920" spans="1:7">
      <c r="A920">
        <v>45917</v>
      </c>
      <c r="B920">
        <f t="shared" si="28"/>
        <v>46917</v>
      </c>
      <c r="C920">
        <f t="shared" si="29"/>
        <v>45917</v>
      </c>
      <c r="G920" t="s">
        <v>3529</v>
      </c>
    </row>
    <row r="921" spans="1:7">
      <c r="A921">
        <v>45918</v>
      </c>
      <c r="B921">
        <f t="shared" si="28"/>
        <v>46918</v>
      </c>
      <c r="C921">
        <f t="shared" si="29"/>
        <v>45918</v>
      </c>
      <c r="G921" t="s">
        <v>3529</v>
      </c>
    </row>
    <row r="922" spans="1:7">
      <c r="A922">
        <v>45919</v>
      </c>
      <c r="B922">
        <f t="shared" si="28"/>
        <v>46919</v>
      </c>
      <c r="C922">
        <f t="shared" si="29"/>
        <v>45919</v>
      </c>
      <c r="G922" t="s">
        <v>3529</v>
      </c>
    </row>
    <row r="923" spans="1:7">
      <c r="A923">
        <v>45920</v>
      </c>
      <c r="B923">
        <f t="shared" si="28"/>
        <v>46920</v>
      </c>
      <c r="C923">
        <f t="shared" si="29"/>
        <v>45920</v>
      </c>
      <c r="G923" t="s">
        <v>3529</v>
      </c>
    </row>
    <row r="924" spans="1:7">
      <c r="A924">
        <v>45921</v>
      </c>
      <c r="B924">
        <f t="shared" si="28"/>
        <v>46921</v>
      </c>
      <c r="C924">
        <f t="shared" si="29"/>
        <v>45921</v>
      </c>
      <c r="G924" t="s">
        <v>3529</v>
      </c>
    </row>
    <row r="925" spans="1:7">
      <c r="A925">
        <v>45922</v>
      </c>
      <c r="B925">
        <f t="shared" si="28"/>
        <v>46922</v>
      </c>
      <c r="C925">
        <f t="shared" si="29"/>
        <v>45922</v>
      </c>
      <c r="G925" t="s">
        <v>3529</v>
      </c>
    </row>
    <row r="926" spans="1:7">
      <c r="A926">
        <v>45923</v>
      </c>
      <c r="B926">
        <f t="shared" si="28"/>
        <v>46923</v>
      </c>
      <c r="C926">
        <f t="shared" si="29"/>
        <v>45923</v>
      </c>
      <c r="G926" t="s">
        <v>3529</v>
      </c>
    </row>
    <row r="927" spans="1:7">
      <c r="A927">
        <v>45924</v>
      </c>
      <c r="B927">
        <f t="shared" si="28"/>
        <v>46924</v>
      </c>
      <c r="C927">
        <f t="shared" si="29"/>
        <v>45924</v>
      </c>
      <c r="G927" t="s">
        <v>3529</v>
      </c>
    </row>
    <row r="928" spans="1:7">
      <c r="A928">
        <v>45925</v>
      </c>
      <c r="B928">
        <f t="shared" si="28"/>
        <v>46925</v>
      </c>
      <c r="C928">
        <f t="shared" si="29"/>
        <v>45925</v>
      </c>
      <c r="G928" t="s">
        <v>3529</v>
      </c>
    </row>
    <row r="929" spans="1:7">
      <c r="A929">
        <v>45926</v>
      </c>
      <c r="B929">
        <f t="shared" si="28"/>
        <v>46926</v>
      </c>
      <c r="C929">
        <f t="shared" si="29"/>
        <v>45926</v>
      </c>
      <c r="G929" t="s">
        <v>3529</v>
      </c>
    </row>
    <row r="930" spans="1:7">
      <c r="A930">
        <v>45927</v>
      </c>
      <c r="B930">
        <f t="shared" si="28"/>
        <v>46927</v>
      </c>
      <c r="C930">
        <f t="shared" si="29"/>
        <v>45927</v>
      </c>
      <c r="G930" t="s">
        <v>3529</v>
      </c>
    </row>
    <row r="931" spans="1:7">
      <c r="A931">
        <v>45928</v>
      </c>
      <c r="B931">
        <f t="shared" si="28"/>
        <v>46928</v>
      </c>
      <c r="C931">
        <f t="shared" si="29"/>
        <v>45928</v>
      </c>
      <c r="G931" t="s">
        <v>3529</v>
      </c>
    </row>
    <row r="932" spans="1:7">
      <c r="A932">
        <v>45929</v>
      </c>
      <c r="B932">
        <f t="shared" si="28"/>
        <v>46929</v>
      </c>
      <c r="C932">
        <f t="shared" si="29"/>
        <v>45929</v>
      </c>
      <c r="G932" t="s">
        <v>3529</v>
      </c>
    </row>
    <row r="933" spans="1:7">
      <c r="A933">
        <v>45930</v>
      </c>
      <c r="B933">
        <f t="shared" si="28"/>
        <v>46930</v>
      </c>
      <c r="C933">
        <f t="shared" si="29"/>
        <v>45930</v>
      </c>
      <c r="G933" t="s">
        <v>3529</v>
      </c>
    </row>
    <row r="934" spans="1:7">
      <c r="A934">
        <v>45931</v>
      </c>
      <c r="B934">
        <f t="shared" si="28"/>
        <v>46931</v>
      </c>
      <c r="C934">
        <f t="shared" si="29"/>
        <v>45931</v>
      </c>
      <c r="G934" t="s">
        <v>3529</v>
      </c>
    </row>
    <row r="935" spans="1:7">
      <c r="A935">
        <v>45932</v>
      </c>
      <c r="B935">
        <f t="shared" si="28"/>
        <v>46932</v>
      </c>
      <c r="C935">
        <f t="shared" si="29"/>
        <v>45932</v>
      </c>
      <c r="G935" t="s">
        <v>3529</v>
      </c>
    </row>
    <row r="936" spans="1:7">
      <c r="A936">
        <v>45933</v>
      </c>
      <c r="B936">
        <f t="shared" si="28"/>
        <v>46933</v>
      </c>
      <c r="C936">
        <f t="shared" si="29"/>
        <v>45933</v>
      </c>
      <c r="G936" t="s">
        <v>3529</v>
      </c>
    </row>
    <row r="937" spans="1:7">
      <c r="A937">
        <v>45934</v>
      </c>
      <c r="B937">
        <f t="shared" si="28"/>
        <v>46934</v>
      </c>
      <c r="C937">
        <f t="shared" si="29"/>
        <v>45934</v>
      </c>
      <c r="G937" t="s">
        <v>3529</v>
      </c>
    </row>
    <row r="938" spans="1:7">
      <c r="A938">
        <v>45935</v>
      </c>
      <c r="B938">
        <f t="shared" si="28"/>
        <v>46935</v>
      </c>
      <c r="C938">
        <f t="shared" si="29"/>
        <v>45935</v>
      </c>
      <c r="G938" t="s">
        <v>3529</v>
      </c>
    </row>
    <row r="939" spans="1:7">
      <c r="A939">
        <v>45936</v>
      </c>
      <c r="B939">
        <f t="shared" si="28"/>
        <v>46936</v>
      </c>
      <c r="C939">
        <f t="shared" si="29"/>
        <v>45936</v>
      </c>
      <c r="G939" t="s">
        <v>3529</v>
      </c>
    </row>
    <row r="940" spans="1:7">
      <c r="A940">
        <v>45937</v>
      </c>
      <c r="B940">
        <f t="shared" si="28"/>
        <v>46937</v>
      </c>
      <c r="C940">
        <f t="shared" si="29"/>
        <v>45937</v>
      </c>
      <c r="G940" t="s">
        <v>3529</v>
      </c>
    </row>
    <row r="941" spans="1:7">
      <c r="A941">
        <v>45938</v>
      </c>
      <c r="B941">
        <f t="shared" si="28"/>
        <v>46938</v>
      </c>
      <c r="C941">
        <f t="shared" si="29"/>
        <v>45938</v>
      </c>
      <c r="G941" t="s">
        <v>3529</v>
      </c>
    </row>
    <row r="942" spans="1:7">
      <c r="A942">
        <v>45939</v>
      </c>
      <c r="B942">
        <f t="shared" si="28"/>
        <v>46939</v>
      </c>
      <c r="C942">
        <f t="shared" si="29"/>
        <v>45939</v>
      </c>
      <c r="G942" t="s">
        <v>3529</v>
      </c>
    </row>
    <row r="943" spans="1:7">
      <c r="A943">
        <v>45940</v>
      </c>
      <c r="B943">
        <f t="shared" si="28"/>
        <v>46940</v>
      </c>
      <c r="C943">
        <f t="shared" si="29"/>
        <v>45940</v>
      </c>
      <c r="G943" t="s">
        <v>3529</v>
      </c>
    </row>
    <row r="944" spans="1:7">
      <c r="A944">
        <v>45941</v>
      </c>
      <c r="B944">
        <f t="shared" si="28"/>
        <v>46941</v>
      </c>
      <c r="C944">
        <f t="shared" si="29"/>
        <v>45941</v>
      </c>
      <c r="G944" t="s">
        <v>3529</v>
      </c>
    </row>
    <row r="945" spans="1:7">
      <c r="A945">
        <v>45942</v>
      </c>
      <c r="B945">
        <f t="shared" si="28"/>
        <v>46942</v>
      </c>
      <c r="C945">
        <f t="shared" si="29"/>
        <v>45942</v>
      </c>
      <c r="G945" t="s">
        <v>3529</v>
      </c>
    </row>
    <row r="946" spans="1:7">
      <c r="A946">
        <v>45943</v>
      </c>
      <c r="B946">
        <f t="shared" si="28"/>
        <v>46943</v>
      </c>
      <c r="C946">
        <f t="shared" si="29"/>
        <v>45943</v>
      </c>
      <c r="G946" t="s">
        <v>3529</v>
      </c>
    </row>
    <row r="947" spans="1:7">
      <c r="A947">
        <v>45944</v>
      </c>
      <c r="B947">
        <f t="shared" si="28"/>
        <v>46944</v>
      </c>
      <c r="C947">
        <f t="shared" si="29"/>
        <v>45944</v>
      </c>
      <c r="G947" t="s">
        <v>3529</v>
      </c>
    </row>
    <row r="948" spans="1:7">
      <c r="A948">
        <v>45945</v>
      </c>
      <c r="B948">
        <f t="shared" si="28"/>
        <v>46945</v>
      </c>
      <c r="C948">
        <f t="shared" si="29"/>
        <v>45945</v>
      </c>
      <c r="G948" t="s">
        <v>3529</v>
      </c>
    </row>
    <row r="949" spans="1:7">
      <c r="A949">
        <v>45946</v>
      </c>
      <c r="B949">
        <f t="shared" si="28"/>
        <v>46946</v>
      </c>
      <c r="C949">
        <f t="shared" si="29"/>
        <v>45946</v>
      </c>
      <c r="G949" t="s">
        <v>3529</v>
      </c>
    </row>
    <row r="950" spans="1:7">
      <c r="A950">
        <v>45947</v>
      </c>
      <c r="B950">
        <f t="shared" si="28"/>
        <v>46947</v>
      </c>
      <c r="C950">
        <f t="shared" si="29"/>
        <v>45947</v>
      </c>
      <c r="G950" t="s">
        <v>3529</v>
      </c>
    </row>
    <row r="951" spans="1:7">
      <c r="A951">
        <v>45948</v>
      </c>
      <c r="B951">
        <f t="shared" si="28"/>
        <v>46948</v>
      </c>
      <c r="C951">
        <f t="shared" si="29"/>
        <v>45948</v>
      </c>
      <c r="G951" t="s">
        <v>3529</v>
      </c>
    </row>
    <row r="952" spans="1:7">
      <c r="A952">
        <v>45949</v>
      </c>
      <c r="B952">
        <f t="shared" si="28"/>
        <v>46949</v>
      </c>
      <c r="C952">
        <f t="shared" si="29"/>
        <v>45949</v>
      </c>
      <c r="G952" t="s">
        <v>3529</v>
      </c>
    </row>
    <row r="953" spans="1:7">
      <c r="A953">
        <v>45950</v>
      </c>
      <c r="B953">
        <f t="shared" si="28"/>
        <v>46950</v>
      </c>
      <c r="C953">
        <f t="shared" si="29"/>
        <v>45950</v>
      </c>
      <c r="G953" t="s">
        <v>3529</v>
      </c>
    </row>
    <row r="954" spans="1:7">
      <c r="A954">
        <v>45951</v>
      </c>
      <c r="B954">
        <f t="shared" si="28"/>
        <v>46951</v>
      </c>
      <c r="C954">
        <f t="shared" si="29"/>
        <v>45951</v>
      </c>
      <c r="G954" t="s">
        <v>3529</v>
      </c>
    </row>
    <row r="955" spans="1:7">
      <c r="A955">
        <v>45952</v>
      </c>
      <c r="B955">
        <f t="shared" si="28"/>
        <v>46952</v>
      </c>
      <c r="C955">
        <f t="shared" si="29"/>
        <v>45952</v>
      </c>
      <c r="G955" t="s">
        <v>3529</v>
      </c>
    </row>
    <row r="956" spans="1:7">
      <c r="A956">
        <v>45953</v>
      </c>
      <c r="B956">
        <f t="shared" si="28"/>
        <v>46953</v>
      </c>
      <c r="C956">
        <f t="shared" si="29"/>
        <v>45953</v>
      </c>
      <c r="G956" t="s">
        <v>3529</v>
      </c>
    </row>
    <row r="957" spans="1:7">
      <c r="A957">
        <v>45954</v>
      </c>
      <c r="B957">
        <f t="shared" si="28"/>
        <v>46954</v>
      </c>
      <c r="C957">
        <f t="shared" si="29"/>
        <v>45954</v>
      </c>
      <c r="G957" t="s">
        <v>3529</v>
      </c>
    </row>
    <row r="958" spans="1:7">
      <c r="A958">
        <v>45955</v>
      </c>
      <c r="B958">
        <f t="shared" si="28"/>
        <v>46955</v>
      </c>
      <c r="C958">
        <f t="shared" si="29"/>
        <v>45955</v>
      </c>
      <c r="G958" t="s">
        <v>3529</v>
      </c>
    </row>
    <row r="959" spans="1:7">
      <c r="A959">
        <v>45956</v>
      </c>
      <c r="B959">
        <f t="shared" si="28"/>
        <v>46956</v>
      </c>
      <c r="C959">
        <f t="shared" si="29"/>
        <v>45956</v>
      </c>
      <c r="G959" t="s">
        <v>3529</v>
      </c>
    </row>
    <row r="960" spans="1:7">
      <c r="A960">
        <v>45957</v>
      </c>
      <c r="B960">
        <f t="shared" si="28"/>
        <v>46957</v>
      </c>
      <c r="C960">
        <f t="shared" si="29"/>
        <v>45957</v>
      </c>
      <c r="G960" t="s">
        <v>3529</v>
      </c>
    </row>
    <row r="961" spans="1:7">
      <c r="A961">
        <v>45958</v>
      </c>
      <c r="B961">
        <f t="shared" si="28"/>
        <v>46958</v>
      </c>
      <c r="C961">
        <f t="shared" si="29"/>
        <v>45958</v>
      </c>
      <c r="G961" t="s">
        <v>3529</v>
      </c>
    </row>
    <row r="962" spans="1:7">
      <c r="A962">
        <v>45959</v>
      </c>
      <c r="B962">
        <f t="shared" si="28"/>
        <v>46959</v>
      </c>
      <c r="C962">
        <f t="shared" si="29"/>
        <v>45959</v>
      </c>
      <c r="G962" t="s">
        <v>3529</v>
      </c>
    </row>
    <row r="963" spans="1:7">
      <c r="A963">
        <v>45960</v>
      </c>
      <c r="B963">
        <f t="shared" si="28"/>
        <v>46960</v>
      </c>
      <c r="C963">
        <f t="shared" si="29"/>
        <v>45960</v>
      </c>
      <c r="G963" t="s">
        <v>3529</v>
      </c>
    </row>
    <row r="964" spans="1:7">
      <c r="A964">
        <v>45961</v>
      </c>
      <c r="B964">
        <f t="shared" ref="B964:B1002" si="30">A964+1000</f>
        <v>46961</v>
      </c>
      <c r="C964">
        <f t="shared" ref="C964:C1002" si="31">IF(ISERROR(FIND("Epic",E964)),A964,A964+10000)</f>
        <v>45961</v>
      </c>
      <c r="G964" t="s">
        <v>3529</v>
      </c>
    </row>
    <row r="965" spans="1:7">
      <c r="A965">
        <v>45962</v>
      </c>
      <c r="B965">
        <f t="shared" si="30"/>
        <v>46962</v>
      </c>
      <c r="C965">
        <f t="shared" si="31"/>
        <v>45962</v>
      </c>
      <c r="G965" t="s">
        <v>3529</v>
      </c>
    </row>
    <row r="966" spans="1:7">
      <c r="A966">
        <v>45963</v>
      </c>
      <c r="B966">
        <f t="shared" si="30"/>
        <v>46963</v>
      </c>
      <c r="C966">
        <f t="shared" si="31"/>
        <v>45963</v>
      </c>
      <c r="G966" t="s">
        <v>3529</v>
      </c>
    </row>
    <row r="967" spans="1:7">
      <c r="A967">
        <v>45964</v>
      </c>
      <c r="B967">
        <f t="shared" si="30"/>
        <v>46964</v>
      </c>
      <c r="C967">
        <f t="shared" si="31"/>
        <v>45964</v>
      </c>
      <c r="G967" t="s">
        <v>3529</v>
      </c>
    </row>
    <row r="968" spans="1:7">
      <c r="A968">
        <v>45965</v>
      </c>
      <c r="B968">
        <f t="shared" si="30"/>
        <v>46965</v>
      </c>
      <c r="C968">
        <f t="shared" si="31"/>
        <v>45965</v>
      </c>
      <c r="G968" t="s">
        <v>3529</v>
      </c>
    </row>
    <row r="969" spans="1:7">
      <c r="A969">
        <v>45966</v>
      </c>
      <c r="B969">
        <f t="shared" si="30"/>
        <v>46966</v>
      </c>
      <c r="C969">
        <f t="shared" si="31"/>
        <v>45966</v>
      </c>
      <c r="G969" t="s">
        <v>3529</v>
      </c>
    </row>
    <row r="970" spans="1:7">
      <c r="A970">
        <v>45967</v>
      </c>
      <c r="B970">
        <f t="shared" si="30"/>
        <v>46967</v>
      </c>
      <c r="C970">
        <f t="shared" si="31"/>
        <v>45967</v>
      </c>
      <c r="G970" t="s">
        <v>3529</v>
      </c>
    </row>
    <row r="971" spans="1:7">
      <c r="A971">
        <v>45968</v>
      </c>
      <c r="B971">
        <f t="shared" si="30"/>
        <v>46968</v>
      </c>
      <c r="C971">
        <f t="shared" si="31"/>
        <v>45968</v>
      </c>
      <c r="G971" t="s">
        <v>3529</v>
      </c>
    </row>
    <row r="972" spans="1:7">
      <c r="A972">
        <v>45969</v>
      </c>
      <c r="B972">
        <f t="shared" si="30"/>
        <v>46969</v>
      </c>
      <c r="C972">
        <f t="shared" si="31"/>
        <v>45969</v>
      </c>
      <c r="G972" t="s">
        <v>3529</v>
      </c>
    </row>
    <row r="973" spans="1:7">
      <c r="A973">
        <v>45970</v>
      </c>
      <c r="B973">
        <f t="shared" si="30"/>
        <v>46970</v>
      </c>
      <c r="C973">
        <f t="shared" si="31"/>
        <v>45970</v>
      </c>
      <c r="G973" t="s">
        <v>3529</v>
      </c>
    </row>
    <row r="974" spans="1:7">
      <c r="A974">
        <v>45971</v>
      </c>
      <c r="B974">
        <f t="shared" si="30"/>
        <v>46971</v>
      </c>
      <c r="C974">
        <f t="shared" si="31"/>
        <v>45971</v>
      </c>
      <c r="G974" t="s">
        <v>3529</v>
      </c>
    </row>
    <row r="975" spans="1:7">
      <c r="A975">
        <v>45972</v>
      </c>
      <c r="B975">
        <f t="shared" si="30"/>
        <v>46972</v>
      </c>
      <c r="C975">
        <f t="shared" si="31"/>
        <v>45972</v>
      </c>
      <c r="G975" t="s">
        <v>3529</v>
      </c>
    </row>
    <row r="976" spans="1:7">
      <c r="A976">
        <v>45973</v>
      </c>
      <c r="B976">
        <f t="shared" si="30"/>
        <v>46973</v>
      </c>
      <c r="C976">
        <f t="shared" si="31"/>
        <v>45973</v>
      </c>
      <c r="G976" t="s">
        <v>3529</v>
      </c>
    </row>
    <row r="977" spans="1:7">
      <c r="A977">
        <v>45974</v>
      </c>
      <c r="B977">
        <f t="shared" si="30"/>
        <v>46974</v>
      </c>
      <c r="C977">
        <f t="shared" si="31"/>
        <v>45974</v>
      </c>
      <c r="G977" t="s">
        <v>3529</v>
      </c>
    </row>
    <row r="978" spans="1:7">
      <c r="A978">
        <v>45975</v>
      </c>
      <c r="B978">
        <f t="shared" si="30"/>
        <v>46975</v>
      </c>
      <c r="C978">
        <f t="shared" si="31"/>
        <v>45975</v>
      </c>
      <c r="G978" t="s">
        <v>3529</v>
      </c>
    </row>
    <row r="979" spans="1:7">
      <c r="A979">
        <v>45976</v>
      </c>
      <c r="B979">
        <f t="shared" si="30"/>
        <v>46976</v>
      </c>
      <c r="C979">
        <f t="shared" si="31"/>
        <v>45976</v>
      </c>
      <c r="G979" t="s">
        <v>3529</v>
      </c>
    </row>
    <row r="980" spans="1:7">
      <c r="A980">
        <v>45977</v>
      </c>
      <c r="B980">
        <f t="shared" si="30"/>
        <v>46977</v>
      </c>
      <c r="C980">
        <f t="shared" si="31"/>
        <v>45977</v>
      </c>
      <c r="G980" t="s">
        <v>3529</v>
      </c>
    </row>
    <row r="981" spans="1:7">
      <c r="A981">
        <v>45978</v>
      </c>
      <c r="B981">
        <f t="shared" si="30"/>
        <v>46978</v>
      </c>
      <c r="C981">
        <f t="shared" si="31"/>
        <v>45978</v>
      </c>
      <c r="G981" t="s">
        <v>3529</v>
      </c>
    </row>
    <row r="982" spans="1:7">
      <c r="A982">
        <v>45979</v>
      </c>
      <c r="B982">
        <f t="shared" si="30"/>
        <v>46979</v>
      </c>
      <c r="C982">
        <f t="shared" si="31"/>
        <v>45979</v>
      </c>
      <c r="G982" t="s">
        <v>3529</v>
      </c>
    </row>
    <row r="983" spans="1:7">
      <c r="A983">
        <v>45980</v>
      </c>
      <c r="B983">
        <f t="shared" si="30"/>
        <v>46980</v>
      </c>
      <c r="C983">
        <f t="shared" si="31"/>
        <v>45980</v>
      </c>
      <c r="G983" t="s">
        <v>3529</v>
      </c>
    </row>
    <row r="984" spans="1:7">
      <c r="A984">
        <v>45981</v>
      </c>
      <c r="B984">
        <f t="shared" si="30"/>
        <v>46981</v>
      </c>
      <c r="C984">
        <f t="shared" si="31"/>
        <v>45981</v>
      </c>
      <c r="G984" t="s">
        <v>3529</v>
      </c>
    </row>
    <row r="985" spans="1:7">
      <c r="A985">
        <v>45982</v>
      </c>
      <c r="B985">
        <f t="shared" si="30"/>
        <v>46982</v>
      </c>
      <c r="C985">
        <f t="shared" si="31"/>
        <v>45982</v>
      </c>
      <c r="G985" t="s">
        <v>3529</v>
      </c>
    </row>
    <row r="986" spans="1:7">
      <c r="A986">
        <v>45983</v>
      </c>
      <c r="B986">
        <f t="shared" si="30"/>
        <v>46983</v>
      </c>
      <c r="C986">
        <f t="shared" si="31"/>
        <v>45983</v>
      </c>
      <c r="G986" t="s">
        <v>3529</v>
      </c>
    </row>
    <row r="987" spans="1:7">
      <c r="A987">
        <v>45984</v>
      </c>
      <c r="B987">
        <f t="shared" si="30"/>
        <v>46984</v>
      </c>
      <c r="C987">
        <f t="shared" si="31"/>
        <v>45984</v>
      </c>
      <c r="G987" t="s">
        <v>3529</v>
      </c>
    </row>
    <row r="988" spans="1:7">
      <c r="A988">
        <v>45985</v>
      </c>
      <c r="B988">
        <f t="shared" si="30"/>
        <v>46985</v>
      </c>
      <c r="C988">
        <f t="shared" si="31"/>
        <v>45985</v>
      </c>
      <c r="G988" t="s">
        <v>3529</v>
      </c>
    </row>
    <row r="989" spans="1:7">
      <c r="A989">
        <v>45986</v>
      </c>
      <c r="B989">
        <f t="shared" si="30"/>
        <v>46986</v>
      </c>
      <c r="C989">
        <f t="shared" si="31"/>
        <v>45986</v>
      </c>
      <c r="G989" t="s">
        <v>3529</v>
      </c>
    </row>
    <row r="990" spans="1:7">
      <c r="A990">
        <v>45987</v>
      </c>
      <c r="B990">
        <f t="shared" si="30"/>
        <v>46987</v>
      </c>
      <c r="C990">
        <f t="shared" si="31"/>
        <v>45987</v>
      </c>
      <c r="G990" t="s">
        <v>3529</v>
      </c>
    </row>
    <row r="991" spans="1:7">
      <c r="A991">
        <v>45988</v>
      </c>
      <c r="B991">
        <f t="shared" si="30"/>
        <v>46988</v>
      </c>
      <c r="C991">
        <f t="shared" si="31"/>
        <v>45988</v>
      </c>
      <c r="G991" t="s">
        <v>3529</v>
      </c>
    </row>
    <row r="992" spans="1:7">
      <c r="A992">
        <v>45989</v>
      </c>
      <c r="B992">
        <f t="shared" si="30"/>
        <v>46989</v>
      </c>
      <c r="C992">
        <f t="shared" si="31"/>
        <v>45989</v>
      </c>
      <c r="G992" t="s">
        <v>3529</v>
      </c>
    </row>
    <row r="993" spans="1:7">
      <c r="A993">
        <v>45990</v>
      </c>
      <c r="B993">
        <f t="shared" si="30"/>
        <v>46990</v>
      </c>
      <c r="C993">
        <f t="shared" si="31"/>
        <v>45990</v>
      </c>
      <c r="G993" t="s">
        <v>3529</v>
      </c>
    </row>
    <row r="994" spans="1:7">
      <c r="A994">
        <v>45991</v>
      </c>
      <c r="B994">
        <f t="shared" si="30"/>
        <v>46991</v>
      </c>
      <c r="C994">
        <f t="shared" si="31"/>
        <v>45991</v>
      </c>
      <c r="G994" t="s">
        <v>3529</v>
      </c>
    </row>
    <row r="995" spans="1:7">
      <c r="A995">
        <v>45992</v>
      </c>
      <c r="B995">
        <f t="shared" si="30"/>
        <v>46992</v>
      </c>
      <c r="C995">
        <f t="shared" si="31"/>
        <v>45992</v>
      </c>
      <c r="G995" t="s">
        <v>3529</v>
      </c>
    </row>
    <row r="996" spans="1:7">
      <c r="A996">
        <v>45993</v>
      </c>
      <c r="B996">
        <f t="shared" si="30"/>
        <v>46993</v>
      </c>
      <c r="C996">
        <f t="shared" si="31"/>
        <v>45993</v>
      </c>
      <c r="G996" t="s">
        <v>3529</v>
      </c>
    </row>
    <row r="997" spans="1:7">
      <c r="A997">
        <v>45994</v>
      </c>
      <c r="B997">
        <f t="shared" si="30"/>
        <v>46994</v>
      </c>
      <c r="C997">
        <f t="shared" si="31"/>
        <v>45994</v>
      </c>
      <c r="G997" t="s">
        <v>3529</v>
      </c>
    </row>
    <row r="998" spans="1:7">
      <c r="A998">
        <v>45995</v>
      </c>
      <c r="B998">
        <f t="shared" si="30"/>
        <v>46995</v>
      </c>
      <c r="C998">
        <f t="shared" si="31"/>
        <v>45995</v>
      </c>
      <c r="G998" t="s">
        <v>3529</v>
      </c>
    </row>
    <row r="999" spans="1:7">
      <c r="A999">
        <v>45996</v>
      </c>
      <c r="B999">
        <f t="shared" si="30"/>
        <v>46996</v>
      </c>
      <c r="C999">
        <f t="shared" si="31"/>
        <v>45996</v>
      </c>
      <c r="G999" t="s">
        <v>3529</v>
      </c>
    </row>
    <row r="1000" spans="1:7">
      <c r="A1000">
        <v>45997</v>
      </c>
      <c r="B1000">
        <f t="shared" si="30"/>
        <v>46997</v>
      </c>
      <c r="C1000">
        <f t="shared" si="31"/>
        <v>45997</v>
      </c>
      <c r="G1000" t="s">
        <v>3529</v>
      </c>
    </row>
    <row r="1001" spans="1:7">
      <c r="A1001">
        <v>45998</v>
      </c>
      <c r="B1001">
        <f t="shared" si="30"/>
        <v>46998</v>
      </c>
      <c r="C1001">
        <f t="shared" si="31"/>
        <v>45998</v>
      </c>
      <c r="G1001" t="s">
        <v>3529</v>
      </c>
    </row>
    <row r="1002" spans="1:7">
      <c r="A1002">
        <v>45999</v>
      </c>
      <c r="B1002">
        <f t="shared" si="30"/>
        <v>46999</v>
      </c>
      <c r="C1002">
        <f t="shared" si="31"/>
        <v>45999</v>
      </c>
      <c r="G1002" t="s">
        <v>3529</v>
      </c>
    </row>
  </sheetData>
  <sheetProtection algorithmName="SHA-512" hashValue="dDndgfoN5NN2p7SF4ynwMuRRRF1W80ooyEyh4MrDrDyQJlxdQEqTy2qKPp5PY/VV8wt7y4c9vF9GSa/VnyOLMQ==" saltValue="hH9tF/dMji9NdVRlyML+Tw==" spinCount="100000" sheet="1" objects="1" scenarios="1"/>
  <mergeCells count="1">
    <mergeCell ref="A1:H1"/>
  </mergeCells>
  <conditionalFormatting sqref="A2">
    <cfRule type="duplicateValues" dxfId="77" priority="10"/>
  </conditionalFormatting>
  <conditionalFormatting sqref="B2">
    <cfRule type="duplicateValues" dxfId="76" priority="11"/>
  </conditionalFormatting>
  <conditionalFormatting sqref="C2">
    <cfRule type="duplicateValues" dxfId="75" priority="12"/>
  </conditionalFormatting>
  <conditionalFormatting sqref="E2">
    <cfRule type="containsBlanks" dxfId="74" priority="13">
      <formula>LEN(TRIM(E2))=0</formula>
    </cfRule>
    <cfRule type="containsText" priority="14" stopIfTrue="1" operator="containsText" text="Reserved">
      <formula>NOT(ISERROR(SEARCH("Reserved",E2)))</formula>
    </cfRule>
    <cfRule type="duplicateValues" dxfId="73" priority="15"/>
  </conditionalFormatting>
  <conditionalFormatting sqref="E10:E11">
    <cfRule type="duplicateValues" dxfId="72" priority="9"/>
  </conditionalFormatting>
  <conditionalFormatting sqref="E10:E12">
    <cfRule type="containsText" priority="5" stopIfTrue="1" operator="containsText" text="Reserved">
      <formula>NOT(ISERROR(SEARCH("Reserved",E10)))</formula>
    </cfRule>
  </conditionalFormatting>
  <conditionalFormatting sqref="E10:E13">
    <cfRule type="containsBlanks" dxfId="71" priority="2">
      <formula>LEN(TRIM(E10))=0</formula>
    </cfRule>
  </conditionalFormatting>
  <conditionalFormatting sqref="E12">
    <cfRule type="duplicateValues" dxfId="70" priority="6"/>
  </conditionalFormatting>
  <conditionalFormatting sqref="E13">
    <cfRule type="containsText" priority="1" stopIfTrue="1" operator="containsText" text="Reserved">
      <formula>NOT(ISERROR(SEARCH("Reserved",E13)))</formula>
    </cfRule>
    <cfRule type="duplicateValues" dxfId="69" priority="3"/>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dimension ref="A1:D80"/>
  <sheetViews>
    <sheetView topLeftCell="A43" workbookViewId="0">
      <selection activeCell="B34" sqref="B34"/>
    </sheetView>
  </sheetViews>
  <sheetFormatPr defaultColWidth="8.7109375" defaultRowHeight="15"/>
  <cols>
    <col min="1" max="1" width="4.28515625" style="9" bestFit="1" customWidth="1"/>
    <col min="2" max="2" width="49.7109375" style="9" customWidth="1"/>
    <col min="3" max="3" width="57.7109375" style="9" bestFit="1" customWidth="1"/>
    <col min="4" max="4" width="16.42578125" style="9" bestFit="1" customWidth="1"/>
  </cols>
  <sheetData>
    <row r="1" spans="1:4" ht="18.75">
      <c r="A1" s="24" t="s">
        <v>13</v>
      </c>
      <c r="B1" s="24" t="s">
        <v>14</v>
      </c>
      <c r="C1" s="24" t="s">
        <v>15</v>
      </c>
      <c r="D1" s="24" t="s">
        <v>16</v>
      </c>
    </row>
    <row r="2" spans="1:4">
      <c r="A2" s="47" t="s">
        <v>498</v>
      </c>
      <c r="B2" s="47" t="s">
        <v>3530</v>
      </c>
      <c r="C2" s="119" t="s">
        <v>3531</v>
      </c>
      <c r="D2" s="47"/>
    </row>
    <row r="3" spans="1:4">
      <c r="A3" s="9" t="s">
        <v>498</v>
      </c>
      <c r="B3" s="9" t="s">
        <v>3532</v>
      </c>
      <c r="C3" s="14" t="s">
        <v>3531</v>
      </c>
    </row>
    <row r="4" spans="1:4">
      <c r="A4" s="9" t="s">
        <v>549</v>
      </c>
      <c r="B4" s="111" t="s">
        <v>3533</v>
      </c>
    </row>
    <row r="5" spans="1:4">
      <c r="A5" s="9" t="s">
        <v>549</v>
      </c>
      <c r="B5" s="111" t="s">
        <v>3534</v>
      </c>
    </row>
    <row r="6" spans="1:4">
      <c r="A6" s="9" t="s">
        <v>549</v>
      </c>
      <c r="B6" s="111" t="s">
        <v>3535</v>
      </c>
    </row>
    <row r="7" spans="1:4">
      <c r="A7" s="9" t="s">
        <v>549</v>
      </c>
      <c r="B7" s="111" t="s">
        <v>3536</v>
      </c>
    </row>
    <row r="8" spans="1:4">
      <c r="A8" s="9" t="s">
        <v>549</v>
      </c>
      <c r="B8" s="111" t="s">
        <v>3537</v>
      </c>
    </row>
    <row r="9" spans="1:4">
      <c r="A9" s="9" t="s">
        <v>549</v>
      </c>
      <c r="B9" s="111" t="s">
        <v>3538</v>
      </c>
    </row>
    <row r="10" spans="1:4">
      <c r="A10" s="9" t="s">
        <v>549</v>
      </c>
      <c r="B10" s="111" t="s">
        <v>3539</v>
      </c>
    </row>
    <row r="11" spans="1:4">
      <c r="A11" s="9" t="s">
        <v>549</v>
      </c>
      <c r="B11" s="111" t="s">
        <v>3540</v>
      </c>
    </row>
    <row r="12" spans="1:4">
      <c r="A12" s="9" t="s">
        <v>549</v>
      </c>
      <c r="B12" s="111" t="s">
        <v>3541</v>
      </c>
    </row>
    <row r="13" spans="1:4">
      <c r="A13" s="9" t="s">
        <v>549</v>
      </c>
      <c r="B13" s="111" t="s">
        <v>3542</v>
      </c>
    </row>
    <row r="14" spans="1:4">
      <c r="A14" s="9" t="s">
        <v>549</v>
      </c>
      <c r="B14" s="111" t="s">
        <v>3543</v>
      </c>
    </row>
    <row r="15" spans="1:4">
      <c r="A15" s="9" t="s">
        <v>549</v>
      </c>
      <c r="B15" s="111" t="s">
        <v>3544</v>
      </c>
    </row>
    <row r="16" spans="1:4">
      <c r="A16" s="9" t="s">
        <v>549</v>
      </c>
      <c r="B16" s="111" t="s">
        <v>3545</v>
      </c>
    </row>
    <row r="17" spans="1:2">
      <c r="A17" s="9" t="s">
        <v>549</v>
      </c>
      <c r="B17" s="111" t="s">
        <v>3546</v>
      </c>
    </row>
    <row r="18" spans="1:2">
      <c r="A18" s="9" t="s">
        <v>549</v>
      </c>
      <c r="B18" s="111" t="s">
        <v>3547</v>
      </c>
    </row>
    <row r="19" spans="1:2">
      <c r="A19" s="9" t="s">
        <v>549</v>
      </c>
      <c r="B19" s="111" t="s">
        <v>3548</v>
      </c>
    </row>
    <row r="20" spans="1:2">
      <c r="A20" s="9" t="s">
        <v>549</v>
      </c>
      <c r="B20" s="111" t="s">
        <v>3549</v>
      </c>
    </row>
    <row r="21" spans="1:2">
      <c r="A21" s="9" t="s">
        <v>549</v>
      </c>
      <c r="B21" s="111" t="s">
        <v>3550</v>
      </c>
    </row>
    <row r="22" spans="1:2">
      <c r="A22" s="9" t="s">
        <v>549</v>
      </c>
      <c r="B22" s="111" t="s">
        <v>3551</v>
      </c>
    </row>
    <row r="23" spans="1:2">
      <c r="A23" s="9" t="s">
        <v>549</v>
      </c>
      <c r="B23" s="111" t="s">
        <v>3552</v>
      </c>
    </row>
    <row r="24" spans="1:2">
      <c r="A24" s="9" t="s">
        <v>549</v>
      </c>
      <c r="B24" s="111" t="s">
        <v>3553</v>
      </c>
    </row>
    <row r="25" spans="1:2">
      <c r="A25" s="9" t="s">
        <v>549</v>
      </c>
      <c r="B25" s="111" t="s">
        <v>3554</v>
      </c>
    </row>
    <row r="26" spans="1:2">
      <c r="A26" s="9" t="s">
        <v>549</v>
      </c>
      <c r="B26" s="111" t="s">
        <v>3555</v>
      </c>
    </row>
    <row r="27" spans="1:2">
      <c r="A27" s="9" t="s">
        <v>549</v>
      </c>
      <c r="B27" s="111" t="s">
        <v>3556</v>
      </c>
    </row>
    <row r="28" spans="1:2">
      <c r="A28" s="9" t="s">
        <v>549</v>
      </c>
      <c r="B28" s="111" t="s">
        <v>3557</v>
      </c>
    </row>
    <row r="29" spans="1:2">
      <c r="A29" s="9" t="s">
        <v>549</v>
      </c>
      <c r="B29" s="111" t="s">
        <v>3558</v>
      </c>
    </row>
    <row r="30" spans="1:2">
      <c r="A30" s="9" t="s">
        <v>549</v>
      </c>
      <c r="B30" s="111" t="s">
        <v>3559</v>
      </c>
    </row>
    <row r="31" spans="1:2">
      <c r="A31" s="9" t="s">
        <v>549</v>
      </c>
      <c r="B31" s="111" t="s">
        <v>3560</v>
      </c>
    </row>
    <row r="32" spans="1:2">
      <c r="A32" s="9" t="s">
        <v>549</v>
      </c>
      <c r="B32" s="111" t="s">
        <v>3561</v>
      </c>
    </row>
    <row r="33" spans="1:2">
      <c r="A33" s="9" t="s">
        <v>549</v>
      </c>
      <c r="B33" s="111" t="s">
        <v>3562</v>
      </c>
    </row>
    <row r="34" spans="1:2">
      <c r="A34" s="9" t="s">
        <v>549</v>
      </c>
      <c r="B34" s="111" t="s">
        <v>3563</v>
      </c>
    </row>
    <row r="35" spans="1:2">
      <c r="A35" s="9" t="s">
        <v>549</v>
      </c>
      <c r="B35" s="111" t="s">
        <v>3564</v>
      </c>
    </row>
    <row r="36" spans="1:2">
      <c r="A36" s="9" t="s">
        <v>549</v>
      </c>
      <c r="B36" s="111" t="s">
        <v>3565</v>
      </c>
    </row>
    <row r="37" spans="1:2">
      <c r="A37" s="9" t="s">
        <v>549</v>
      </c>
      <c r="B37" s="111" t="s">
        <v>3566</v>
      </c>
    </row>
    <row r="38" spans="1:2">
      <c r="A38" s="9" t="s">
        <v>549</v>
      </c>
      <c r="B38" s="111" t="s">
        <v>3567</v>
      </c>
    </row>
    <row r="39" spans="1:2">
      <c r="A39" s="9" t="s">
        <v>549</v>
      </c>
      <c r="B39" s="111" t="s">
        <v>3568</v>
      </c>
    </row>
    <row r="40" spans="1:2">
      <c r="A40" s="9" t="s">
        <v>549</v>
      </c>
      <c r="B40" s="111" t="s">
        <v>3569</v>
      </c>
    </row>
    <row r="41" spans="1:2">
      <c r="A41" s="9" t="s">
        <v>549</v>
      </c>
      <c r="B41" s="111" t="s">
        <v>3570</v>
      </c>
    </row>
    <row r="42" spans="1:2">
      <c r="A42" s="9" t="s">
        <v>549</v>
      </c>
      <c r="B42" s="111" t="s">
        <v>3571</v>
      </c>
    </row>
    <row r="43" spans="1:2">
      <c r="A43" s="9" t="s">
        <v>549</v>
      </c>
      <c r="B43" s="111" t="s">
        <v>3572</v>
      </c>
    </row>
    <row r="44" spans="1:2">
      <c r="A44" s="9" t="s">
        <v>549</v>
      </c>
      <c r="B44" s="111" t="s">
        <v>3573</v>
      </c>
    </row>
    <row r="45" spans="1:2">
      <c r="A45" s="9" t="s">
        <v>549</v>
      </c>
      <c r="B45" s="111" t="s">
        <v>3574</v>
      </c>
    </row>
    <row r="46" spans="1:2">
      <c r="A46" s="9" t="s">
        <v>549</v>
      </c>
      <c r="B46" s="111" t="s">
        <v>3575</v>
      </c>
    </row>
    <row r="47" spans="1:2">
      <c r="A47" s="9" t="s">
        <v>549</v>
      </c>
      <c r="B47" s="111" t="s">
        <v>3576</v>
      </c>
    </row>
    <row r="48" spans="1:2">
      <c r="A48" s="9" t="s">
        <v>549</v>
      </c>
      <c r="B48" s="111" t="s">
        <v>3577</v>
      </c>
    </row>
    <row r="49" spans="1:2">
      <c r="A49" s="9" t="s">
        <v>549</v>
      </c>
      <c r="B49" s="111" t="s">
        <v>3578</v>
      </c>
    </row>
    <row r="50" spans="1:2">
      <c r="A50" s="9" t="s">
        <v>549</v>
      </c>
      <c r="B50" s="111" t="s">
        <v>3579</v>
      </c>
    </row>
    <row r="51" spans="1:2">
      <c r="A51" s="9" t="s">
        <v>549</v>
      </c>
      <c r="B51" s="111" t="s">
        <v>3580</v>
      </c>
    </row>
    <row r="52" spans="1:2">
      <c r="A52" s="9" t="s">
        <v>549</v>
      </c>
      <c r="B52" s="111" t="s">
        <v>3581</v>
      </c>
    </row>
    <row r="53" spans="1:2">
      <c r="A53" s="9" t="s">
        <v>549</v>
      </c>
      <c r="B53" s="111" t="s">
        <v>3582</v>
      </c>
    </row>
    <row r="54" spans="1:2">
      <c r="A54" s="9" t="s">
        <v>549</v>
      </c>
      <c r="B54" s="111" t="s">
        <v>3583</v>
      </c>
    </row>
    <row r="55" spans="1:2">
      <c r="A55" s="9" t="s">
        <v>549</v>
      </c>
      <c r="B55" s="111" t="s">
        <v>3584</v>
      </c>
    </row>
    <row r="56" spans="1:2">
      <c r="A56" s="9" t="s">
        <v>549</v>
      </c>
      <c r="B56" s="111" t="s">
        <v>3585</v>
      </c>
    </row>
    <row r="57" spans="1:2">
      <c r="A57" s="9" t="s">
        <v>549</v>
      </c>
      <c r="B57" s="111" t="s">
        <v>3586</v>
      </c>
    </row>
    <row r="58" spans="1:2">
      <c r="A58" s="9" t="s">
        <v>549</v>
      </c>
      <c r="B58" s="111" t="s">
        <v>3587</v>
      </c>
    </row>
    <row r="59" spans="1:2">
      <c r="A59" s="9" t="s">
        <v>549</v>
      </c>
      <c r="B59" s="111" t="s">
        <v>3588</v>
      </c>
    </row>
    <row r="60" spans="1:2">
      <c r="A60" s="9" t="s">
        <v>549</v>
      </c>
      <c r="B60" s="111" t="s">
        <v>3589</v>
      </c>
    </row>
    <row r="61" spans="1:2">
      <c r="A61" s="9" t="s">
        <v>549</v>
      </c>
      <c r="B61" s="111" t="s">
        <v>3590</v>
      </c>
    </row>
    <row r="62" spans="1:2">
      <c r="A62" s="9" t="s">
        <v>549</v>
      </c>
      <c r="B62" s="111" t="s">
        <v>3591</v>
      </c>
    </row>
    <row r="63" spans="1:2">
      <c r="A63" s="9" t="s">
        <v>549</v>
      </c>
      <c r="B63" s="111" t="s">
        <v>3592</v>
      </c>
    </row>
    <row r="64" spans="1:2">
      <c r="A64" s="9" t="s">
        <v>549</v>
      </c>
      <c r="B64" s="111" t="s">
        <v>3593</v>
      </c>
    </row>
    <row r="65" spans="1:4">
      <c r="A65" s="9" t="s">
        <v>549</v>
      </c>
      <c r="B65" s="111" t="s">
        <v>3594</v>
      </c>
    </row>
    <row r="66" spans="1:4">
      <c r="A66" s="9" t="s">
        <v>549</v>
      </c>
      <c r="B66" s="111" t="s">
        <v>3595</v>
      </c>
    </row>
    <row r="67" spans="1:4">
      <c r="A67" s="9" t="s">
        <v>549</v>
      </c>
      <c r="B67" s="111" t="s">
        <v>3596</v>
      </c>
    </row>
    <row r="68" spans="1:4">
      <c r="A68" s="9" t="s">
        <v>549</v>
      </c>
      <c r="B68" s="111" t="s">
        <v>3597</v>
      </c>
    </row>
    <row r="69" spans="1:4">
      <c r="A69" s="9" t="s">
        <v>549</v>
      </c>
      <c r="B69" s="111" t="s">
        <v>3598</v>
      </c>
    </row>
    <row r="70" spans="1:4">
      <c r="A70" s="9" t="s">
        <v>549</v>
      </c>
      <c r="B70" s="111" t="s">
        <v>3599</v>
      </c>
    </row>
    <row r="71" spans="1:4">
      <c r="A71" s="9" t="s">
        <v>549</v>
      </c>
      <c r="B71" s="111" t="s">
        <v>3600</v>
      </c>
    </row>
    <row r="72" spans="1:4">
      <c r="A72" s="9" t="s">
        <v>549</v>
      </c>
      <c r="B72" s="111" t="s">
        <v>3601</v>
      </c>
    </row>
    <row r="73" spans="1:4">
      <c r="A73" s="9" t="s">
        <v>549</v>
      </c>
      <c r="B73" s="111" t="s">
        <v>3602</v>
      </c>
    </row>
    <row r="74" spans="1:4">
      <c r="A74" s="9" t="s">
        <v>549</v>
      </c>
      <c r="B74" s="111" t="s">
        <v>3603</v>
      </c>
    </row>
    <row r="75" spans="1:4">
      <c r="A75" s="9" t="s">
        <v>549</v>
      </c>
      <c r="B75" s="111" t="s">
        <v>3604</v>
      </c>
    </row>
    <row r="80" spans="1:4">
      <c r="A80" s="115"/>
      <c r="B80" s="115"/>
      <c r="C80" s="115"/>
      <c r="D80" s="115"/>
    </row>
  </sheetData>
  <sheetProtection algorithmName="SHA-512" hashValue="CTCwpE70IDz9YKYtofjWr88SD42n6BaJRdlxGPm2sVNx4Hg9rjWu4q2SK7e37CzGREsHFmR843vZzx9uuiLMtQ==" saltValue="VdclyZAD1+EkcDcG/kKWgg==" spinCount="100000" sheet="1" objects="1" scenarios="1"/>
  <autoFilter ref="A1:D80" xr:uid="{00000000-0009-0000-0000-000006000000}"/>
  <conditionalFormatting sqref="B1">
    <cfRule type="containsBlanks" dxfId="68" priority="1">
      <formula>LEN(TRIM(B1))=0</formula>
    </cfRule>
  </conditionalFormatting>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XEY166"/>
  <sheetViews>
    <sheetView workbookViewId="0">
      <pane ySplit="1" topLeftCell="A22" activePane="bottomLeft" state="frozen"/>
      <selection pane="bottomLeft" activeCell="D48" sqref="D48"/>
    </sheetView>
  </sheetViews>
  <sheetFormatPr defaultColWidth="8.7109375" defaultRowHeight="15"/>
  <cols>
    <col min="1" max="1" width="13.7109375" bestFit="1" customWidth="1"/>
    <col min="2" max="2" width="15.7109375" bestFit="1" customWidth="1"/>
    <col min="3" max="3" width="12.42578125" bestFit="1" customWidth="1"/>
    <col min="4" max="4" width="23.7109375" bestFit="1" customWidth="1"/>
    <col min="5" max="5" width="59.28515625" bestFit="1" customWidth="1"/>
    <col min="6" max="6" width="9.42578125" style="64" bestFit="1" customWidth="1"/>
    <col min="7" max="7" width="35.7109375" bestFit="1" customWidth="1"/>
  </cols>
  <sheetData>
    <row r="1" spans="1:10" s="53" customFormat="1">
      <c r="A1" s="50" t="s">
        <v>3605</v>
      </c>
      <c r="B1" s="51" t="s">
        <v>3606</v>
      </c>
      <c r="C1" s="50" t="s">
        <v>3607</v>
      </c>
      <c r="D1" s="50" t="s">
        <v>3608</v>
      </c>
      <c r="E1" s="50" t="s">
        <v>3609</v>
      </c>
      <c r="F1" s="52" t="s">
        <v>3610</v>
      </c>
      <c r="G1" s="50" t="s">
        <v>3611</v>
      </c>
      <c r="H1" s="32"/>
      <c r="I1" s="32"/>
      <c r="J1" s="32"/>
    </row>
    <row r="2" spans="1:10" s="53" customFormat="1">
      <c r="A2" s="156" t="s">
        <v>3612</v>
      </c>
      <c r="B2" s="157">
        <v>14500</v>
      </c>
      <c r="C2" s="54" t="s">
        <v>3613</v>
      </c>
      <c r="D2" s="34">
        <v>9772100</v>
      </c>
      <c r="E2" s="153"/>
      <c r="F2" s="154"/>
      <c r="G2" s="155"/>
      <c r="H2" s="32"/>
      <c r="I2" s="32"/>
      <c r="J2" s="32"/>
    </row>
    <row r="3" spans="1:10">
      <c r="A3" s="34">
        <v>10501</v>
      </c>
      <c r="B3" s="9">
        <v>14501</v>
      </c>
      <c r="C3" s="54" t="s">
        <v>3613</v>
      </c>
      <c r="D3" s="34">
        <v>9772713</v>
      </c>
      <c r="E3" s="9"/>
      <c r="F3" s="55"/>
      <c r="G3" s="40"/>
    </row>
    <row r="4" spans="1:10">
      <c r="A4" s="40">
        <v>10502</v>
      </c>
      <c r="B4" s="9">
        <v>14502</v>
      </c>
      <c r="C4" s="54" t="s">
        <v>3613</v>
      </c>
      <c r="D4" s="34">
        <v>9772715</v>
      </c>
      <c r="E4" s="37"/>
      <c r="F4" s="55"/>
      <c r="G4" s="40"/>
    </row>
    <row r="5" spans="1:10">
      <c r="A5" s="40">
        <v>10503</v>
      </c>
      <c r="B5" s="9">
        <v>14503</v>
      </c>
      <c r="C5" s="54" t="s">
        <v>3613</v>
      </c>
      <c r="D5" s="34">
        <v>9772373</v>
      </c>
      <c r="E5" s="9"/>
      <c r="F5" s="55"/>
      <c r="G5" s="37"/>
    </row>
    <row r="6" spans="1:10">
      <c r="A6" s="33" t="s">
        <v>3614</v>
      </c>
      <c r="B6" s="9">
        <v>14504</v>
      </c>
      <c r="C6" s="54" t="s">
        <v>3613</v>
      </c>
      <c r="D6" s="40" t="s">
        <v>3615</v>
      </c>
      <c r="E6" s="40"/>
      <c r="F6" s="55"/>
      <c r="G6" s="38"/>
    </row>
    <row r="7" spans="1:10">
      <c r="A7" s="40">
        <v>10505</v>
      </c>
      <c r="B7" s="9">
        <v>14505</v>
      </c>
      <c r="C7" s="54" t="s">
        <v>3613</v>
      </c>
      <c r="D7" s="34">
        <v>9772709</v>
      </c>
      <c r="E7" s="37"/>
      <c r="F7" s="55"/>
      <c r="G7" s="40"/>
    </row>
    <row r="8" spans="1:10">
      <c r="A8" s="33" t="s">
        <v>3616</v>
      </c>
      <c r="B8" s="9">
        <v>14506</v>
      </c>
      <c r="C8" s="54"/>
      <c r="D8" s="40" t="s">
        <v>3617</v>
      </c>
      <c r="E8" s="40"/>
      <c r="F8" s="55"/>
      <c r="G8" s="41"/>
    </row>
    <row r="9" spans="1:10">
      <c r="A9" s="40">
        <v>10507</v>
      </c>
      <c r="B9" s="9">
        <v>14507</v>
      </c>
      <c r="C9" s="54" t="s">
        <v>3613</v>
      </c>
      <c r="D9" s="34">
        <v>9772615</v>
      </c>
      <c r="E9" s="181"/>
      <c r="F9" s="55"/>
      <c r="G9" s="100"/>
    </row>
    <row r="10" spans="1:10">
      <c r="A10" s="33" t="s">
        <v>3618</v>
      </c>
      <c r="B10" s="9">
        <v>14508</v>
      </c>
      <c r="C10" s="54"/>
      <c r="D10" s="40" t="s">
        <v>3619</v>
      </c>
      <c r="E10" s="40"/>
      <c r="F10" s="55"/>
      <c r="G10" s="38"/>
    </row>
    <row r="11" spans="1:10">
      <c r="A11" s="40">
        <v>10509</v>
      </c>
      <c r="B11" s="9">
        <v>14509</v>
      </c>
      <c r="C11" s="54" t="s">
        <v>3613</v>
      </c>
      <c r="D11" s="34">
        <v>9772619</v>
      </c>
      <c r="E11" s="181"/>
      <c r="F11" s="55"/>
      <c r="G11" s="181"/>
    </row>
    <row r="12" spans="1:10">
      <c r="A12" s="33" t="s">
        <v>3620</v>
      </c>
      <c r="B12" s="9">
        <v>14510</v>
      </c>
      <c r="C12" s="54"/>
      <c r="D12" s="40" t="s">
        <v>3621</v>
      </c>
      <c r="E12" s="40"/>
      <c r="F12" s="55"/>
      <c r="G12" s="41"/>
    </row>
    <row r="13" spans="1:10">
      <c r="A13" s="40">
        <v>10511</v>
      </c>
      <c r="B13" s="9">
        <v>14511</v>
      </c>
      <c r="C13" s="54" t="s">
        <v>3613</v>
      </c>
      <c r="D13" s="34">
        <v>9772769</v>
      </c>
      <c r="E13" s="181"/>
      <c r="F13" s="55"/>
      <c r="G13" s="181"/>
    </row>
    <row r="14" spans="1:10">
      <c r="A14" s="40">
        <v>10512</v>
      </c>
      <c r="B14" s="9">
        <v>14512</v>
      </c>
      <c r="C14" s="54" t="s">
        <v>3613</v>
      </c>
      <c r="D14" s="34">
        <v>9772763</v>
      </c>
      <c r="E14" s="40"/>
      <c r="F14" s="56"/>
      <c r="G14" s="37"/>
    </row>
    <row r="15" spans="1:10">
      <c r="A15" s="40">
        <v>10513</v>
      </c>
      <c r="B15" s="9">
        <v>14513</v>
      </c>
      <c r="C15" s="54" t="s">
        <v>3613</v>
      </c>
      <c r="D15" s="34">
        <v>9772357</v>
      </c>
      <c r="E15" s="40"/>
      <c r="F15" s="55"/>
      <c r="G15" s="37"/>
    </row>
    <row r="16" spans="1:10">
      <c r="A16" s="40">
        <v>10514</v>
      </c>
      <c r="B16" s="9">
        <v>14514</v>
      </c>
      <c r="C16" s="54" t="s">
        <v>3613</v>
      </c>
      <c r="D16" s="34">
        <v>9772359</v>
      </c>
      <c r="E16" s="78"/>
      <c r="F16" s="79"/>
      <c r="G16" s="80"/>
    </row>
    <row r="17" spans="1:16379">
      <c r="A17" s="40">
        <v>10515</v>
      </c>
      <c r="B17" s="9">
        <v>14515</v>
      </c>
      <c r="C17" s="54" t="s">
        <v>3613</v>
      </c>
      <c r="D17" s="34">
        <v>9772361</v>
      </c>
      <c r="F17" s="55"/>
    </row>
    <row r="18" spans="1:16379">
      <c r="A18" s="40">
        <v>10516</v>
      </c>
      <c r="B18" s="9">
        <v>14516</v>
      </c>
      <c r="C18" s="54" t="s">
        <v>3613</v>
      </c>
      <c r="D18" s="34">
        <v>9772137</v>
      </c>
      <c r="E18" s="181"/>
      <c r="F18" s="55"/>
      <c r="G18" s="100"/>
    </row>
    <row r="19" spans="1:16379">
      <c r="A19" s="40">
        <v>10517</v>
      </c>
      <c r="B19" s="9">
        <v>14517</v>
      </c>
      <c r="C19" s="54" t="s">
        <v>3613</v>
      </c>
      <c r="D19" s="34">
        <v>9772363</v>
      </c>
      <c r="E19" s="40"/>
      <c r="F19" s="55"/>
      <c r="G19" s="37"/>
    </row>
    <row r="20" spans="1:16379">
      <c r="A20" s="33" t="s">
        <v>3622</v>
      </c>
      <c r="B20" s="9">
        <v>14518</v>
      </c>
      <c r="C20" s="54"/>
      <c r="D20" s="40"/>
      <c r="E20" s="40"/>
      <c r="F20" s="55"/>
      <c r="G20" s="38"/>
    </row>
    <row r="21" spans="1:16379">
      <c r="A21" s="40">
        <v>10519</v>
      </c>
      <c r="B21" s="9">
        <v>14519</v>
      </c>
      <c r="C21" s="54" t="s">
        <v>3613</v>
      </c>
      <c r="D21" s="34"/>
      <c r="E21" s="40"/>
      <c r="F21" s="55"/>
      <c r="G21" s="37"/>
    </row>
    <row r="22" spans="1:16379">
      <c r="A22" s="40">
        <v>10520</v>
      </c>
      <c r="B22" s="9">
        <v>14520</v>
      </c>
      <c r="C22" s="54" t="s">
        <v>3613</v>
      </c>
      <c r="D22" s="34">
        <v>9772367</v>
      </c>
      <c r="E22" s="40"/>
      <c r="F22" s="55"/>
      <c r="G22" s="37"/>
    </row>
    <row r="23" spans="1:16379">
      <c r="A23" s="40">
        <v>10521</v>
      </c>
      <c r="B23" s="9">
        <v>14521</v>
      </c>
      <c r="C23" s="54" t="s">
        <v>3613</v>
      </c>
      <c r="D23" s="34"/>
      <c r="E23" s="9"/>
      <c r="F23" s="55"/>
      <c r="G23" s="9"/>
      <c r="H23" s="57"/>
      <c r="I23" s="57"/>
      <c r="J23" s="57"/>
      <c r="K23" s="57"/>
      <c r="L23" s="57"/>
      <c r="M23" s="57"/>
      <c r="N23" s="57"/>
      <c r="O23" s="57"/>
      <c r="P23" s="57"/>
      <c r="Q23" s="57"/>
      <c r="R23" s="57"/>
      <c r="S23" s="57"/>
      <c r="T23" s="57"/>
      <c r="U23" s="57"/>
      <c r="V23" s="57"/>
      <c r="W23" s="57"/>
      <c r="X23" s="57"/>
      <c r="Y23" s="57"/>
      <c r="Z23" s="57"/>
      <c r="AA23" s="57"/>
      <c r="AB23" s="57"/>
      <c r="AC23" s="57"/>
      <c r="AD23" s="57"/>
      <c r="AE23" s="57"/>
      <c r="AF23" s="57"/>
      <c r="AG23" s="57"/>
      <c r="AH23" s="57"/>
      <c r="AI23" s="57"/>
      <c r="AJ23" s="57"/>
      <c r="AK23" s="57"/>
      <c r="AL23" s="57"/>
      <c r="AM23" s="57"/>
      <c r="AN23" s="57"/>
      <c r="AO23" s="57"/>
      <c r="AP23" s="57"/>
      <c r="AQ23" s="57"/>
      <c r="AR23" s="57"/>
      <c r="AS23" s="57"/>
      <c r="AT23" s="57"/>
      <c r="AU23" s="57"/>
      <c r="AV23" s="57"/>
      <c r="AW23" s="57"/>
      <c r="AX23" s="57"/>
      <c r="AY23" s="57"/>
      <c r="AZ23" s="57"/>
      <c r="BA23" s="57"/>
      <c r="BB23" s="57"/>
      <c r="BC23" s="57"/>
      <c r="BD23" s="57"/>
      <c r="BE23" s="57"/>
      <c r="BF23" s="57"/>
      <c r="BG23" s="57"/>
      <c r="BH23" s="57"/>
      <c r="BI23" s="57"/>
      <c r="BJ23" s="57"/>
      <c r="BK23" s="57"/>
      <c r="BL23" s="57"/>
      <c r="BM23" s="57"/>
      <c r="BN23" s="57"/>
      <c r="BO23" s="57"/>
      <c r="BP23" s="57"/>
      <c r="BQ23" s="57"/>
      <c r="BR23" s="57"/>
      <c r="BS23" s="57"/>
      <c r="BT23" s="57"/>
      <c r="BU23" s="57"/>
      <c r="BV23" s="57"/>
      <c r="BW23" s="57"/>
      <c r="BX23" s="57"/>
      <c r="BY23" s="57"/>
      <c r="BZ23" s="57"/>
      <c r="CA23" s="57"/>
      <c r="CB23" s="57"/>
      <c r="CC23" s="57"/>
      <c r="CD23" s="57"/>
      <c r="CE23" s="57"/>
      <c r="CF23" s="57"/>
      <c r="CG23" s="57"/>
      <c r="CH23" s="57"/>
      <c r="CI23" s="57"/>
      <c r="CJ23" s="57"/>
      <c r="CK23" s="57"/>
      <c r="CL23" s="57"/>
      <c r="CM23" s="57"/>
      <c r="CN23" s="57"/>
      <c r="CO23" s="57"/>
      <c r="CP23" s="57"/>
      <c r="CQ23" s="57"/>
      <c r="CR23" s="57"/>
      <c r="CS23" s="57"/>
      <c r="CT23" s="57"/>
      <c r="CU23" s="57"/>
      <c r="CV23" s="57"/>
      <c r="CW23" s="57"/>
      <c r="CX23" s="57"/>
      <c r="CY23" s="57"/>
      <c r="CZ23" s="57"/>
      <c r="DA23" s="57"/>
      <c r="DB23" s="57"/>
      <c r="DC23" s="57"/>
      <c r="DD23" s="57"/>
      <c r="DE23" s="57"/>
      <c r="DF23" s="57"/>
      <c r="DG23" s="57"/>
      <c r="DH23" s="57"/>
      <c r="DI23" s="57"/>
      <c r="DJ23" s="57"/>
      <c r="DK23" s="57"/>
      <c r="DL23" s="57"/>
      <c r="DM23" s="57"/>
      <c r="DN23" s="57"/>
      <c r="DO23" s="57"/>
      <c r="DP23" s="57"/>
      <c r="DQ23" s="57"/>
      <c r="DR23" s="57"/>
      <c r="DS23" s="57"/>
      <c r="DT23" s="57"/>
      <c r="DU23" s="57"/>
      <c r="DV23" s="57"/>
      <c r="DW23" s="57"/>
      <c r="DX23" s="57"/>
      <c r="DY23" s="57"/>
      <c r="DZ23" s="57"/>
      <c r="EA23" s="57"/>
      <c r="EB23" s="57"/>
      <c r="EC23" s="57"/>
      <c r="ED23" s="57"/>
      <c r="EE23" s="57"/>
      <c r="EF23" s="57"/>
      <c r="EG23" s="57"/>
      <c r="EH23" s="57"/>
      <c r="EI23" s="57"/>
      <c r="EJ23" s="57"/>
      <c r="EK23" s="57"/>
      <c r="EL23" s="57"/>
      <c r="EM23" s="57"/>
      <c r="EN23" s="57"/>
      <c r="EO23" s="57"/>
      <c r="EP23" s="57"/>
      <c r="EQ23" s="57"/>
      <c r="ER23" s="57"/>
      <c r="ES23" s="57"/>
      <c r="ET23" s="57"/>
      <c r="EU23" s="57"/>
      <c r="EV23" s="57"/>
      <c r="EW23" s="57"/>
      <c r="EX23" s="57"/>
      <c r="EY23" s="57"/>
      <c r="EZ23" s="57"/>
      <c r="FA23" s="57"/>
      <c r="FB23" s="57"/>
      <c r="FC23" s="57"/>
      <c r="FD23" s="57"/>
      <c r="FE23" s="57"/>
      <c r="FF23" s="57"/>
      <c r="FG23" s="57"/>
      <c r="FH23" s="57"/>
      <c r="FI23" s="57"/>
      <c r="FJ23" s="57"/>
      <c r="FK23" s="57"/>
      <c r="FL23" s="57"/>
      <c r="FM23" s="57"/>
      <c r="FN23" s="57"/>
      <c r="FO23" s="57"/>
      <c r="FP23" s="57"/>
      <c r="FQ23" s="57"/>
      <c r="FR23" s="57"/>
      <c r="FS23" s="57"/>
      <c r="FT23" s="57"/>
      <c r="FU23" s="57"/>
      <c r="FV23" s="57"/>
      <c r="FW23" s="57"/>
      <c r="FX23" s="57"/>
      <c r="FY23" s="57"/>
      <c r="FZ23" s="57"/>
      <c r="GA23" s="57"/>
      <c r="GB23" s="57"/>
      <c r="GC23" s="57"/>
      <c r="GD23" s="57"/>
      <c r="GE23" s="57"/>
      <c r="GF23" s="57"/>
      <c r="GG23" s="57"/>
      <c r="GH23" s="57"/>
      <c r="GI23" s="57"/>
      <c r="GJ23" s="57"/>
      <c r="GK23" s="57"/>
      <c r="GL23" s="57"/>
      <c r="GM23" s="57"/>
      <c r="GN23" s="57"/>
      <c r="GO23" s="57"/>
      <c r="GP23" s="57"/>
      <c r="GQ23" s="57"/>
      <c r="GR23" s="57"/>
      <c r="GS23" s="57"/>
      <c r="GT23" s="57"/>
      <c r="GU23" s="57"/>
      <c r="GV23" s="57"/>
      <c r="GW23" s="57"/>
      <c r="GX23" s="57"/>
      <c r="GY23" s="57"/>
      <c r="GZ23" s="57"/>
      <c r="HA23" s="57"/>
      <c r="HB23" s="57"/>
      <c r="HC23" s="57"/>
      <c r="HD23" s="57"/>
      <c r="HE23" s="57"/>
      <c r="HF23" s="57"/>
      <c r="HG23" s="57"/>
      <c r="HH23" s="57"/>
      <c r="HI23" s="57"/>
      <c r="HJ23" s="57"/>
      <c r="HK23" s="57"/>
      <c r="HL23" s="57"/>
      <c r="HM23" s="57"/>
      <c r="HN23" s="57"/>
      <c r="HO23" s="57"/>
      <c r="HP23" s="57"/>
      <c r="HQ23" s="57"/>
      <c r="HR23" s="57"/>
      <c r="HS23" s="57"/>
      <c r="HT23" s="57"/>
      <c r="HU23" s="57"/>
      <c r="HV23" s="57"/>
      <c r="HW23" s="57"/>
      <c r="HX23" s="57"/>
      <c r="HY23" s="57"/>
      <c r="HZ23" s="57"/>
      <c r="IA23" s="57"/>
      <c r="IB23" s="57"/>
      <c r="IC23" s="57"/>
      <c r="ID23" s="57"/>
      <c r="IE23" s="57"/>
      <c r="IF23" s="57"/>
      <c r="IG23" s="57"/>
      <c r="IH23" s="57"/>
      <c r="II23" s="57"/>
      <c r="IJ23" s="57"/>
      <c r="IK23" s="57"/>
      <c r="IL23" s="57"/>
      <c r="IM23" s="57"/>
      <c r="IN23" s="57"/>
      <c r="IO23" s="57"/>
      <c r="IP23" s="57"/>
      <c r="IQ23" s="57"/>
      <c r="IR23" s="57"/>
      <c r="IS23" s="57"/>
      <c r="IT23" s="57"/>
      <c r="IU23" s="57"/>
      <c r="IV23" s="57"/>
      <c r="IW23" s="57"/>
      <c r="IX23" s="57"/>
      <c r="IY23" s="57"/>
      <c r="IZ23" s="57"/>
      <c r="JA23" s="57"/>
      <c r="JB23" s="57"/>
      <c r="JC23" s="57"/>
      <c r="JD23" s="57"/>
      <c r="JE23" s="57"/>
      <c r="JF23" s="57"/>
      <c r="JG23" s="57"/>
      <c r="JH23" s="57"/>
      <c r="JI23" s="57"/>
      <c r="JJ23" s="57"/>
      <c r="JK23" s="57"/>
      <c r="JL23" s="57"/>
      <c r="JM23" s="57"/>
      <c r="JN23" s="57"/>
      <c r="JO23" s="57"/>
      <c r="JP23" s="57"/>
      <c r="JQ23" s="57"/>
      <c r="JR23" s="57"/>
      <c r="JS23" s="57"/>
      <c r="JT23" s="57"/>
      <c r="JU23" s="57"/>
      <c r="JV23" s="57"/>
      <c r="JW23" s="57"/>
      <c r="JX23" s="57"/>
      <c r="JY23" s="57"/>
      <c r="JZ23" s="57"/>
      <c r="KA23" s="57"/>
      <c r="KB23" s="57"/>
      <c r="KC23" s="57"/>
      <c r="KD23" s="57"/>
      <c r="KE23" s="57"/>
      <c r="KF23" s="57"/>
      <c r="KG23" s="57"/>
      <c r="KH23" s="57"/>
      <c r="KI23" s="57"/>
      <c r="KJ23" s="57"/>
      <c r="KK23" s="57"/>
      <c r="KL23" s="57"/>
      <c r="KM23" s="57"/>
      <c r="KN23" s="57"/>
      <c r="KO23" s="57"/>
      <c r="KP23" s="57"/>
      <c r="KQ23" s="57"/>
      <c r="KR23" s="57"/>
      <c r="KS23" s="57"/>
      <c r="KT23" s="57"/>
      <c r="KU23" s="57"/>
      <c r="KV23" s="57"/>
      <c r="KW23" s="57"/>
      <c r="KX23" s="57"/>
      <c r="KY23" s="57"/>
      <c r="KZ23" s="57"/>
      <c r="LA23" s="57"/>
      <c r="LB23" s="57"/>
      <c r="LC23" s="57"/>
      <c r="LD23" s="57"/>
      <c r="LE23" s="57"/>
      <c r="LF23" s="57"/>
      <c r="LG23" s="57"/>
      <c r="LH23" s="57"/>
      <c r="LI23" s="57"/>
      <c r="LJ23" s="57"/>
      <c r="LK23" s="57"/>
      <c r="LL23" s="57"/>
      <c r="LM23" s="57"/>
      <c r="LN23" s="57"/>
      <c r="LO23" s="57"/>
      <c r="LP23" s="57"/>
      <c r="LQ23" s="57"/>
      <c r="LR23" s="57"/>
      <c r="LS23" s="57"/>
      <c r="LT23" s="57"/>
      <c r="LU23" s="57"/>
      <c r="LV23" s="57"/>
      <c r="LW23" s="57"/>
      <c r="LX23" s="57"/>
      <c r="LY23" s="57"/>
      <c r="LZ23" s="57"/>
      <c r="MA23" s="57"/>
      <c r="MB23" s="57"/>
      <c r="MC23" s="57"/>
      <c r="MD23" s="57"/>
      <c r="ME23" s="57"/>
      <c r="MF23" s="57"/>
      <c r="MG23" s="57"/>
      <c r="MH23" s="57"/>
      <c r="MI23" s="57"/>
      <c r="MJ23" s="57"/>
      <c r="MK23" s="57"/>
      <c r="ML23" s="57"/>
      <c r="MM23" s="57"/>
      <c r="MN23" s="57"/>
      <c r="MO23" s="57"/>
      <c r="MP23" s="57"/>
      <c r="MQ23" s="57"/>
      <c r="MR23" s="57"/>
      <c r="MS23" s="57"/>
      <c r="MT23" s="57"/>
      <c r="MU23" s="57"/>
      <c r="MV23" s="57"/>
      <c r="MW23" s="57"/>
      <c r="MX23" s="57"/>
      <c r="MY23" s="57"/>
      <c r="MZ23" s="57"/>
      <c r="NA23" s="57"/>
      <c r="NB23" s="57"/>
      <c r="NC23" s="57"/>
      <c r="ND23" s="57"/>
      <c r="NE23" s="57"/>
      <c r="NF23" s="57"/>
      <c r="NG23" s="57"/>
      <c r="NH23" s="57"/>
      <c r="NI23" s="57"/>
      <c r="NJ23" s="57"/>
      <c r="NK23" s="57"/>
      <c r="NL23" s="57"/>
      <c r="NM23" s="57"/>
      <c r="NN23" s="57"/>
      <c r="NO23" s="57"/>
      <c r="NP23" s="57"/>
      <c r="NQ23" s="57"/>
      <c r="NR23" s="57"/>
      <c r="NS23" s="57"/>
      <c r="NT23" s="57"/>
      <c r="NU23" s="57"/>
      <c r="NV23" s="57"/>
      <c r="NW23" s="57"/>
      <c r="NX23" s="57"/>
      <c r="NY23" s="57"/>
      <c r="NZ23" s="57"/>
      <c r="OA23" s="57"/>
      <c r="OB23" s="57"/>
      <c r="OC23" s="57"/>
      <c r="OD23" s="57"/>
      <c r="OE23" s="57"/>
      <c r="OF23" s="57"/>
      <c r="OG23" s="57"/>
      <c r="OH23" s="57"/>
      <c r="OI23" s="57"/>
      <c r="OJ23" s="57"/>
      <c r="OK23" s="57"/>
      <c r="OL23" s="57"/>
      <c r="OM23" s="57"/>
      <c r="ON23" s="57"/>
      <c r="OO23" s="57"/>
      <c r="OP23" s="57"/>
      <c r="OQ23" s="57"/>
      <c r="OR23" s="57"/>
      <c r="OS23" s="57"/>
      <c r="OT23" s="57"/>
      <c r="OU23" s="57"/>
      <c r="OV23" s="57"/>
      <c r="OW23" s="57"/>
      <c r="OX23" s="57"/>
      <c r="OY23" s="57"/>
      <c r="OZ23" s="57"/>
      <c r="PA23" s="57"/>
      <c r="PB23" s="57"/>
      <c r="PC23" s="57"/>
      <c r="PD23" s="57"/>
      <c r="PE23" s="57"/>
      <c r="PF23" s="57"/>
      <c r="PG23" s="57"/>
      <c r="PH23" s="57"/>
      <c r="PI23" s="57"/>
      <c r="PJ23" s="57"/>
      <c r="PK23" s="57"/>
      <c r="PL23" s="57"/>
      <c r="PM23" s="57"/>
      <c r="PN23" s="57"/>
      <c r="PO23" s="57"/>
      <c r="PP23" s="57"/>
      <c r="PQ23" s="57"/>
      <c r="PR23" s="57"/>
      <c r="PS23" s="57"/>
      <c r="PT23" s="57"/>
      <c r="PU23" s="57"/>
      <c r="PV23" s="57"/>
      <c r="PW23" s="57"/>
      <c r="PX23" s="57"/>
      <c r="PY23" s="57"/>
      <c r="PZ23" s="57"/>
      <c r="QA23" s="57"/>
      <c r="QB23" s="57"/>
      <c r="QC23" s="57"/>
      <c r="QD23" s="57"/>
      <c r="QE23" s="57"/>
      <c r="QF23" s="57"/>
      <c r="QG23" s="57"/>
      <c r="QH23" s="57"/>
      <c r="QI23" s="57"/>
      <c r="QJ23" s="57"/>
      <c r="QK23" s="57"/>
      <c r="QL23" s="57"/>
      <c r="QM23" s="57"/>
      <c r="QN23" s="57"/>
      <c r="QO23" s="57"/>
      <c r="QP23" s="57"/>
      <c r="QQ23" s="57"/>
      <c r="QR23" s="57"/>
      <c r="QS23" s="57"/>
      <c r="QT23" s="57"/>
      <c r="QU23" s="57"/>
      <c r="QV23" s="57"/>
      <c r="QW23" s="57"/>
      <c r="QX23" s="57"/>
      <c r="QY23" s="57"/>
      <c r="QZ23" s="57"/>
      <c r="RA23" s="57"/>
      <c r="RB23" s="57"/>
      <c r="RC23" s="57"/>
      <c r="RD23" s="57"/>
      <c r="RE23" s="57"/>
      <c r="RF23" s="57"/>
      <c r="RG23" s="57"/>
      <c r="RH23" s="57"/>
      <c r="RI23" s="57"/>
      <c r="RJ23" s="57"/>
      <c r="RK23" s="57"/>
      <c r="RL23" s="57"/>
      <c r="RM23" s="57"/>
      <c r="RN23" s="57"/>
      <c r="RO23" s="57"/>
      <c r="RP23" s="57"/>
      <c r="RQ23" s="57"/>
      <c r="RR23" s="57"/>
      <c r="RS23" s="57"/>
      <c r="RT23" s="57"/>
      <c r="RU23" s="57"/>
      <c r="RV23" s="57"/>
      <c r="RW23" s="57"/>
      <c r="RX23" s="57"/>
      <c r="RY23" s="57"/>
      <c r="RZ23" s="57"/>
      <c r="SA23" s="57"/>
      <c r="SB23" s="57"/>
      <c r="SC23" s="57"/>
      <c r="SD23" s="57"/>
      <c r="SE23" s="57"/>
      <c r="SF23" s="57"/>
      <c r="SG23" s="57"/>
      <c r="SH23" s="57"/>
      <c r="SI23" s="57"/>
      <c r="SJ23" s="57"/>
      <c r="SK23" s="57"/>
      <c r="SL23" s="57"/>
      <c r="SM23" s="57"/>
      <c r="SN23" s="57"/>
      <c r="SO23" s="57"/>
      <c r="SP23" s="57"/>
      <c r="SQ23" s="57"/>
      <c r="SR23" s="57"/>
      <c r="SS23" s="57"/>
      <c r="ST23" s="57"/>
      <c r="SU23" s="57"/>
      <c r="SV23" s="57"/>
      <c r="SW23" s="57"/>
      <c r="SX23" s="57"/>
      <c r="SY23" s="57"/>
      <c r="SZ23" s="57"/>
      <c r="TA23" s="57"/>
      <c r="TB23" s="57"/>
      <c r="TC23" s="57"/>
      <c r="TD23" s="57"/>
      <c r="TE23" s="57"/>
      <c r="TF23" s="57"/>
      <c r="TG23" s="57"/>
      <c r="TH23" s="57"/>
      <c r="TI23" s="57"/>
      <c r="TJ23" s="57"/>
      <c r="TK23" s="57"/>
      <c r="TL23" s="57"/>
      <c r="TM23" s="57"/>
      <c r="TN23" s="57"/>
      <c r="TO23" s="57"/>
      <c r="TP23" s="57"/>
      <c r="TQ23" s="57"/>
      <c r="TR23" s="57"/>
      <c r="TS23" s="57"/>
      <c r="TT23" s="57"/>
      <c r="TU23" s="57"/>
      <c r="TV23" s="57"/>
      <c r="TW23" s="57"/>
      <c r="TX23" s="57"/>
      <c r="TY23" s="57"/>
      <c r="TZ23" s="57"/>
      <c r="UA23" s="57"/>
      <c r="UB23" s="57"/>
      <c r="UC23" s="57"/>
      <c r="UD23" s="57"/>
      <c r="UE23" s="57"/>
      <c r="UF23" s="57"/>
      <c r="UG23" s="57"/>
      <c r="UH23" s="57"/>
      <c r="UI23" s="57"/>
      <c r="UJ23" s="57"/>
      <c r="UK23" s="57"/>
      <c r="UL23" s="57"/>
      <c r="UM23" s="57"/>
      <c r="UN23" s="57"/>
      <c r="UO23" s="57"/>
      <c r="UP23" s="57"/>
      <c r="UQ23" s="57"/>
      <c r="UR23" s="57"/>
      <c r="US23" s="57"/>
      <c r="UT23" s="57"/>
      <c r="UU23" s="57"/>
      <c r="UV23" s="57"/>
      <c r="UW23" s="57"/>
      <c r="UX23" s="57"/>
      <c r="UY23" s="57"/>
      <c r="UZ23" s="57"/>
      <c r="VA23" s="57"/>
      <c r="VB23" s="57"/>
      <c r="VC23" s="57"/>
      <c r="VD23" s="57"/>
      <c r="VE23" s="57"/>
      <c r="VF23" s="57"/>
      <c r="VG23" s="57"/>
      <c r="VH23" s="57"/>
      <c r="VI23" s="57"/>
      <c r="VJ23" s="57"/>
      <c r="VK23" s="57"/>
      <c r="VL23" s="57"/>
      <c r="VM23" s="57"/>
      <c r="VN23" s="57"/>
      <c r="VO23" s="57"/>
      <c r="VP23" s="57"/>
      <c r="VQ23" s="57"/>
      <c r="VR23" s="57"/>
      <c r="VS23" s="57"/>
      <c r="VT23" s="57"/>
      <c r="VU23" s="57"/>
      <c r="VV23" s="57"/>
      <c r="VW23" s="57"/>
      <c r="VX23" s="57"/>
      <c r="VY23" s="57"/>
      <c r="VZ23" s="57"/>
      <c r="WA23" s="57"/>
      <c r="WB23" s="57"/>
      <c r="WC23" s="57"/>
      <c r="WD23" s="57"/>
      <c r="WE23" s="57"/>
      <c r="WF23" s="57"/>
      <c r="WG23" s="57"/>
      <c r="WH23" s="57"/>
      <c r="WI23" s="57"/>
      <c r="WJ23" s="57"/>
      <c r="WK23" s="57"/>
      <c r="WL23" s="57"/>
      <c r="WM23" s="57"/>
      <c r="WN23" s="57"/>
      <c r="WO23" s="57"/>
      <c r="WP23" s="57"/>
      <c r="WQ23" s="57"/>
      <c r="WR23" s="57"/>
      <c r="WS23" s="57"/>
      <c r="WT23" s="57"/>
      <c r="WU23" s="57"/>
      <c r="WV23" s="57"/>
      <c r="WW23" s="57"/>
      <c r="WX23" s="57"/>
      <c r="WY23" s="57"/>
      <c r="WZ23" s="57"/>
      <c r="XA23" s="57"/>
      <c r="XB23" s="57"/>
      <c r="XC23" s="57"/>
      <c r="XD23" s="57"/>
      <c r="XE23" s="57"/>
      <c r="XF23" s="57"/>
      <c r="XG23" s="57"/>
      <c r="XH23" s="57"/>
      <c r="XI23" s="57"/>
      <c r="XJ23" s="57"/>
      <c r="XK23" s="57"/>
      <c r="XL23" s="57"/>
      <c r="XM23" s="57"/>
      <c r="XN23" s="57"/>
      <c r="XO23" s="57"/>
      <c r="XP23" s="57"/>
      <c r="XQ23" s="57"/>
      <c r="XR23" s="57"/>
      <c r="XS23" s="57"/>
      <c r="XT23" s="57"/>
      <c r="XU23" s="57"/>
      <c r="XV23" s="57"/>
      <c r="XW23" s="57"/>
      <c r="XX23" s="57"/>
      <c r="XY23" s="57"/>
      <c r="XZ23" s="57"/>
      <c r="YA23" s="57"/>
      <c r="YB23" s="57"/>
      <c r="YC23" s="57"/>
      <c r="YD23" s="57"/>
      <c r="YE23" s="57"/>
      <c r="YF23" s="57"/>
      <c r="YG23" s="57"/>
      <c r="YH23" s="57"/>
      <c r="YI23" s="57"/>
      <c r="YJ23" s="57"/>
      <c r="YK23" s="57"/>
      <c r="YL23" s="57"/>
      <c r="YM23" s="57"/>
      <c r="YN23" s="57"/>
      <c r="YO23" s="57"/>
      <c r="YP23" s="57"/>
      <c r="YQ23" s="57"/>
      <c r="YR23" s="57"/>
      <c r="YS23" s="57"/>
      <c r="YT23" s="57"/>
      <c r="YU23" s="57"/>
      <c r="YV23" s="57"/>
      <c r="YW23" s="57"/>
      <c r="YX23" s="57"/>
      <c r="YY23" s="57"/>
      <c r="YZ23" s="57"/>
      <c r="ZA23" s="57"/>
      <c r="ZB23" s="57"/>
      <c r="ZC23" s="57"/>
      <c r="ZD23" s="57"/>
      <c r="ZE23" s="57"/>
      <c r="ZF23" s="57"/>
      <c r="ZG23" s="57"/>
      <c r="ZH23" s="57"/>
      <c r="ZI23" s="57"/>
      <c r="ZJ23" s="57"/>
      <c r="ZK23" s="57"/>
      <c r="ZL23" s="57"/>
      <c r="ZM23" s="57"/>
      <c r="ZN23" s="57"/>
      <c r="ZO23" s="57"/>
      <c r="ZP23" s="57"/>
      <c r="ZQ23" s="57"/>
      <c r="ZR23" s="57"/>
      <c r="ZS23" s="57"/>
      <c r="ZT23" s="57"/>
      <c r="ZU23" s="57"/>
      <c r="ZV23" s="57"/>
      <c r="ZW23" s="57"/>
      <c r="ZX23" s="57"/>
      <c r="ZY23" s="57"/>
      <c r="ZZ23" s="57"/>
      <c r="AAA23" s="57"/>
      <c r="AAB23" s="57"/>
      <c r="AAC23" s="57"/>
      <c r="AAD23" s="57"/>
      <c r="AAE23" s="57"/>
      <c r="AAF23" s="57"/>
      <c r="AAG23" s="57"/>
      <c r="AAH23" s="57"/>
      <c r="AAI23" s="57"/>
      <c r="AAJ23" s="57"/>
      <c r="AAK23" s="57"/>
      <c r="AAL23" s="57"/>
      <c r="AAM23" s="57"/>
      <c r="AAN23" s="57"/>
      <c r="AAO23" s="57"/>
      <c r="AAP23" s="57"/>
      <c r="AAQ23" s="57"/>
      <c r="AAR23" s="57"/>
      <c r="AAS23" s="57"/>
      <c r="AAT23" s="57"/>
      <c r="AAU23" s="57"/>
      <c r="AAV23" s="57"/>
      <c r="AAW23" s="57"/>
      <c r="AAX23" s="57"/>
      <c r="AAY23" s="57"/>
      <c r="AAZ23" s="57"/>
      <c r="ABA23" s="57"/>
      <c r="ABB23" s="57"/>
      <c r="ABC23" s="57"/>
      <c r="ABD23" s="57"/>
      <c r="ABE23" s="57"/>
      <c r="ABF23" s="57"/>
      <c r="ABG23" s="57"/>
      <c r="ABH23" s="57"/>
      <c r="ABI23" s="57"/>
      <c r="ABJ23" s="57"/>
      <c r="ABK23" s="57"/>
      <c r="ABL23" s="57"/>
      <c r="ABM23" s="57"/>
      <c r="ABN23" s="57"/>
      <c r="ABO23" s="57"/>
      <c r="ABP23" s="57"/>
      <c r="ABQ23" s="57"/>
      <c r="ABR23" s="57"/>
      <c r="ABS23" s="57"/>
      <c r="ABT23" s="57"/>
      <c r="ABU23" s="57"/>
      <c r="ABV23" s="57"/>
      <c r="ABW23" s="57"/>
      <c r="ABX23" s="57"/>
      <c r="ABY23" s="57"/>
      <c r="ABZ23" s="57"/>
      <c r="ACA23" s="57"/>
      <c r="ACB23" s="57"/>
      <c r="ACC23" s="57"/>
      <c r="ACD23" s="57"/>
      <c r="ACE23" s="57"/>
      <c r="ACF23" s="57"/>
      <c r="ACG23" s="57"/>
      <c r="ACH23" s="57"/>
      <c r="ACI23" s="57"/>
      <c r="ACJ23" s="57"/>
      <c r="ACK23" s="57"/>
      <c r="ACL23" s="57"/>
      <c r="ACM23" s="57"/>
      <c r="ACN23" s="57"/>
      <c r="ACO23" s="57"/>
      <c r="ACP23" s="57"/>
      <c r="ACQ23" s="57"/>
      <c r="ACR23" s="57"/>
      <c r="ACS23" s="57"/>
      <c r="ACT23" s="57"/>
      <c r="ACU23" s="57"/>
      <c r="ACV23" s="57"/>
      <c r="ACW23" s="57"/>
      <c r="ACX23" s="57"/>
      <c r="ACY23" s="57"/>
      <c r="ACZ23" s="57"/>
      <c r="ADA23" s="57"/>
      <c r="ADB23" s="57"/>
      <c r="ADC23" s="57"/>
      <c r="ADD23" s="57"/>
      <c r="ADE23" s="57"/>
      <c r="ADF23" s="57"/>
      <c r="ADG23" s="57"/>
      <c r="ADH23" s="57"/>
      <c r="ADI23" s="57"/>
      <c r="ADJ23" s="57"/>
      <c r="ADK23" s="57"/>
      <c r="ADL23" s="57"/>
      <c r="ADM23" s="57"/>
      <c r="ADN23" s="57"/>
      <c r="ADO23" s="57"/>
      <c r="ADP23" s="57"/>
      <c r="ADQ23" s="57"/>
      <c r="ADR23" s="57"/>
      <c r="ADS23" s="57"/>
      <c r="ADT23" s="57"/>
      <c r="ADU23" s="57"/>
      <c r="ADV23" s="57"/>
      <c r="ADW23" s="57"/>
      <c r="ADX23" s="57"/>
      <c r="ADY23" s="57"/>
      <c r="ADZ23" s="57"/>
      <c r="AEA23" s="57"/>
      <c r="AEB23" s="57"/>
      <c r="AEC23" s="57"/>
      <c r="AED23" s="57"/>
      <c r="AEE23" s="57"/>
      <c r="AEF23" s="57"/>
      <c r="AEG23" s="57"/>
      <c r="AEH23" s="57"/>
      <c r="AEI23" s="57"/>
      <c r="AEJ23" s="57"/>
      <c r="AEK23" s="57"/>
      <c r="AEL23" s="57"/>
      <c r="AEM23" s="57"/>
      <c r="AEN23" s="57"/>
      <c r="AEO23" s="57"/>
      <c r="AEP23" s="57"/>
      <c r="AEQ23" s="57"/>
      <c r="AER23" s="57"/>
      <c r="AES23" s="57"/>
      <c r="AET23" s="57"/>
      <c r="AEU23" s="57"/>
      <c r="AEV23" s="57"/>
      <c r="AEW23" s="57"/>
      <c r="AEX23" s="57"/>
      <c r="AEY23" s="57"/>
      <c r="AEZ23" s="57"/>
      <c r="AFA23" s="57"/>
      <c r="AFB23" s="57"/>
      <c r="AFC23" s="57"/>
      <c r="AFD23" s="57"/>
      <c r="AFE23" s="57"/>
      <c r="AFF23" s="57"/>
      <c r="AFG23" s="57"/>
      <c r="AFH23" s="57"/>
      <c r="AFI23" s="57"/>
      <c r="AFJ23" s="57"/>
      <c r="AFK23" s="57"/>
      <c r="AFL23" s="57"/>
      <c r="AFM23" s="57"/>
      <c r="AFN23" s="57"/>
      <c r="AFO23" s="57"/>
      <c r="AFP23" s="57"/>
      <c r="AFQ23" s="57"/>
      <c r="AFR23" s="57"/>
      <c r="AFS23" s="57"/>
      <c r="AFT23" s="57"/>
      <c r="AFU23" s="57"/>
      <c r="AFV23" s="57"/>
      <c r="AFW23" s="57"/>
      <c r="AFX23" s="57"/>
      <c r="AFY23" s="57"/>
      <c r="AFZ23" s="57"/>
      <c r="AGA23" s="57"/>
      <c r="AGB23" s="57"/>
      <c r="AGC23" s="57"/>
      <c r="AGD23" s="57"/>
      <c r="AGE23" s="57"/>
      <c r="AGF23" s="57"/>
      <c r="AGG23" s="57"/>
      <c r="AGH23" s="57"/>
      <c r="AGI23" s="57"/>
      <c r="AGJ23" s="57"/>
      <c r="AGK23" s="57"/>
      <c r="AGL23" s="57"/>
      <c r="AGM23" s="57"/>
      <c r="AGN23" s="57"/>
      <c r="AGO23" s="57"/>
      <c r="AGP23" s="57"/>
      <c r="AGQ23" s="57"/>
      <c r="AGR23" s="57"/>
      <c r="AGS23" s="57"/>
      <c r="AGT23" s="57"/>
      <c r="AGU23" s="57"/>
      <c r="AGV23" s="57"/>
      <c r="AGW23" s="57"/>
      <c r="AGX23" s="57"/>
      <c r="AGY23" s="57"/>
      <c r="AGZ23" s="57"/>
      <c r="AHA23" s="57"/>
      <c r="AHB23" s="57"/>
      <c r="AHC23" s="57"/>
      <c r="AHD23" s="57"/>
      <c r="AHE23" s="57"/>
      <c r="AHF23" s="57"/>
      <c r="AHG23" s="57"/>
      <c r="AHH23" s="57"/>
      <c r="AHI23" s="57"/>
      <c r="AHJ23" s="57"/>
      <c r="AHK23" s="57"/>
      <c r="AHL23" s="57"/>
      <c r="AHM23" s="57"/>
      <c r="AHN23" s="57"/>
      <c r="AHO23" s="57"/>
      <c r="AHP23" s="57"/>
      <c r="AHQ23" s="57"/>
      <c r="AHR23" s="57"/>
      <c r="AHS23" s="57"/>
      <c r="AHT23" s="57"/>
      <c r="AHU23" s="57"/>
      <c r="AHV23" s="57"/>
      <c r="AHW23" s="57"/>
      <c r="AHX23" s="57"/>
      <c r="AHY23" s="57"/>
      <c r="AHZ23" s="57"/>
      <c r="AIA23" s="57"/>
      <c r="AIB23" s="57"/>
      <c r="AIC23" s="57"/>
      <c r="AID23" s="57"/>
      <c r="AIE23" s="57"/>
      <c r="AIF23" s="57"/>
      <c r="AIG23" s="57"/>
      <c r="AIH23" s="57"/>
      <c r="AII23" s="57"/>
      <c r="AIJ23" s="57"/>
      <c r="AIK23" s="57"/>
      <c r="AIL23" s="57"/>
      <c r="AIM23" s="57"/>
      <c r="AIN23" s="57"/>
      <c r="AIO23" s="57"/>
      <c r="AIP23" s="57"/>
      <c r="AIQ23" s="57"/>
      <c r="AIR23" s="57"/>
      <c r="AIS23" s="57"/>
      <c r="AIT23" s="57"/>
      <c r="AIU23" s="57"/>
      <c r="AIV23" s="57"/>
      <c r="AIW23" s="57"/>
      <c r="AIX23" s="57"/>
      <c r="AIY23" s="57"/>
      <c r="AIZ23" s="57"/>
      <c r="AJA23" s="57"/>
      <c r="AJB23" s="57"/>
      <c r="AJC23" s="57"/>
      <c r="AJD23" s="57"/>
      <c r="AJE23" s="57"/>
      <c r="AJF23" s="57"/>
      <c r="AJG23" s="57"/>
      <c r="AJH23" s="57"/>
      <c r="AJI23" s="57"/>
      <c r="AJJ23" s="57"/>
      <c r="AJK23" s="57"/>
      <c r="AJL23" s="57"/>
      <c r="AJM23" s="57"/>
      <c r="AJN23" s="57"/>
      <c r="AJO23" s="57"/>
      <c r="AJP23" s="57"/>
      <c r="AJQ23" s="57"/>
      <c r="AJR23" s="57"/>
      <c r="AJS23" s="57"/>
      <c r="AJT23" s="57"/>
      <c r="AJU23" s="57"/>
      <c r="AJV23" s="57"/>
      <c r="AJW23" s="57"/>
      <c r="AJX23" s="57"/>
      <c r="AJY23" s="57"/>
      <c r="AJZ23" s="57"/>
      <c r="AKA23" s="57"/>
      <c r="AKB23" s="57"/>
      <c r="AKC23" s="57"/>
      <c r="AKD23" s="57"/>
      <c r="AKE23" s="57"/>
      <c r="AKF23" s="57"/>
      <c r="AKG23" s="57"/>
      <c r="AKH23" s="57"/>
      <c r="AKI23" s="57"/>
      <c r="AKJ23" s="57"/>
      <c r="AKK23" s="57"/>
      <c r="AKL23" s="57"/>
      <c r="AKM23" s="57"/>
      <c r="AKN23" s="57"/>
      <c r="AKO23" s="57"/>
      <c r="AKP23" s="57"/>
      <c r="AKQ23" s="57"/>
      <c r="AKR23" s="57"/>
      <c r="AKS23" s="57"/>
      <c r="AKT23" s="57"/>
      <c r="AKU23" s="57"/>
      <c r="AKV23" s="57"/>
      <c r="AKW23" s="57"/>
      <c r="AKX23" s="57"/>
      <c r="AKY23" s="57"/>
      <c r="AKZ23" s="57"/>
      <c r="ALA23" s="57"/>
      <c r="ALB23" s="57"/>
      <c r="ALC23" s="57"/>
      <c r="ALD23" s="57"/>
      <c r="ALE23" s="57"/>
      <c r="ALF23" s="57"/>
      <c r="ALG23" s="57"/>
      <c r="ALH23" s="57"/>
      <c r="ALI23" s="57"/>
      <c r="ALJ23" s="57"/>
      <c r="ALK23" s="57"/>
      <c r="ALL23" s="57"/>
      <c r="ALM23" s="57"/>
      <c r="ALN23" s="57"/>
      <c r="ALO23" s="57"/>
      <c r="ALP23" s="57"/>
      <c r="ALQ23" s="57"/>
      <c r="ALR23" s="57"/>
      <c r="ALS23" s="57"/>
      <c r="ALT23" s="57"/>
      <c r="ALU23" s="57"/>
      <c r="ALV23" s="57"/>
      <c r="ALW23" s="57"/>
      <c r="ALX23" s="57"/>
      <c r="ALY23" s="57"/>
      <c r="ALZ23" s="57"/>
      <c r="AMA23" s="57"/>
      <c r="AMB23" s="57"/>
      <c r="AMC23" s="57"/>
      <c r="AMD23" s="57"/>
      <c r="AME23" s="57"/>
      <c r="AMF23" s="57"/>
      <c r="AMG23" s="57"/>
      <c r="AMH23" s="57"/>
      <c r="AMI23" s="57"/>
      <c r="AMJ23" s="57"/>
      <c r="AMK23" s="57"/>
      <c r="AML23" s="57"/>
      <c r="AMM23" s="57"/>
      <c r="AMN23" s="57"/>
      <c r="AMO23" s="57"/>
      <c r="AMP23" s="57"/>
      <c r="AMQ23" s="57"/>
      <c r="AMR23" s="57"/>
      <c r="AMS23" s="57"/>
      <c r="AMT23" s="57"/>
      <c r="AMU23" s="57"/>
      <c r="AMV23" s="57"/>
      <c r="AMW23" s="57"/>
      <c r="AMX23" s="57"/>
      <c r="AMY23" s="57"/>
      <c r="AMZ23" s="57"/>
      <c r="ANA23" s="57"/>
      <c r="ANB23" s="57"/>
      <c r="ANC23" s="57"/>
      <c r="AND23" s="57"/>
      <c r="ANE23" s="57"/>
      <c r="ANF23" s="57"/>
      <c r="ANG23" s="57"/>
      <c r="ANH23" s="57"/>
      <c r="ANI23" s="57"/>
      <c r="ANJ23" s="57"/>
      <c r="ANK23" s="57"/>
      <c r="ANL23" s="57"/>
      <c r="ANM23" s="57"/>
      <c r="ANN23" s="57"/>
      <c r="ANO23" s="57"/>
      <c r="ANP23" s="57"/>
      <c r="ANQ23" s="57"/>
      <c r="ANR23" s="57"/>
      <c r="ANS23" s="57"/>
      <c r="ANT23" s="57"/>
      <c r="ANU23" s="57"/>
      <c r="ANV23" s="57"/>
      <c r="ANW23" s="57"/>
      <c r="ANX23" s="57"/>
      <c r="ANY23" s="57"/>
      <c r="ANZ23" s="57"/>
      <c r="AOA23" s="57"/>
      <c r="AOB23" s="57"/>
      <c r="AOC23" s="57"/>
      <c r="AOD23" s="57"/>
      <c r="AOE23" s="57"/>
      <c r="AOF23" s="57"/>
      <c r="AOG23" s="57"/>
      <c r="AOH23" s="57"/>
      <c r="AOI23" s="57"/>
      <c r="AOJ23" s="57"/>
      <c r="AOK23" s="57"/>
      <c r="AOL23" s="57"/>
      <c r="AOM23" s="57"/>
      <c r="AON23" s="57"/>
      <c r="AOO23" s="57"/>
      <c r="AOP23" s="57"/>
      <c r="AOQ23" s="57"/>
      <c r="AOR23" s="57"/>
      <c r="AOS23" s="57"/>
      <c r="AOT23" s="57"/>
      <c r="AOU23" s="57"/>
      <c r="AOV23" s="57"/>
      <c r="AOW23" s="57"/>
      <c r="AOX23" s="57"/>
      <c r="AOY23" s="57"/>
      <c r="AOZ23" s="57"/>
      <c r="APA23" s="57"/>
      <c r="APB23" s="57"/>
      <c r="APC23" s="57"/>
      <c r="APD23" s="57"/>
      <c r="APE23" s="57"/>
      <c r="APF23" s="57"/>
      <c r="APG23" s="57"/>
      <c r="APH23" s="57"/>
      <c r="API23" s="57"/>
      <c r="APJ23" s="57"/>
      <c r="APK23" s="57"/>
      <c r="APL23" s="57"/>
      <c r="APM23" s="57"/>
      <c r="APN23" s="57"/>
      <c r="APO23" s="57"/>
      <c r="APP23" s="57"/>
      <c r="APQ23" s="57"/>
      <c r="APR23" s="57"/>
      <c r="APS23" s="57"/>
      <c r="APT23" s="57"/>
      <c r="APU23" s="57"/>
      <c r="APV23" s="57"/>
      <c r="APW23" s="57"/>
      <c r="APX23" s="57"/>
      <c r="APY23" s="57"/>
      <c r="APZ23" s="57"/>
      <c r="AQA23" s="57"/>
      <c r="AQB23" s="57"/>
      <c r="AQC23" s="57"/>
      <c r="AQD23" s="57"/>
      <c r="AQE23" s="57"/>
      <c r="AQF23" s="57"/>
      <c r="AQG23" s="57"/>
      <c r="AQH23" s="57"/>
      <c r="AQI23" s="57"/>
      <c r="AQJ23" s="57"/>
      <c r="AQK23" s="57"/>
      <c r="AQL23" s="57"/>
      <c r="AQM23" s="57"/>
      <c r="AQN23" s="57"/>
      <c r="AQO23" s="57"/>
      <c r="AQP23" s="57"/>
      <c r="AQQ23" s="57"/>
      <c r="AQR23" s="57"/>
      <c r="AQS23" s="57"/>
      <c r="AQT23" s="57"/>
      <c r="AQU23" s="57"/>
      <c r="AQV23" s="57"/>
      <c r="AQW23" s="57"/>
      <c r="AQX23" s="57"/>
      <c r="AQY23" s="57"/>
      <c r="AQZ23" s="57"/>
      <c r="ARA23" s="57"/>
      <c r="ARB23" s="57"/>
      <c r="ARC23" s="57"/>
      <c r="ARD23" s="57"/>
      <c r="ARE23" s="57"/>
      <c r="ARF23" s="57"/>
      <c r="ARG23" s="57"/>
      <c r="ARH23" s="57"/>
      <c r="ARI23" s="57"/>
      <c r="ARJ23" s="57"/>
      <c r="ARK23" s="57"/>
      <c r="ARL23" s="57"/>
      <c r="ARM23" s="57"/>
      <c r="ARN23" s="57"/>
      <c r="ARO23" s="57"/>
      <c r="ARP23" s="57"/>
      <c r="ARQ23" s="57"/>
      <c r="ARR23" s="57"/>
      <c r="ARS23" s="57"/>
      <c r="ART23" s="57"/>
      <c r="ARU23" s="57"/>
      <c r="ARV23" s="57"/>
      <c r="ARW23" s="57"/>
      <c r="ARX23" s="57"/>
      <c r="ARY23" s="57"/>
      <c r="ARZ23" s="57"/>
      <c r="ASA23" s="57"/>
      <c r="ASB23" s="57"/>
      <c r="ASC23" s="57"/>
      <c r="ASD23" s="57"/>
      <c r="ASE23" s="57"/>
      <c r="ASF23" s="57"/>
      <c r="ASG23" s="57"/>
      <c r="ASH23" s="57"/>
      <c r="ASI23" s="57"/>
      <c r="ASJ23" s="57"/>
      <c r="ASK23" s="57"/>
      <c r="ASL23" s="57"/>
      <c r="ASM23" s="57"/>
      <c r="ASN23" s="57"/>
      <c r="ASO23" s="57"/>
      <c r="ASP23" s="57"/>
      <c r="ASQ23" s="57"/>
      <c r="ASR23" s="57"/>
      <c r="ASS23" s="57"/>
      <c r="AST23" s="57"/>
      <c r="ASU23" s="57"/>
      <c r="ASV23" s="57"/>
      <c r="ASW23" s="57"/>
      <c r="ASX23" s="57"/>
      <c r="ASY23" s="57"/>
      <c r="ASZ23" s="57"/>
      <c r="ATA23" s="57"/>
      <c r="ATB23" s="57"/>
      <c r="ATC23" s="57"/>
      <c r="ATD23" s="57"/>
      <c r="ATE23" s="57"/>
      <c r="ATF23" s="57"/>
      <c r="ATG23" s="57"/>
      <c r="ATH23" s="57"/>
      <c r="ATI23" s="57"/>
      <c r="ATJ23" s="57"/>
      <c r="ATK23" s="57"/>
      <c r="ATL23" s="57"/>
      <c r="ATM23" s="57"/>
      <c r="ATN23" s="57"/>
      <c r="ATO23" s="57"/>
      <c r="ATP23" s="57"/>
      <c r="ATQ23" s="57"/>
      <c r="ATR23" s="57"/>
      <c r="ATS23" s="57"/>
      <c r="ATT23" s="57"/>
      <c r="ATU23" s="57"/>
      <c r="ATV23" s="57"/>
      <c r="ATW23" s="57"/>
      <c r="ATX23" s="57"/>
      <c r="ATY23" s="57"/>
      <c r="ATZ23" s="57"/>
      <c r="AUA23" s="57"/>
      <c r="AUB23" s="57"/>
      <c r="AUC23" s="57"/>
      <c r="AUD23" s="57"/>
      <c r="AUE23" s="57"/>
      <c r="AUF23" s="57"/>
      <c r="AUG23" s="57"/>
      <c r="AUH23" s="57"/>
      <c r="AUI23" s="57"/>
      <c r="AUJ23" s="57"/>
      <c r="AUK23" s="57"/>
      <c r="AUL23" s="57"/>
      <c r="AUM23" s="57"/>
      <c r="AUN23" s="57"/>
      <c r="AUO23" s="57"/>
      <c r="AUP23" s="57"/>
      <c r="AUQ23" s="57"/>
      <c r="AUR23" s="57"/>
      <c r="AUS23" s="57"/>
      <c r="AUT23" s="57"/>
      <c r="AUU23" s="57"/>
      <c r="AUV23" s="57"/>
      <c r="AUW23" s="57"/>
      <c r="AUX23" s="57"/>
      <c r="AUY23" s="57"/>
      <c r="AUZ23" s="57"/>
      <c r="AVA23" s="57"/>
      <c r="AVB23" s="57"/>
      <c r="AVC23" s="57"/>
      <c r="AVD23" s="57"/>
      <c r="AVE23" s="57"/>
      <c r="AVF23" s="57"/>
      <c r="AVG23" s="57"/>
      <c r="AVH23" s="57"/>
      <c r="AVI23" s="57"/>
      <c r="AVJ23" s="57"/>
      <c r="AVK23" s="57"/>
      <c r="AVL23" s="57"/>
      <c r="AVM23" s="57"/>
      <c r="AVN23" s="57"/>
      <c r="AVO23" s="57"/>
      <c r="AVP23" s="57"/>
      <c r="AVQ23" s="57"/>
      <c r="AVR23" s="57"/>
      <c r="AVS23" s="57"/>
      <c r="AVT23" s="57"/>
      <c r="AVU23" s="57"/>
      <c r="AVV23" s="57"/>
      <c r="AVW23" s="57"/>
      <c r="AVX23" s="57"/>
      <c r="AVY23" s="57"/>
      <c r="AVZ23" s="57"/>
      <c r="AWA23" s="57"/>
      <c r="AWB23" s="57"/>
      <c r="AWC23" s="57"/>
      <c r="AWD23" s="57"/>
      <c r="AWE23" s="57"/>
      <c r="AWF23" s="57"/>
      <c r="AWG23" s="57"/>
      <c r="AWH23" s="57"/>
      <c r="AWI23" s="57"/>
      <c r="AWJ23" s="57"/>
      <c r="AWK23" s="57"/>
      <c r="AWL23" s="57"/>
      <c r="AWM23" s="57"/>
      <c r="AWN23" s="57"/>
      <c r="AWO23" s="57"/>
      <c r="AWP23" s="57"/>
      <c r="AWQ23" s="57"/>
      <c r="AWR23" s="57"/>
      <c r="AWS23" s="57"/>
      <c r="AWT23" s="57"/>
      <c r="AWU23" s="57"/>
      <c r="AWV23" s="57"/>
      <c r="AWW23" s="57"/>
      <c r="AWX23" s="57"/>
      <c r="AWY23" s="57"/>
      <c r="AWZ23" s="57"/>
      <c r="AXA23" s="57"/>
      <c r="AXB23" s="57"/>
      <c r="AXC23" s="57"/>
      <c r="AXD23" s="57"/>
      <c r="AXE23" s="57"/>
      <c r="AXF23" s="57"/>
      <c r="AXG23" s="57"/>
      <c r="AXH23" s="57"/>
      <c r="AXI23" s="57"/>
      <c r="AXJ23" s="57"/>
      <c r="AXK23" s="57"/>
      <c r="AXL23" s="57"/>
      <c r="AXM23" s="57"/>
      <c r="AXN23" s="57"/>
      <c r="AXO23" s="57"/>
      <c r="AXP23" s="57"/>
      <c r="AXQ23" s="57"/>
      <c r="AXR23" s="57"/>
      <c r="AXS23" s="57"/>
      <c r="AXT23" s="57"/>
      <c r="AXU23" s="57"/>
      <c r="AXV23" s="57"/>
      <c r="AXW23" s="57"/>
      <c r="AXX23" s="57"/>
      <c r="AXY23" s="57"/>
      <c r="AXZ23" s="57"/>
      <c r="AYA23" s="57"/>
      <c r="AYB23" s="57"/>
      <c r="AYC23" s="57"/>
      <c r="AYD23" s="57"/>
      <c r="AYE23" s="57"/>
      <c r="AYF23" s="57"/>
      <c r="AYG23" s="57"/>
      <c r="AYH23" s="57"/>
      <c r="AYI23" s="57"/>
      <c r="AYJ23" s="57"/>
      <c r="AYK23" s="57"/>
      <c r="AYL23" s="57"/>
      <c r="AYM23" s="57"/>
      <c r="AYN23" s="57"/>
      <c r="AYO23" s="57"/>
      <c r="AYP23" s="57"/>
      <c r="AYQ23" s="57"/>
      <c r="AYR23" s="57"/>
      <c r="AYS23" s="57"/>
      <c r="AYT23" s="57"/>
      <c r="AYU23" s="57"/>
      <c r="AYV23" s="57"/>
      <c r="AYW23" s="57"/>
      <c r="AYX23" s="57"/>
      <c r="AYY23" s="57"/>
      <c r="AYZ23" s="57"/>
      <c r="AZA23" s="57"/>
      <c r="AZB23" s="57"/>
      <c r="AZC23" s="57"/>
      <c r="AZD23" s="57"/>
      <c r="AZE23" s="57"/>
      <c r="AZF23" s="57"/>
      <c r="AZG23" s="57"/>
      <c r="AZH23" s="57"/>
      <c r="AZI23" s="57"/>
      <c r="AZJ23" s="57"/>
      <c r="AZK23" s="57"/>
      <c r="AZL23" s="57"/>
      <c r="AZM23" s="57"/>
      <c r="AZN23" s="57"/>
      <c r="AZO23" s="57"/>
      <c r="AZP23" s="57"/>
      <c r="AZQ23" s="57"/>
      <c r="AZR23" s="57"/>
      <c r="AZS23" s="57"/>
      <c r="AZT23" s="57"/>
      <c r="AZU23" s="57"/>
      <c r="AZV23" s="57"/>
      <c r="AZW23" s="57"/>
      <c r="AZX23" s="57"/>
      <c r="AZY23" s="57"/>
      <c r="AZZ23" s="57"/>
      <c r="BAA23" s="57"/>
      <c r="BAB23" s="57"/>
      <c r="BAC23" s="57"/>
      <c r="BAD23" s="57"/>
      <c r="BAE23" s="57"/>
      <c r="BAF23" s="57"/>
      <c r="BAG23" s="57"/>
      <c r="BAH23" s="57"/>
      <c r="BAI23" s="57"/>
      <c r="BAJ23" s="57"/>
      <c r="BAK23" s="57"/>
      <c r="BAL23" s="57"/>
      <c r="BAM23" s="57"/>
      <c r="BAN23" s="57"/>
      <c r="BAO23" s="57"/>
      <c r="BAP23" s="57"/>
      <c r="BAQ23" s="57"/>
      <c r="BAR23" s="57"/>
      <c r="BAS23" s="57"/>
      <c r="BAT23" s="57"/>
      <c r="BAU23" s="57"/>
      <c r="BAV23" s="57"/>
      <c r="BAW23" s="57"/>
      <c r="BAX23" s="57"/>
      <c r="BAY23" s="57"/>
      <c r="BAZ23" s="57"/>
      <c r="BBA23" s="57"/>
      <c r="BBB23" s="57"/>
      <c r="BBC23" s="57"/>
      <c r="BBD23" s="57"/>
      <c r="BBE23" s="57"/>
      <c r="BBF23" s="57"/>
      <c r="BBG23" s="57"/>
      <c r="BBH23" s="57"/>
      <c r="BBI23" s="57"/>
      <c r="BBJ23" s="57"/>
      <c r="BBK23" s="57"/>
      <c r="BBL23" s="57"/>
      <c r="BBM23" s="57"/>
      <c r="BBN23" s="57"/>
      <c r="BBO23" s="57"/>
      <c r="BBP23" s="57"/>
      <c r="BBQ23" s="57"/>
      <c r="BBR23" s="57"/>
      <c r="BBS23" s="57"/>
      <c r="BBT23" s="57"/>
      <c r="BBU23" s="57"/>
      <c r="BBV23" s="57"/>
      <c r="BBW23" s="57"/>
      <c r="BBX23" s="57"/>
      <c r="BBY23" s="57"/>
      <c r="BBZ23" s="57"/>
      <c r="BCA23" s="57"/>
      <c r="BCB23" s="57"/>
      <c r="BCC23" s="57"/>
      <c r="BCD23" s="57"/>
      <c r="BCE23" s="57"/>
      <c r="BCF23" s="57"/>
      <c r="BCG23" s="57"/>
      <c r="BCH23" s="57"/>
      <c r="BCI23" s="57"/>
      <c r="BCJ23" s="57"/>
      <c r="BCK23" s="57"/>
      <c r="BCL23" s="57"/>
      <c r="BCM23" s="57"/>
      <c r="BCN23" s="57"/>
      <c r="BCO23" s="57"/>
      <c r="BCP23" s="57"/>
      <c r="BCQ23" s="57"/>
      <c r="BCR23" s="57"/>
      <c r="BCS23" s="57"/>
      <c r="BCT23" s="57"/>
      <c r="BCU23" s="57"/>
      <c r="BCV23" s="57"/>
      <c r="BCW23" s="57"/>
      <c r="BCX23" s="57"/>
      <c r="BCY23" s="57"/>
      <c r="BCZ23" s="57"/>
      <c r="BDA23" s="57"/>
      <c r="BDB23" s="57"/>
      <c r="BDC23" s="57"/>
      <c r="BDD23" s="57"/>
      <c r="BDE23" s="57"/>
      <c r="BDF23" s="57"/>
      <c r="BDG23" s="57"/>
      <c r="BDH23" s="57"/>
      <c r="BDI23" s="57"/>
      <c r="BDJ23" s="57"/>
      <c r="BDK23" s="57"/>
      <c r="BDL23" s="57"/>
      <c r="BDM23" s="57"/>
      <c r="BDN23" s="57"/>
      <c r="BDO23" s="57"/>
      <c r="BDP23" s="57"/>
      <c r="BDQ23" s="57"/>
      <c r="BDR23" s="57"/>
      <c r="BDS23" s="57"/>
      <c r="BDT23" s="57"/>
      <c r="BDU23" s="57"/>
      <c r="BDV23" s="57"/>
      <c r="BDW23" s="57"/>
      <c r="BDX23" s="57"/>
      <c r="BDY23" s="57"/>
      <c r="BDZ23" s="57"/>
      <c r="BEA23" s="57"/>
      <c r="BEB23" s="57"/>
      <c r="BEC23" s="57"/>
      <c r="BED23" s="57"/>
      <c r="BEE23" s="57"/>
      <c r="BEF23" s="57"/>
      <c r="BEG23" s="57"/>
      <c r="BEH23" s="57"/>
      <c r="BEI23" s="57"/>
      <c r="BEJ23" s="57"/>
      <c r="BEK23" s="57"/>
      <c r="BEL23" s="57"/>
      <c r="BEM23" s="57"/>
      <c r="BEN23" s="57"/>
      <c r="BEO23" s="57"/>
      <c r="BEP23" s="57"/>
      <c r="BEQ23" s="57"/>
      <c r="BER23" s="57"/>
      <c r="BES23" s="57"/>
      <c r="BET23" s="57"/>
      <c r="BEU23" s="57"/>
      <c r="BEV23" s="57"/>
      <c r="BEW23" s="57"/>
      <c r="BEX23" s="57"/>
      <c r="BEY23" s="57"/>
      <c r="BEZ23" s="57"/>
      <c r="BFA23" s="57"/>
      <c r="BFB23" s="57"/>
      <c r="BFC23" s="57"/>
      <c r="BFD23" s="57"/>
      <c r="BFE23" s="57"/>
      <c r="BFF23" s="57"/>
      <c r="BFG23" s="57"/>
      <c r="BFH23" s="57"/>
      <c r="BFI23" s="57"/>
      <c r="BFJ23" s="57"/>
      <c r="BFK23" s="57"/>
      <c r="BFL23" s="57"/>
      <c r="BFM23" s="57"/>
      <c r="BFN23" s="57"/>
      <c r="BFO23" s="57"/>
      <c r="BFP23" s="57"/>
      <c r="BFQ23" s="57"/>
      <c r="BFR23" s="57"/>
      <c r="BFS23" s="57"/>
      <c r="BFT23" s="57"/>
      <c r="BFU23" s="57"/>
      <c r="BFV23" s="57"/>
      <c r="BFW23" s="57"/>
      <c r="BFX23" s="57"/>
      <c r="BFY23" s="57"/>
      <c r="BFZ23" s="57"/>
      <c r="BGA23" s="57"/>
      <c r="BGB23" s="57"/>
      <c r="BGC23" s="57"/>
      <c r="BGD23" s="57"/>
      <c r="BGE23" s="57"/>
      <c r="BGF23" s="57"/>
      <c r="BGG23" s="57"/>
      <c r="BGH23" s="57"/>
      <c r="BGI23" s="57"/>
      <c r="BGJ23" s="57"/>
      <c r="BGK23" s="57"/>
      <c r="BGL23" s="57"/>
      <c r="BGM23" s="57"/>
      <c r="BGN23" s="57"/>
      <c r="BGO23" s="57"/>
      <c r="BGP23" s="57"/>
      <c r="BGQ23" s="57"/>
      <c r="BGR23" s="57"/>
      <c r="BGS23" s="57"/>
      <c r="BGT23" s="57"/>
      <c r="BGU23" s="57"/>
      <c r="BGV23" s="57"/>
      <c r="BGW23" s="57"/>
      <c r="BGX23" s="57"/>
      <c r="BGY23" s="57"/>
      <c r="BGZ23" s="57"/>
      <c r="BHA23" s="57"/>
      <c r="BHB23" s="57"/>
      <c r="BHC23" s="57"/>
      <c r="BHD23" s="57"/>
      <c r="BHE23" s="57"/>
      <c r="BHF23" s="57"/>
      <c r="BHG23" s="57"/>
      <c r="BHH23" s="57"/>
      <c r="BHI23" s="57"/>
      <c r="BHJ23" s="57"/>
      <c r="BHK23" s="57"/>
      <c r="BHL23" s="57"/>
      <c r="BHM23" s="57"/>
      <c r="BHN23" s="57"/>
      <c r="BHO23" s="57"/>
      <c r="BHP23" s="57"/>
      <c r="BHQ23" s="57"/>
      <c r="BHR23" s="57"/>
      <c r="BHS23" s="57"/>
      <c r="BHT23" s="57"/>
      <c r="BHU23" s="57"/>
      <c r="BHV23" s="57"/>
      <c r="BHW23" s="57"/>
      <c r="BHX23" s="57"/>
      <c r="BHY23" s="57"/>
      <c r="BHZ23" s="57"/>
      <c r="BIA23" s="57"/>
      <c r="BIB23" s="57"/>
      <c r="BIC23" s="57"/>
      <c r="BID23" s="57"/>
      <c r="BIE23" s="57"/>
      <c r="BIF23" s="57"/>
      <c r="BIG23" s="57"/>
      <c r="BIH23" s="57"/>
      <c r="BII23" s="57"/>
      <c r="BIJ23" s="57"/>
      <c r="BIK23" s="57"/>
      <c r="BIL23" s="57"/>
      <c r="BIM23" s="57"/>
      <c r="BIN23" s="57"/>
      <c r="BIO23" s="57"/>
      <c r="BIP23" s="57"/>
      <c r="BIQ23" s="57"/>
      <c r="BIR23" s="57"/>
      <c r="BIS23" s="57"/>
      <c r="BIT23" s="57"/>
      <c r="BIU23" s="57"/>
      <c r="BIV23" s="57"/>
      <c r="BIW23" s="57"/>
      <c r="BIX23" s="57"/>
      <c r="BIY23" s="57"/>
      <c r="BIZ23" s="57"/>
      <c r="BJA23" s="57"/>
      <c r="BJB23" s="57"/>
      <c r="BJC23" s="57"/>
      <c r="BJD23" s="57"/>
      <c r="BJE23" s="57"/>
      <c r="BJF23" s="57"/>
      <c r="BJG23" s="57"/>
      <c r="BJH23" s="57"/>
      <c r="BJI23" s="57"/>
      <c r="BJJ23" s="57"/>
      <c r="BJK23" s="57"/>
      <c r="BJL23" s="57"/>
      <c r="BJM23" s="57"/>
      <c r="BJN23" s="57"/>
      <c r="BJO23" s="57"/>
      <c r="BJP23" s="57"/>
      <c r="BJQ23" s="57"/>
      <c r="BJR23" s="57"/>
      <c r="BJS23" s="57"/>
      <c r="BJT23" s="57"/>
      <c r="BJU23" s="57"/>
      <c r="BJV23" s="57"/>
      <c r="BJW23" s="57"/>
      <c r="BJX23" s="57"/>
      <c r="BJY23" s="57"/>
      <c r="BJZ23" s="57"/>
      <c r="BKA23" s="57"/>
      <c r="BKB23" s="57"/>
      <c r="BKC23" s="57"/>
      <c r="BKD23" s="57"/>
      <c r="BKE23" s="57"/>
      <c r="BKF23" s="57"/>
      <c r="BKG23" s="57"/>
      <c r="BKH23" s="57"/>
      <c r="BKI23" s="57"/>
      <c r="BKJ23" s="57"/>
      <c r="BKK23" s="57"/>
      <c r="BKL23" s="57"/>
      <c r="BKM23" s="57"/>
      <c r="BKN23" s="57"/>
      <c r="BKO23" s="57"/>
      <c r="BKP23" s="57"/>
      <c r="BKQ23" s="57"/>
      <c r="BKR23" s="57"/>
      <c r="BKS23" s="57"/>
      <c r="BKT23" s="57"/>
      <c r="BKU23" s="57"/>
      <c r="BKV23" s="57"/>
      <c r="BKW23" s="57"/>
      <c r="BKX23" s="57"/>
      <c r="BKY23" s="57"/>
      <c r="BKZ23" s="57"/>
      <c r="BLA23" s="57"/>
      <c r="BLB23" s="57"/>
      <c r="BLC23" s="57"/>
      <c r="BLD23" s="57"/>
      <c r="BLE23" s="57"/>
      <c r="BLF23" s="57"/>
      <c r="BLG23" s="57"/>
      <c r="BLH23" s="57"/>
      <c r="BLI23" s="57"/>
      <c r="BLJ23" s="57"/>
      <c r="BLK23" s="57"/>
      <c r="BLL23" s="57"/>
      <c r="BLM23" s="57"/>
      <c r="BLN23" s="57"/>
      <c r="BLO23" s="57"/>
      <c r="BLP23" s="57"/>
      <c r="BLQ23" s="57"/>
      <c r="BLR23" s="57"/>
      <c r="BLS23" s="57"/>
      <c r="BLT23" s="57"/>
      <c r="BLU23" s="57"/>
      <c r="BLV23" s="57"/>
      <c r="BLW23" s="57"/>
      <c r="BLX23" s="57"/>
      <c r="BLY23" s="57"/>
      <c r="BLZ23" s="57"/>
      <c r="BMA23" s="57"/>
      <c r="BMB23" s="57"/>
      <c r="BMC23" s="57"/>
      <c r="BMD23" s="57"/>
      <c r="BME23" s="57"/>
      <c r="BMF23" s="57"/>
      <c r="BMG23" s="57"/>
      <c r="BMH23" s="57"/>
      <c r="BMI23" s="57"/>
      <c r="BMJ23" s="57"/>
      <c r="BMK23" s="57"/>
      <c r="BML23" s="57"/>
      <c r="BMM23" s="57"/>
      <c r="BMN23" s="57"/>
      <c r="BMO23" s="57"/>
      <c r="BMP23" s="57"/>
      <c r="BMQ23" s="57"/>
      <c r="BMR23" s="57"/>
      <c r="BMS23" s="57"/>
      <c r="BMT23" s="57"/>
      <c r="BMU23" s="57"/>
      <c r="BMV23" s="57"/>
      <c r="BMW23" s="57"/>
      <c r="BMX23" s="57"/>
      <c r="BMY23" s="57"/>
      <c r="BMZ23" s="57"/>
      <c r="BNA23" s="57"/>
      <c r="BNB23" s="57"/>
      <c r="BNC23" s="57"/>
      <c r="BND23" s="57"/>
      <c r="BNE23" s="57"/>
      <c r="BNF23" s="57"/>
      <c r="BNG23" s="57"/>
      <c r="BNH23" s="57"/>
      <c r="BNI23" s="57"/>
      <c r="BNJ23" s="57"/>
      <c r="BNK23" s="57"/>
      <c r="BNL23" s="57"/>
      <c r="BNM23" s="57"/>
      <c r="BNN23" s="57"/>
      <c r="BNO23" s="57"/>
      <c r="BNP23" s="57"/>
      <c r="BNQ23" s="57"/>
      <c r="BNR23" s="57"/>
      <c r="BNS23" s="57"/>
      <c r="BNT23" s="57"/>
      <c r="BNU23" s="57"/>
      <c r="BNV23" s="57"/>
      <c r="BNW23" s="57"/>
      <c r="BNX23" s="57"/>
      <c r="BNY23" s="57"/>
      <c r="BNZ23" s="57"/>
      <c r="BOA23" s="57"/>
      <c r="BOB23" s="57"/>
      <c r="BOC23" s="57"/>
      <c r="BOD23" s="57"/>
      <c r="BOE23" s="57"/>
      <c r="BOF23" s="57"/>
      <c r="BOG23" s="57"/>
      <c r="BOH23" s="57"/>
      <c r="BOI23" s="57"/>
      <c r="BOJ23" s="57"/>
      <c r="BOK23" s="57"/>
      <c r="BOL23" s="57"/>
      <c r="BOM23" s="57"/>
      <c r="BON23" s="57"/>
      <c r="BOO23" s="57"/>
      <c r="BOP23" s="57"/>
      <c r="BOQ23" s="57"/>
      <c r="BOR23" s="57"/>
      <c r="BOS23" s="57"/>
      <c r="BOT23" s="57"/>
      <c r="BOU23" s="57"/>
      <c r="BOV23" s="57"/>
      <c r="BOW23" s="57"/>
      <c r="BOX23" s="57"/>
      <c r="BOY23" s="57"/>
      <c r="BOZ23" s="57"/>
      <c r="BPA23" s="57"/>
      <c r="BPB23" s="57"/>
      <c r="BPC23" s="57"/>
      <c r="BPD23" s="57"/>
      <c r="BPE23" s="57"/>
      <c r="BPF23" s="57"/>
      <c r="BPG23" s="57"/>
      <c r="BPH23" s="57"/>
      <c r="BPI23" s="57"/>
      <c r="BPJ23" s="57"/>
      <c r="BPK23" s="57"/>
      <c r="BPL23" s="57"/>
      <c r="BPM23" s="57"/>
      <c r="BPN23" s="57"/>
      <c r="BPO23" s="57"/>
      <c r="BPP23" s="57"/>
      <c r="BPQ23" s="57"/>
      <c r="BPR23" s="57"/>
      <c r="BPS23" s="57"/>
      <c r="BPT23" s="57"/>
      <c r="BPU23" s="57"/>
      <c r="BPV23" s="57"/>
      <c r="BPW23" s="57"/>
      <c r="BPX23" s="57"/>
      <c r="BPY23" s="57"/>
      <c r="BPZ23" s="57"/>
      <c r="BQA23" s="57"/>
      <c r="BQB23" s="57"/>
      <c r="BQC23" s="57"/>
      <c r="BQD23" s="57"/>
      <c r="BQE23" s="57"/>
      <c r="BQF23" s="57"/>
      <c r="BQG23" s="57"/>
      <c r="BQH23" s="57"/>
      <c r="BQI23" s="57"/>
      <c r="BQJ23" s="57"/>
      <c r="BQK23" s="57"/>
      <c r="BQL23" s="57"/>
      <c r="BQM23" s="57"/>
      <c r="BQN23" s="57"/>
      <c r="BQO23" s="57"/>
      <c r="BQP23" s="57"/>
      <c r="BQQ23" s="57"/>
      <c r="BQR23" s="57"/>
      <c r="BQS23" s="57"/>
      <c r="BQT23" s="57"/>
      <c r="BQU23" s="57"/>
      <c r="BQV23" s="57"/>
      <c r="BQW23" s="57"/>
      <c r="BQX23" s="57"/>
      <c r="BQY23" s="57"/>
      <c r="BQZ23" s="57"/>
      <c r="BRA23" s="57"/>
      <c r="BRB23" s="57"/>
      <c r="BRC23" s="57"/>
      <c r="BRD23" s="57"/>
      <c r="BRE23" s="57"/>
      <c r="BRF23" s="57"/>
      <c r="BRG23" s="57"/>
      <c r="BRH23" s="57"/>
      <c r="BRI23" s="57"/>
      <c r="BRJ23" s="57"/>
      <c r="BRK23" s="57"/>
      <c r="BRL23" s="57"/>
      <c r="BRM23" s="57"/>
      <c r="BRN23" s="57"/>
      <c r="BRO23" s="57"/>
      <c r="BRP23" s="57"/>
      <c r="BRQ23" s="57"/>
      <c r="BRR23" s="57"/>
      <c r="BRS23" s="57"/>
      <c r="BRT23" s="57"/>
      <c r="BRU23" s="57"/>
      <c r="BRV23" s="57"/>
      <c r="BRW23" s="57"/>
      <c r="BRX23" s="57"/>
      <c r="BRY23" s="57"/>
      <c r="BRZ23" s="57"/>
      <c r="BSA23" s="57"/>
      <c r="BSB23" s="57"/>
      <c r="BSC23" s="57"/>
      <c r="BSD23" s="57"/>
      <c r="BSE23" s="57"/>
      <c r="BSF23" s="57"/>
      <c r="BSG23" s="57"/>
      <c r="BSH23" s="57"/>
      <c r="BSI23" s="57"/>
      <c r="BSJ23" s="57"/>
      <c r="BSK23" s="57"/>
      <c r="BSL23" s="57"/>
      <c r="BSM23" s="57"/>
      <c r="BSN23" s="57"/>
      <c r="BSO23" s="57"/>
      <c r="BSP23" s="57"/>
      <c r="BSQ23" s="57"/>
      <c r="BSR23" s="57"/>
      <c r="BSS23" s="57"/>
      <c r="BST23" s="57"/>
      <c r="BSU23" s="57"/>
      <c r="BSV23" s="57"/>
      <c r="BSW23" s="57"/>
      <c r="BSX23" s="57"/>
      <c r="BSY23" s="57"/>
      <c r="BSZ23" s="57"/>
      <c r="BTA23" s="57"/>
      <c r="BTB23" s="57"/>
      <c r="BTC23" s="57"/>
      <c r="BTD23" s="57"/>
      <c r="BTE23" s="57"/>
      <c r="BTF23" s="57"/>
      <c r="BTG23" s="57"/>
      <c r="BTH23" s="57"/>
      <c r="BTI23" s="57"/>
      <c r="BTJ23" s="57"/>
      <c r="BTK23" s="57"/>
      <c r="BTL23" s="57"/>
      <c r="BTM23" s="57"/>
      <c r="BTN23" s="57"/>
      <c r="BTO23" s="57"/>
      <c r="BTP23" s="57"/>
      <c r="BTQ23" s="57"/>
      <c r="BTR23" s="57"/>
      <c r="BTS23" s="57"/>
      <c r="BTT23" s="57"/>
      <c r="BTU23" s="57"/>
      <c r="BTV23" s="57"/>
      <c r="BTW23" s="57"/>
      <c r="BTX23" s="57"/>
      <c r="BTY23" s="57"/>
      <c r="BTZ23" s="57"/>
      <c r="BUA23" s="57"/>
      <c r="BUB23" s="57"/>
      <c r="BUC23" s="57"/>
      <c r="BUD23" s="57"/>
      <c r="BUE23" s="57"/>
      <c r="BUF23" s="57"/>
      <c r="BUG23" s="57"/>
      <c r="BUH23" s="57"/>
      <c r="BUI23" s="57"/>
      <c r="BUJ23" s="57"/>
      <c r="BUK23" s="57"/>
      <c r="BUL23" s="57"/>
      <c r="BUM23" s="57"/>
      <c r="BUN23" s="57"/>
      <c r="BUO23" s="57"/>
      <c r="BUP23" s="57"/>
      <c r="BUQ23" s="57"/>
      <c r="BUR23" s="57"/>
      <c r="BUS23" s="57"/>
      <c r="BUT23" s="57"/>
      <c r="BUU23" s="57"/>
      <c r="BUV23" s="57"/>
      <c r="BUW23" s="57"/>
      <c r="BUX23" s="57"/>
      <c r="BUY23" s="57"/>
      <c r="BUZ23" s="57"/>
      <c r="BVA23" s="57"/>
      <c r="BVB23" s="57"/>
      <c r="BVC23" s="57"/>
      <c r="BVD23" s="57"/>
      <c r="BVE23" s="57"/>
      <c r="BVF23" s="57"/>
      <c r="BVG23" s="57"/>
      <c r="BVH23" s="57"/>
      <c r="BVI23" s="57"/>
      <c r="BVJ23" s="57"/>
      <c r="BVK23" s="57"/>
      <c r="BVL23" s="57"/>
      <c r="BVM23" s="57"/>
      <c r="BVN23" s="57"/>
      <c r="BVO23" s="57"/>
      <c r="BVP23" s="57"/>
      <c r="BVQ23" s="57"/>
      <c r="BVR23" s="57"/>
      <c r="BVS23" s="57"/>
      <c r="BVT23" s="57"/>
      <c r="BVU23" s="57"/>
      <c r="BVV23" s="57"/>
      <c r="BVW23" s="57"/>
      <c r="BVX23" s="57"/>
      <c r="BVY23" s="57"/>
      <c r="BVZ23" s="57"/>
      <c r="BWA23" s="57"/>
      <c r="BWB23" s="57"/>
      <c r="BWC23" s="57"/>
      <c r="BWD23" s="57"/>
      <c r="BWE23" s="57"/>
      <c r="BWF23" s="57"/>
      <c r="BWG23" s="57"/>
      <c r="BWH23" s="57"/>
      <c r="BWI23" s="57"/>
      <c r="BWJ23" s="57"/>
      <c r="BWK23" s="57"/>
      <c r="BWL23" s="57"/>
      <c r="BWM23" s="57"/>
      <c r="BWN23" s="57"/>
      <c r="BWO23" s="57"/>
      <c r="BWP23" s="57"/>
      <c r="BWQ23" s="57"/>
      <c r="BWR23" s="57"/>
      <c r="BWS23" s="57"/>
      <c r="BWT23" s="57"/>
      <c r="BWU23" s="57"/>
      <c r="BWV23" s="57"/>
      <c r="BWW23" s="57"/>
      <c r="BWX23" s="57"/>
      <c r="BWY23" s="57"/>
      <c r="BWZ23" s="57"/>
      <c r="BXA23" s="57"/>
      <c r="BXB23" s="57"/>
      <c r="BXC23" s="57"/>
      <c r="BXD23" s="57"/>
      <c r="BXE23" s="57"/>
      <c r="BXF23" s="57"/>
      <c r="BXG23" s="57"/>
      <c r="BXH23" s="57"/>
      <c r="BXI23" s="57"/>
      <c r="BXJ23" s="57"/>
      <c r="BXK23" s="57"/>
      <c r="BXL23" s="57"/>
      <c r="BXM23" s="57"/>
      <c r="BXN23" s="57"/>
      <c r="BXO23" s="57"/>
      <c r="BXP23" s="57"/>
      <c r="BXQ23" s="57"/>
      <c r="BXR23" s="57"/>
      <c r="BXS23" s="57"/>
      <c r="BXT23" s="57"/>
      <c r="BXU23" s="57"/>
      <c r="BXV23" s="57"/>
      <c r="BXW23" s="57"/>
      <c r="BXX23" s="57"/>
      <c r="BXY23" s="57"/>
      <c r="BXZ23" s="57"/>
      <c r="BYA23" s="57"/>
      <c r="BYB23" s="57"/>
      <c r="BYC23" s="57"/>
      <c r="BYD23" s="57"/>
      <c r="BYE23" s="57"/>
      <c r="BYF23" s="57"/>
      <c r="BYG23" s="57"/>
      <c r="BYH23" s="57"/>
      <c r="BYI23" s="57"/>
      <c r="BYJ23" s="57"/>
      <c r="BYK23" s="57"/>
      <c r="BYL23" s="57"/>
      <c r="BYM23" s="57"/>
      <c r="BYN23" s="57"/>
      <c r="BYO23" s="57"/>
      <c r="BYP23" s="57"/>
      <c r="BYQ23" s="57"/>
      <c r="BYR23" s="57"/>
      <c r="BYS23" s="57"/>
      <c r="BYT23" s="57"/>
      <c r="BYU23" s="57"/>
      <c r="BYV23" s="57"/>
      <c r="BYW23" s="57"/>
      <c r="BYX23" s="57"/>
      <c r="BYY23" s="57"/>
      <c r="BYZ23" s="57"/>
      <c r="BZA23" s="57"/>
      <c r="BZB23" s="57"/>
      <c r="BZC23" s="57"/>
      <c r="BZD23" s="57"/>
      <c r="BZE23" s="57"/>
      <c r="BZF23" s="57"/>
      <c r="BZG23" s="57"/>
      <c r="BZH23" s="57"/>
      <c r="BZI23" s="57"/>
      <c r="BZJ23" s="57"/>
      <c r="BZK23" s="57"/>
      <c r="BZL23" s="57"/>
      <c r="BZM23" s="57"/>
      <c r="BZN23" s="57"/>
      <c r="BZO23" s="57"/>
      <c r="BZP23" s="57"/>
      <c r="BZQ23" s="57"/>
      <c r="BZR23" s="57"/>
      <c r="BZS23" s="57"/>
      <c r="BZT23" s="57"/>
      <c r="BZU23" s="57"/>
      <c r="BZV23" s="57"/>
      <c r="BZW23" s="57"/>
      <c r="BZX23" s="57"/>
      <c r="BZY23" s="57"/>
      <c r="BZZ23" s="57"/>
      <c r="CAA23" s="57"/>
      <c r="CAB23" s="57"/>
      <c r="CAC23" s="57"/>
      <c r="CAD23" s="57"/>
      <c r="CAE23" s="57"/>
      <c r="CAF23" s="57"/>
      <c r="CAG23" s="57"/>
      <c r="CAH23" s="57"/>
      <c r="CAI23" s="57"/>
      <c r="CAJ23" s="57"/>
      <c r="CAK23" s="57"/>
      <c r="CAL23" s="57"/>
      <c r="CAM23" s="57"/>
      <c r="CAN23" s="57"/>
      <c r="CAO23" s="57"/>
      <c r="CAP23" s="57"/>
      <c r="CAQ23" s="57"/>
      <c r="CAR23" s="57"/>
      <c r="CAS23" s="57"/>
      <c r="CAT23" s="57"/>
      <c r="CAU23" s="57"/>
      <c r="CAV23" s="57"/>
      <c r="CAW23" s="57"/>
      <c r="CAX23" s="57"/>
      <c r="CAY23" s="57"/>
      <c r="CAZ23" s="57"/>
      <c r="CBA23" s="57"/>
      <c r="CBB23" s="57"/>
      <c r="CBC23" s="57"/>
      <c r="CBD23" s="57"/>
      <c r="CBE23" s="57"/>
      <c r="CBF23" s="57"/>
      <c r="CBG23" s="57"/>
      <c r="CBH23" s="57"/>
      <c r="CBI23" s="57"/>
      <c r="CBJ23" s="57"/>
      <c r="CBK23" s="57"/>
      <c r="CBL23" s="57"/>
      <c r="CBM23" s="57"/>
      <c r="CBN23" s="57"/>
      <c r="CBO23" s="57"/>
      <c r="CBP23" s="57"/>
      <c r="CBQ23" s="57"/>
      <c r="CBR23" s="57"/>
      <c r="CBS23" s="57"/>
      <c r="CBT23" s="57"/>
      <c r="CBU23" s="57"/>
      <c r="CBV23" s="57"/>
      <c r="CBW23" s="57"/>
      <c r="CBX23" s="57"/>
      <c r="CBY23" s="57"/>
      <c r="CBZ23" s="57"/>
      <c r="CCA23" s="57"/>
      <c r="CCB23" s="57"/>
      <c r="CCC23" s="57"/>
      <c r="CCD23" s="57"/>
      <c r="CCE23" s="57"/>
      <c r="CCF23" s="57"/>
      <c r="CCG23" s="57"/>
      <c r="CCH23" s="57"/>
      <c r="CCI23" s="57"/>
      <c r="CCJ23" s="57"/>
      <c r="CCK23" s="57"/>
      <c r="CCL23" s="57"/>
      <c r="CCM23" s="57"/>
      <c r="CCN23" s="57"/>
      <c r="CCO23" s="57"/>
      <c r="CCP23" s="57"/>
      <c r="CCQ23" s="57"/>
      <c r="CCR23" s="57"/>
      <c r="CCS23" s="57"/>
      <c r="CCT23" s="57"/>
      <c r="CCU23" s="57"/>
      <c r="CCV23" s="57"/>
      <c r="CCW23" s="57"/>
      <c r="CCX23" s="57"/>
      <c r="CCY23" s="57"/>
      <c r="CCZ23" s="57"/>
      <c r="CDA23" s="57"/>
      <c r="CDB23" s="57"/>
      <c r="CDC23" s="57"/>
      <c r="CDD23" s="57"/>
      <c r="CDE23" s="57"/>
      <c r="CDF23" s="57"/>
      <c r="CDG23" s="57"/>
      <c r="CDH23" s="57"/>
      <c r="CDI23" s="57"/>
      <c r="CDJ23" s="57"/>
      <c r="CDK23" s="57"/>
      <c r="CDL23" s="57"/>
      <c r="CDM23" s="57"/>
      <c r="CDN23" s="57"/>
      <c r="CDO23" s="57"/>
      <c r="CDP23" s="57"/>
      <c r="CDQ23" s="57"/>
      <c r="CDR23" s="57"/>
      <c r="CDS23" s="57"/>
      <c r="CDT23" s="57"/>
      <c r="CDU23" s="57"/>
      <c r="CDV23" s="57"/>
      <c r="CDW23" s="57"/>
      <c r="CDX23" s="57"/>
      <c r="CDY23" s="57"/>
      <c r="CDZ23" s="57"/>
      <c r="CEA23" s="57"/>
      <c r="CEB23" s="57"/>
      <c r="CEC23" s="57"/>
      <c r="CED23" s="57"/>
      <c r="CEE23" s="57"/>
      <c r="CEF23" s="57"/>
      <c r="CEG23" s="57"/>
      <c r="CEH23" s="57"/>
      <c r="CEI23" s="57"/>
      <c r="CEJ23" s="57"/>
      <c r="CEK23" s="57"/>
      <c r="CEL23" s="57"/>
      <c r="CEM23" s="57"/>
      <c r="CEN23" s="57"/>
      <c r="CEO23" s="57"/>
      <c r="CEP23" s="57"/>
      <c r="CEQ23" s="57"/>
      <c r="CER23" s="57"/>
      <c r="CES23" s="57"/>
      <c r="CET23" s="57"/>
      <c r="CEU23" s="57"/>
      <c r="CEV23" s="57"/>
      <c r="CEW23" s="57"/>
      <c r="CEX23" s="57"/>
      <c r="CEY23" s="57"/>
      <c r="CEZ23" s="57"/>
      <c r="CFA23" s="57"/>
      <c r="CFB23" s="57"/>
      <c r="CFC23" s="57"/>
      <c r="CFD23" s="57"/>
      <c r="CFE23" s="57"/>
      <c r="CFF23" s="57"/>
      <c r="CFG23" s="57"/>
      <c r="CFH23" s="57"/>
      <c r="CFI23" s="57"/>
      <c r="CFJ23" s="57"/>
      <c r="CFK23" s="57"/>
      <c r="CFL23" s="57"/>
      <c r="CFM23" s="57"/>
      <c r="CFN23" s="57"/>
      <c r="CFO23" s="57"/>
      <c r="CFP23" s="57"/>
      <c r="CFQ23" s="57"/>
      <c r="CFR23" s="57"/>
      <c r="CFS23" s="57"/>
      <c r="CFT23" s="57"/>
      <c r="CFU23" s="57"/>
      <c r="CFV23" s="57"/>
      <c r="CFW23" s="57"/>
      <c r="CFX23" s="57"/>
      <c r="CFY23" s="57"/>
      <c r="CFZ23" s="57"/>
      <c r="CGA23" s="57"/>
      <c r="CGB23" s="57"/>
      <c r="CGC23" s="57"/>
      <c r="CGD23" s="57"/>
      <c r="CGE23" s="57"/>
      <c r="CGF23" s="57"/>
      <c r="CGG23" s="57"/>
      <c r="CGH23" s="57"/>
      <c r="CGI23" s="57"/>
      <c r="CGJ23" s="57"/>
      <c r="CGK23" s="57"/>
      <c r="CGL23" s="57"/>
      <c r="CGM23" s="57"/>
      <c r="CGN23" s="57"/>
      <c r="CGO23" s="57"/>
      <c r="CGP23" s="57"/>
      <c r="CGQ23" s="57"/>
      <c r="CGR23" s="57"/>
      <c r="CGS23" s="57"/>
      <c r="CGT23" s="57"/>
      <c r="CGU23" s="57"/>
      <c r="CGV23" s="57"/>
      <c r="CGW23" s="57"/>
      <c r="CGX23" s="57"/>
      <c r="CGY23" s="57"/>
      <c r="CGZ23" s="57"/>
      <c r="CHA23" s="57"/>
      <c r="CHB23" s="57"/>
      <c r="CHC23" s="57"/>
      <c r="CHD23" s="57"/>
      <c r="CHE23" s="57"/>
      <c r="CHF23" s="57"/>
      <c r="CHG23" s="57"/>
      <c r="CHH23" s="57"/>
      <c r="CHI23" s="57"/>
      <c r="CHJ23" s="57"/>
      <c r="CHK23" s="57"/>
      <c r="CHL23" s="57"/>
      <c r="CHM23" s="57"/>
      <c r="CHN23" s="57"/>
      <c r="CHO23" s="57"/>
      <c r="CHP23" s="57"/>
      <c r="CHQ23" s="57"/>
      <c r="CHR23" s="57"/>
      <c r="CHS23" s="57"/>
      <c r="CHT23" s="57"/>
      <c r="CHU23" s="57"/>
      <c r="CHV23" s="57"/>
      <c r="CHW23" s="57"/>
      <c r="CHX23" s="57"/>
      <c r="CHY23" s="57"/>
      <c r="CHZ23" s="57"/>
      <c r="CIA23" s="57"/>
      <c r="CIB23" s="57"/>
      <c r="CIC23" s="57"/>
      <c r="CID23" s="57"/>
      <c r="CIE23" s="57"/>
      <c r="CIF23" s="57"/>
      <c r="CIG23" s="57"/>
      <c r="CIH23" s="57"/>
      <c r="CII23" s="57"/>
      <c r="CIJ23" s="57"/>
      <c r="CIK23" s="57"/>
      <c r="CIL23" s="57"/>
      <c r="CIM23" s="57"/>
      <c r="CIN23" s="57"/>
      <c r="CIO23" s="57"/>
      <c r="CIP23" s="57"/>
      <c r="CIQ23" s="57"/>
      <c r="CIR23" s="57"/>
      <c r="CIS23" s="57"/>
      <c r="CIT23" s="57"/>
      <c r="CIU23" s="57"/>
      <c r="CIV23" s="57"/>
      <c r="CIW23" s="57"/>
      <c r="CIX23" s="57"/>
      <c r="CIY23" s="57"/>
      <c r="CIZ23" s="57"/>
      <c r="CJA23" s="57"/>
      <c r="CJB23" s="57"/>
      <c r="CJC23" s="57"/>
      <c r="CJD23" s="57"/>
      <c r="CJE23" s="57"/>
      <c r="CJF23" s="57"/>
      <c r="CJG23" s="57"/>
      <c r="CJH23" s="57"/>
      <c r="CJI23" s="57"/>
      <c r="CJJ23" s="57"/>
      <c r="CJK23" s="57"/>
      <c r="CJL23" s="57"/>
      <c r="CJM23" s="57"/>
      <c r="CJN23" s="57"/>
      <c r="CJO23" s="57"/>
      <c r="CJP23" s="57"/>
      <c r="CJQ23" s="57"/>
      <c r="CJR23" s="57"/>
      <c r="CJS23" s="57"/>
      <c r="CJT23" s="57"/>
      <c r="CJU23" s="57"/>
      <c r="CJV23" s="57"/>
      <c r="CJW23" s="57"/>
      <c r="CJX23" s="57"/>
      <c r="CJY23" s="57"/>
      <c r="CJZ23" s="57"/>
      <c r="CKA23" s="57"/>
      <c r="CKB23" s="57"/>
      <c r="CKC23" s="57"/>
      <c r="CKD23" s="57"/>
      <c r="CKE23" s="57"/>
      <c r="CKF23" s="57"/>
      <c r="CKG23" s="57"/>
      <c r="CKH23" s="57"/>
      <c r="CKI23" s="57"/>
      <c r="CKJ23" s="57"/>
      <c r="CKK23" s="57"/>
      <c r="CKL23" s="57"/>
      <c r="CKM23" s="57"/>
      <c r="CKN23" s="57"/>
      <c r="CKO23" s="57"/>
      <c r="CKP23" s="57"/>
      <c r="CKQ23" s="57"/>
      <c r="CKR23" s="57"/>
      <c r="CKS23" s="57"/>
      <c r="CKT23" s="57"/>
      <c r="CKU23" s="57"/>
      <c r="CKV23" s="57"/>
      <c r="CKW23" s="57"/>
      <c r="CKX23" s="57"/>
      <c r="CKY23" s="57"/>
      <c r="CKZ23" s="57"/>
      <c r="CLA23" s="57"/>
      <c r="CLB23" s="57"/>
      <c r="CLC23" s="57"/>
      <c r="CLD23" s="57"/>
      <c r="CLE23" s="57"/>
      <c r="CLF23" s="57"/>
      <c r="CLG23" s="57"/>
      <c r="CLH23" s="57"/>
      <c r="CLI23" s="57"/>
      <c r="CLJ23" s="57"/>
      <c r="CLK23" s="57"/>
      <c r="CLL23" s="57"/>
      <c r="CLM23" s="57"/>
      <c r="CLN23" s="57"/>
      <c r="CLO23" s="57"/>
      <c r="CLP23" s="57"/>
      <c r="CLQ23" s="57"/>
      <c r="CLR23" s="57"/>
      <c r="CLS23" s="57"/>
      <c r="CLT23" s="57"/>
      <c r="CLU23" s="57"/>
      <c r="CLV23" s="57"/>
      <c r="CLW23" s="57"/>
      <c r="CLX23" s="57"/>
      <c r="CLY23" s="57"/>
      <c r="CLZ23" s="57"/>
      <c r="CMA23" s="57"/>
      <c r="CMB23" s="57"/>
      <c r="CMC23" s="57"/>
      <c r="CMD23" s="57"/>
      <c r="CME23" s="57"/>
      <c r="CMF23" s="57"/>
      <c r="CMG23" s="57"/>
      <c r="CMH23" s="57"/>
      <c r="CMI23" s="57"/>
      <c r="CMJ23" s="57"/>
      <c r="CMK23" s="57"/>
      <c r="CML23" s="57"/>
      <c r="CMM23" s="57"/>
      <c r="CMN23" s="57"/>
      <c r="CMO23" s="57"/>
      <c r="CMP23" s="57"/>
      <c r="CMQ23" s="57"/>
      <c r="CMR23" s="57"/>
      <c r="CMS23" s="57"/>
      <c r="CMT23" s="57"/>
      <c r="CMU23" s="57"/>
      <c r="CMV23" s="57"/>
      <c r="CMW23" s="57"/>
      <c r="CMX23" s="57"/>
      <c r="CMY23" s="57"/>
      <c r="CMZ23" s="57"/>
      <c r="CNA23" s="57"/>
      <c r="CNB23" s="57"/>
      <c r="CNC23" s="57"/>
      <c r="CND23" s="57"/>
      <c r="CNE23" s="57"/>
      <c r="CNF23" s="57"/>
      <c r="CNG23" s="57"/>
      <c r="CNH23" s="57"/>
      <c r="CNI23" s="57"/>
      <c r="CNJ23" s="57"/>
      <c r="CNK23" s="57"/>
      <c r="CNL23" s="57"/>
      <c r="CNM23" s="57"/>
      <c r="CNN23" s="57"/>
      <c r="CNO23" s="57"/>
      <c r="CNP23" s="57"/>
      <c r="CNQ23" s="57"/>
      <c r="CNR23" s="57"/>
      <c r="CNS23" s="57"/>
      <c r="CNT23" s="57"/>
      <c r="CNU23" s="57"/>
      <c r="CNV23" s="57"/>
      <c r="CNW23" s="57"/>
      <c r="CNX23" s="57"/>
      <c r="CNY23" s="57"/>
      <c r="CNZ23" s="57"/>
      <c r="COA23" s="57"/>
      <c r="COB23" s="57"/>
      <c r="COC23" s="57"/>
      <c r="COD23" s="57"/>
      <c r="COE23" s="57"/>
      <c r="COF23" s="57"/>
      <c r="COG23" s="57"/>
      <c r="COH23" s="57"/>
      <c r="COI23" s="57"/>
      <c r="COJ23" s="57"/>
      <c r="COK23" s="57"/>
      <c r="COL23" s="57"/>
      <c r="COM23" s="57"/>
      <c r="CON23" s="57"/>
      <c r="COO23" s="57"/>
      <c r="COP23" s="57"/>
      <c r="COQ23" s="57"/>
      <c r="COR23" s="57"/>
      <c r="COS23" s="57"/>
      <c r="COT23" s="57"/>
      <c r="COU23" s="57"/>
      <c r="COV23" s="57"/>
      <c r="COW23" s="57"/>
      <c r="COX23" s="57"/>
      <c r="COY23" s="57"/>
      <c r="COZ23" s="57"/>
      <c r="CPA23" s="57"/>
      <c r="CPB23" s="57"/>
      <c r="CPC23" s="57"/>
      <c r="CPD23" s="57"/>
      <c r="CPE23" s="57"/>
      <c r="CPF23" s="57"/>
      <c r="CPG23" s="57"/>
      <c r="CPH23" s="57"/>
      <c r="CPI23" s="57"/>
      <c r="CPJ23" s="57"/>
      <c r="CPK23" s="57"/>
      <c r="CPL23" s="57"/>
      <c r="CPM23" s="57"/>
      <c r="CPN23" s="57"/>
      <c r="CPO23" s="57"/>
      <c r="CPP23" s="57"/>
      <c r="CPQ23" s="57"/>
      <c r="CPR23" s="57"/>
      <c r="CPS23" s="57"/>
      <c r="CPT23" s="57"/>
      <c r="CPU23" s="57"/>
      <c r="CPV23" s="57"/>
      <c r="CPW23" s="57"/>
      <c r="CPX23" s="57"/>
      <c r="CPY23" s="57"/>
      <c r="CPZ23" s="57"/>
      <c r="CQA23" s="57"/>
      <c r="CQB23" s="57"/>
      <c r="CQC23" s="57"/>
      <c r="CQD23" s="57"/>
      <c r="CQE23" s="57"/>
      <c r="CQF23" s="57"/>
      <c r="CQG23" s="57"/>
      <c r="CQH23" s="57"/>
      <c r="CQI23" s="57"/>
      <c r="CQJ23" s="57"/>
      <c r="CQK23" s="57"/>
      <c r="CQL23" s="57"/>
      <c r="CQM23" s="57"/>
      <c r="CQN23" s="57"/>
      <c r="CQO23" s="57"/>
      <c r="CQP23" s="57"/>
      <c r="CQQ23" s="57"/>
      <c r="CQR23" s="57"/>
      <c r="CQS23" s="57"/>
      <c r="CQT23" s="57"/>
      <c r="CQU23" s="57"/>
      <c r="CQV23" s="57"/>
      <c r="CQW23" s="57"/>
      <c r="CQX23" s="57"/>
      <c r="CQY23" s="57"/>
      <c r="CQZ23" s="57"/>
      <c r="CRA23" s="57"/>
      <c r="CRB23" s="57"/>
      <c r="CRC23" s="57"/>
      <c r="CRD23" s="57"/>
      <c r="CRE23" s="57"/>
      <c r="CRF23" s="57"/>
      <c r="CRG23" s="57"/>
      <c r="CRH23" s="57"/>
      <c r="CRI23" s="57"/>
      <c r="CRJ23" s="57"/>
      <c r="CRK23" s="57"/>
      <c r="CRL23" s="57"/>
      <c r="CRM23" s="57"/>
      <c r="CRN23" s="57"/>
      <c r="CRO23" s="57"/>
      <c r="CRP23" s="57"/>
      <c r="CRQ23" s="57"/>
      <c r="CRR23" s="57"/>
      <c r="CRS23" s="57"/>
      <c r="CRT23" s="57"/>
      <c r="CRU23" s="57"/>
      <c r="CRV23" s="57"/>
      <c r="CRW23" s="57"/>
      <c r="CRX23" s="57"/>
      <c r="CRY23" s="57"/>
      <c r="CRZ23" s="57"/>
      <c r="CSA23" s="57"/>
      <c r="CSB23" s="57"/>
      <c r="CSC23" s="57"/>
      <c r="CSD23" s="57"/>
      <c r="CSE23" s="57"/>
      <c r="CSF23" s="57"/>
      <c r="CSG23" s="57"/>
      <c r="CSH23" s="57"/>
      <c r="CSI23" s="57"/>
      <c r="CSJ23" s="57"/>
      <c r="CSK23" s="57"/>
      <c r="CSL23" s="57"/>
      <c r="CSM23" s="57"/>
      <c r="CSN23" s="57"/>
      <c r="CSO23" s="57"/>
      <c r="CSP23" s="57"/>
      <c r="CSQ23" s="57"/>
      <c r="CSR23" s="57"/>
      <c r="CSS23" s="57"/>
      <c r="CST23" s="57"/>
      <c r="CSU23" s="57"/>
      <c r="CSV23" s="57"/>
      <c r="CSW23" s="57"/>
      <c r="CSX23" s="57"/>
      <c r="CSY23" s="57"/>
      <c r="CSZ23" s="57"/>
      <c r="CTA23" s="57"/>
      <c r="CTB23" s="57"/>
      <c r="CTC23" s="57"/>
      <c r="CTD23" s="57"/>
      <c r="CTE23" s="57"/>
      <c r="CTF23" s="57"/>
      <c r="CTG23" s="57"/>
      <c r="CTH23" s="57"/>
      <c r="CTI23" s="57"/>
      <c r="CTJ23" s="57"/>
      <c r="CTK23" s="57"/>
      <c r="CTL23" s="57"/>
      <c r="CTM23" s="57"/>
      <c r="CTN23" s="57"/>
      <c r="CTO23" s="57"/>
      <c r="CTP23" s="57"/>
      <c r="CTQ23" s="57"/>
      <c r="CTR23" s="57"/>
      <c r="CTS23" s="57"/>
      <c r="CTT23" s="57"/>
      <c r="CTU23" s="57"/>
      <c r="CTV23" s="57"/>
      <c r="CTW23" s="57"/>
      <c r="CTX23" s="57"/>
      <c r="CTY23" s="57"/>
      <c r="CTZ23" s="57"/>
      <c r="CUA23" s="57"/>
      <c r="CUB23" s="57"/>
      <c r="CUC23" s="57"/>
      <c r="CUD23" s="57"/>
      <c r="CUE23" s="57"/>
      <c r="CUF23" s="57"/>
      <c r="CUG23" s="57"/>
      <c r="CUH23" s="57"/>
      <c r="CUI23" s="57"/>
      <c r="CUJ23" s="57"/>
      <c r="CUK23" s="57"/>
      <c r="CUL23" s="57"/>
      <c r="CUM23" s="57"/>
      <c r="CUN23" s="57"/>
      <c r="CUO23" s="57"/>
      <c r="CUP23" s="57"/>
      <c r="CUQ23" s="57"/>
      <c r="CUR23" s="57"/>
      <c r="CUS23" s="57"/>
      <c r="CUT23" s="57"/>
      <c r="CUU23" s="57"/>
      <c r="CUV23" s="57"/>
      <c r="CUW23" s="57"/>
      <c r="CUX23" s="57"/>
      <c r="CUY23" s="57"/>
      <c r="CUZ23" s="57"/>
      <c r="CVA23" s="57"/>
      <c r="CVB23" s="57"/>
      <c r="CVC23" s="57"/>
      <c r="CVD23" s="57"/>
      <c r="CVE23" s="57"/>
      <c r="CVF23" s="57"/>
      <c r="CVG23" s="57"/>
      <c r="CVH23" s="57"/>
      <c r="CVI23" s="57"/>
      <c r="CVJ23" s="57"/>
      <c r="CVK23" s="57"/>
      <c r="CVL23" s="57"/>
      <c r="CVM23" s="57"/>
      <c r="CVN23" s="57"/>
      <c r="CVO23" s="57"/>
      <c r="CVP23" s="57"/>
      <c r="CVQ23" s="57"/>
      <c r="CVR23" s="57"/>
      <c r="CVS23" s="57"/>
      <c r="CVT23" s="57"/>
      <c r="CVU23" s="57"/>
      <c r="CVV23" s="57"/>
      <c r="CVW23" s="57"/>
      <c r="CVX23" s="57"/>
      <c r="CVY23" s="57"/>
      <c r="CVZ23" s="57"/>
      <c r="CWA23" s="57"/>
      <c r="CWB23" s="57"/>
      <c r="CWC23" s="57"/>
      <c r="CWD23" s="57"/>
      <c r="CWE23" s="57"/>
      <c r="CWF23" s="57"/>
      <c r="CWG23" s="57"/>
      <c r="CWH23" s="57"/>
      <c r="CWI23" s="57"/>
      <c r="CWJ23" s="57"/>
      <c r="CWK23" s="57"/>
      <c r="CWL23" s="57"/>
      <c r="CWM23" s="57"/>
      <c r="CWN23" s="57"/>
      <c r="CWO23" s="57"/>
      <c r="CWP23" s="57"/>
      <c r="CWQ23" s="57"/>
      <c r="CWR23" s="57"/>
      <c r="CWS23" s="57"/>
      <c r="CWT23" s="57"/>
      <c r="CWU23" s="57"/>
      <c r="CWV23" s="57"/>
      <c r="CWW23" s="57"/>
      <c r="CWX23" s="57"/>
      <c r="CWY23" s="57"/>
      <c r="CWZ23" s="57"/>
      <c r="CXA23" s="57"/>
      <c r="CXB23" s="57"/>
      <c r="CXC23" s="57"/>
      <c r="CXD23" s="57"/>
      <c r="CXE23" s="57"/>
      <c r="CXF23" s="57"/>
      <c r="CXG23" s="57"/>
      <c r="CXH23" s="57"/>
      <c r="CXI23" s="57"/>
      <c r="CXJ23" s="57"/>
      <c r="CXK23" s="57"/>
      <c r="CXL23" s="57"/>
      <c r="CXM23" s="57"/>
      <c r="CXN23" s="57"/>
      <c r="CXO23" s="57"/>
      <c r="CXP23" s="57"/>
      <c r="CXQ23" s="57"/>
      <c r="CXR23" s="57"/>
      <c r="CXS23" s="57"/>
      <c r="CXT23" s="57"/>
      <c r="CXU23" s="57"/>
      <c r="CXV23" s="57"/>
      <c r="CXW23" s="57"/>
      <c r="CXX23" s="57"/>
      <c r="CXY23" s="57"/>
      <c r="CXZ23" s="57"/>
      <c r="CYA23" s="57"/>
      <c r="CYB23" s="57"/>
      <c r="CYC23" s="57"/>
      <c r="CYD23" s="57"/>
      <c r="CYE23" s="57"/>
      <c r="CYF23" s="57"/>
      <c r="CYG23" s="57"/>
      <c r="CYH23" s="57"/>
      <c r="CYI23" s="57"/>
      <c r="CYJ23" s="57"/>
      <c r="CYK23" s="57"/>
      <c r="CYL23" s="57"/>
      <c r="CYM23" s="57"/>
      <c r="CYN23" s="57"/>
      <c r="CYO23" s="57"/>
      <c r="CYP23" s="57"/>
      <c r="CYQ23" s="57"/>
      <c r="CYR23" s="57"/>
      <c r="CYS23" s="57"/>
      <c r="CYT23" s="57"/>
      <c r="CYU23" s="57"/>
      <c r="CYV23" s="57"/>
      <c r="CYW23" s="57"/>
      <c r="CYX23" s="57"/>
      <c r="CYY23" s="57"/>
      <c r="CYZ23" s="57"/>
      <c r="CZA23" s="57"/>
      <c r="CZB23" s="57"/>
      <c r="CZC23" s="57"/>
      <c r="CZD23" s="57"/>
      <c r="CZE23" s="57"/>
      <c r="CZF23" s="57"/>
      <c r="CZG23" s="57"/>
      <c r="CZH23" s="57"/>
      <c r="CZI23" s="57"/>
      <c r="CZJ23" s="57"/>
      <c r="CZK23" s="57"/>
      <c r="CZL23" s="57"/>
      <c r="CZM23" s="57"/>
      <c r="CZN23" s="57"/>
      <c r="CZO23" s="57"/>
      <c r="CZP23" s="57"/>
      <c r="CZQ23" s="57"/>
      <c r="CZR23" s="57"/>
      <c r="CZS23" s="57"/>
      <c r="CZT23" s="57"/>
      <c r="CZU23" s="57"/>
      <c r="CZV23" s="57"/>
      <c r="CZW23" s="57"/>
      <c r="CZX23" s="57"/>
      <c r="CZY23" s="57"/>
      <c r="CZZ23" s="57"/>
      <c r="DAA23" s="57"/>
      <c r="DAB23" s="57"/>
      <c r="DAC23" s="57"/>
      <c r="DAD23" s="57"/>
      <c r="DAE23" s="57"/>
      <c r="DAF23" s="57"/>
      <c r="DAG23" s="57"/>
      <c r="DAH23" s="57"/>
      <c r="DAI23" s="57"/>
      <c r="DAJ23" s="57"/>
      <c r="DAK23" s="57"/>
      <c r="DAL23" s="57"/>
      <c r="DAM23" s="57"/>
      <c r="DAN23" s="57"/>
      <c r="DAO23" s="57"/>
      <c r="DAP23" s="57"/>
      <c r="DAQ23" s="57"/>
      <c r="DAR23" s="57"/>
      <c r="DAS23" s="57"/>
      <c r="DAT23" s="57"/>
      <c r="DAU23" s="57"/>
      <c r="DAV23" s="57"/>
      <c r="DAW23" s="57"/>
      <c r="DAX23" s="57"/>
      <c r="DAY23" s="57"/>
      <c r="DAZ23" s="57"/>
      <c r="DBA23" s="57"/>
      <c r="DBB23" s="57"/>
      <c r="DBC23" s="57"/>
      <c r="DBD23" s="57"/>
      <c r="DBE23" s="57"/>
      <c r="DBF23" s="57"/>
      <c r="DBG23" s="57"/>
      <c r="DBH23" s="57"/>
      <c r="DBI23" s="57"/>
      <c r="DBJ23" s="57"/>
      <c r="DBK23" s="57"/>
      <c r="DBL23" s="57"/>
      <c r="DBM23" s="57"/>
      <c r="DBN23" s="57"/>
      <c r="DBO23" s="57"/>
      <c r="DBP23" s="57"/>
      <c r="DBQ23" s="57"/>
      <c r="DBR23" s="57"/>
      <c r="DBS23" s="57"/>
      <c r="DBT23" s="57"/>
      <c r="DBU23" s="57"/>
      <c r="DBV23" s="57"/>
      <c r="DBW23" s="57"/>
      <c r="DBX23" s="57"/>
      <c r="DBY23" s="57"/>
      <c r="DBZ23" s="57"/>
      <c r="DCA23" s="57"/>
      <c r="DCB23" s="57"/>
      <c r="DCC23" s="57"/>
      <c r="DCD23" s="57"/>
      <c r="DCE23" s="57"/>
      <c r="DCF23" s="57"/>
      <c r="DCG23" s="57"/>
      <c r="DCH23" s="57"/>
      <c r="DCI23" s="57"/>
      <c r="DCJ23" s="57"/>
      <c r="DCK23" s="57"/>
      <c r="DCL23" s="57"/>
      <c r="DCM23" s="57"/>
      <c r="DCN23" s="57"/>
      <c r="DCO23" s="57"/>
      <c r="DCP23" s="57"/>
      <c r="DCQ23" s="57"/>
      <c r="DCR23" s="57"/>
      <c r="DCS23" s="57"/>
      <c r="DCT23" s="57"/>
      <c r="DCU23" s="57"/>
      <c r="DCV23" s="57"/>
      <c r="DCW23" s="57"/>
      <c r="DCX23" s="57"/>
      <c r="DCY23" s="57"/>
      <c r="DCZ23" s="57"/>
      <c r="DDA23" s="57"/>
      <c r="DDB23" s="57"/>
      <c r="DDC23" s="57"/>
      <c r="DDD23" s="57"/>
      <c r="DDE23" s="57"/>
      <c r="DDF23" s="57"/>
      <c r="DDG23" s="57"/>
      <c r="DDH23" s="57"/>
      <c r="DDI23" s="57"/>
      <c r="DDJ23" s="57"/>
      <c r="DDK23" s="57"/>
      <c r="DDL23" s="57"/>
      <c r="DDM23" s="57"/>
      <c r="DDN23" s="57"/>
      <c r="DDO23" s="57"/>
      <c r="DDP23" s="57"/>
      <c r="DDQ23" s="57"/>
      <c r="DDR23" s="57"/>
      <c r="DDS23" s="57"/>
      <c r="DDT23" s="57"/>
      <c r="DDU23" s="57"/>
      <c r="DDV23" s="57"/>
      <c r="DDW23" s="57"/>
      <c r="DDX23" s="57"/>
      <c r="DDY23" s="57"/>
      <c r="DDZ23" s="57"/>
      <c r="DEA23" s="57"/>
      <c r="DEB23" s="57"/>
      <c r="DEC23" s="57"/>
      <c r="DED23" s="57"/>
      <c r="DEE23" s="57"/>
      <c r="DEF23" s="57"/>
      <c r="DEG23" s="57"/>
      <c r="DEH23" s="57"/>
      <c r="DEI23" s="57"/>
      <c r="DEJ23" s="57"/>
      <c r="DEK23" s="57"/>
      <c r="DEL23" s="57"/>
      <c r="DEM23" s="57"/>
      <c r="DEN23" s="57"/>
      <c r="DEO23" s="57"/>
      <c r="DEP23" s="57"/>
      <c r="DEQ23" s="57"/>
      <c r="DER23" s="57"/>
      <c r="DES23" s="57"/>
      <c r="DET23" s="57"/>
      <c r="DEU23" s="57"/>
      <c r="DEV23" s="57"/>
      <c r="DEW23" s="57"/>
      <c r="DEX23" s="57"/>
      <c r="DEY23" s="57"/>
      <c r="DEZ23" s="57"/>
      <c r="DFA23" s="57"/>
      <c r="DFB23" s="57"/>
      <c r="DFC23" s="57"/>
      <c r="DFD23" s="57"/>
      <c r="DFE23" s="57"/>
      <c r="DFF23" s="57"/>
      <c r="DFG23" s="57"/>
      <c r="DFH23" s="57"/>
      <c r="DFI23" s="57"/>
      <c r="DFJ23" s="57"/>
      <c r="DFK23" s="57"/>
      <c r="DFL23" s="57"/>
      <c r="DFM23" s="57"/>
      <c r="DFN23" s="57"/>
      <c r="DFO23" s="57"/>
      <c r="DFP23" s="57"/>
      <c r="DFQ23" s="57"/>
      <c r="DFR23" s="57"/>
      <c r="DFS23" s="57"/>
      <c r="DFT23" s="57"/>
      <c r="DFU23" s="57"/>
      <c r="DFV23" s="57"/>
      <c r="DFW23" s="57"/>
      <c r="DFX23" s="57"/>
      <c r="DFY23" s="57"/>
      <c r="DFZ23" s="57"/>
      <c r="DGA23" s="57"/>
      <c r="DGB23" s="57"/>
      <c r="DGC23" s="57"/>
      <c r="DGD23" s="57"/>
      <c r="DGE23" s="57"/>
      <c r="DGF23" s="57"/>
      <c r="DGG23" s="57"/>
      <c r="DGH23" s="57"/>
      <c r="DGI23" s="57"/>
      <c r="DGJ23" s="57"/>
      <c r="DGK23" s="57"/>
      <c r="DGL23" s="57"/>
      <c r="DGM23" s="57"/>
      <c r="DGN23" s="57"/>
      <c r="DGO23" s="57"/>
      <c r="DGP23" s="57"/>
      <c r="DGQ23" s="57"/>
      <c r="DGR23" s="57"/>
      <c r="DGS23" s="57"/>
      <c r="DGT23" s="57"/>
      <c r="DGU23" s="57"/>
      <c r="DGV23" s="57"/>
      <c r="DGW23" s="57"/>
      <c r="DGX23" s="57"/>
      <c r="DGY23" s="57"/>
      <c r="DGZ23" s="57"/>
      <c r="DHA23" s="57"/>
      <c r="DHB23" s="57"/>
      <c r="DHC23" s="57"/>
      <c r="DHD23" s="57"/>
      <c r="DHE23" s="57"/>
      <c r="DHF23" s="57"/>
      <c r="DHG23" s="57"/>
      <c r="DHH23" s="57"/>
      <c r="DHI23" s="57"/>
      <c r="DHJ23" s="57"/>
      <c r="DHK23" s="57"/>
      <c r="DHL23" s="57"/>
      <c r="DHM23" s="57"/>
      <c r="DHN23" s="57"/>
      <c r="DHO23" s="57"/>
      <c r="DHP23" s="57"/>
      <c r="DHQ23" s="57"/>
      <c r="DHR23" s="57"/>
      <c r="DHS23" s="57"/>
      <c r="DHT23" s="57"/>
      <c r="DHU23" s="57"/>
      <c r="DHV23" s="57"/>
      <c r="DHW23" s="57"/>
      <c r="DHX23" s="57"/>
      <c r="DHY23" s="57"/>
      <c r="DHZ23" s="57"/>
      <c r="DIA23" s="57"/>
      <c r="DIB23" s="57"/>
      <c r="DIC23" s="57"/>
      <c r="DID23" s="57"/>
      <c r="DIE23" s="57"/>
      <c r="DIF23" s="57"/>
      <c r="DIG23" s="57"/>
      <c r="DIH23" s="57"/>
      <c r="DII23" s="57"/>
      <c r="DIJ23" s="57"/>
      <c r="DIK23" s="57"/>
      <c r="DIL23" s="57"/>
      <c r="DIM23" s="57"/>
      <c r="DIN23" s="57"/>
      <c r="DIO23" s="57"/>
      <c r="DIP23" s="57"/>
      <c r="DIQ23" s="57"/>
      <c r="DIR23" s="57"/>
      <c r="DIS23" s="57"/>
      <c r="DIT23" s="57"/>
      <c r="DIU23" s="57"/>
      <c r="DIV23" s="57"/>
      <c r="DIW23" s="57"/>
      <c r="DIX23" s="57"/>
      <c r="DIY23" s="57"/>
      <c r="DIZ23" s="57"/>
      <c r="DJA23" s="57"/>
      <c r="DJB23" s="57"/>
      <c r="DJC23" s="57"/>
      <c r="DJD23" s="57"/>
      <c r="DJE23" s="57"/>
      <c r="DJF23" s="57"/>
      <c r="DJG23" s="57"/>
      <c r="DJH23" s="57"/>
      <c r="DJI23" s="57"/>
      <c r="DJJ23" s="57"/>
      <c r="DJK23" s="57"/>
      <c r="DJL23" s="57"/>
      <c r="DJM23" s="57"/>
      <c r="DJN23" s="57"/>
      <c r="DJO23" s="57"/>
      <c r="DJP23" s="57"/>
      <c r="DJQ23" s="57"/>
      <c r="DJR23" s="57"/>
      <c r="DJS23" s="57"/>
      <c r="DJT23" s="57"/>
      <c r="DJU23" s="57"/>
      <c r="DJV23" s="57"/>
      <c r="DJW23" s="57"/>
      <c r="DJX23" s="57"/>
      <c r="DJY23" s="57"/>
      <c r="DJZ23" s="57"/>
      <c r="DKA23" s="57"/>
      <c r="DKB23" s="57"/>
      <c r="DKC23" s="57"/>
      <c r="DKD23" s="57"/>
      <c r="DKE23" s="57"/>
      <c r="DKF23" s="57"/>
      <c r="DKG23" s="57"/>
      <c r="DKH23" s="57"/>
      <c r="DKI23" s="57"/>
      <c r="DKJ23" s="57"/>
      <c r="DKK23" s="57"/>
      <c r="DKL23" s="57"/>
      <c r="DKM23" s="57"/>
      <c r="DKN23" s="57"/>
      <c r="DKO23" s="57"/>
      <c r="DKP23" s="57"/>
      <c r="DKQ23" s="57"/>
      <c r="DKR23" s="57"/>
      <c r="DKS23" s="57"/>
      <c r="DKT23" s="57"/>
      <c r="DKU23" s="57"/>
      <c r="DKV23" s="57"/>
      <c r="DKW23" s="57"/>
      <c r="DKX23" s="57"/>
      <c r="DKY23" s="57"/>
      <c r="DKZ23" s="57"/>
      <c r="DLA23" s="57"/>
      <c r="DLB23" s="57"/>
      <c r="DLC23" s="57"/>
      <c r="DLD23" s="57"/>
      <c r="DLE23" s="57"/>
      <c r="DLF23" s="57"/>
      <c r="DLG23" s="57"/>
      <c r="DLH23" s="57"/>
      <c r="DLI23" s="57"/>
      <c r="DLJ23" s="57"/>
      <c r="DLK23" s="57"/>
      <c r="DLL23" s="57"/>
      <c r="DLM23" s="57"/>
      <c r="DLN23" s="57"/>
      <c r="DLO23" s="57"/>
      <c r="DLP23" s="57"/>
      <c r="DLQ23" s="57"/>
      <c r="DLR23" s="57"/>
      <c r="DLS23" s="57"/>
      <c r="DLT23" s="57"/>
      <c r="DLU23" s="57"/>
      <c r="DLV23" s="57"/>
      <c r="DLW23" s="57"/>
      <c r="DLX23" s="57"/>
      <c r="DLY23" s="57"/>
      <c r="DLZ23" s="57"/>
      <c r="DMA23" s="57"/>
      <c r="DMB23" s="57"/>
      <c r="DMC23" s="57"/>
      <c r="DMD23" s="57"/>
      <c r="DME23" s="57"/>
      <c r="DMF23" s="57"/>
      <c r="DMG23" s="57"/>
      <c r="DMH23" s="57"/>
      <c r="DMI23" s="57"/>
      <c r="DMJ23" s="57"/>
      <c r="DMK23" s="57"/>
      <c r="DML23" s="57"/>
      <c r="DMM23" s="57"/>
      <c r="DMN23" s="57"/>
      <c r="DMO23" s="57"/>
      <c r="DMP23" s="57"/>
      <c r="DMQ23" s="57"/>
      <c r="DMR23" s="57"/>
      <c r="DMS23" s="57"/>
      <c r="DMT23" s="57"/>
      <c r="DMU23" s="57"/>
      <c r="DMV23" s="57"/>
      <c r="DMW23" s="57"/>
      <c r="DMX23" s="57"/>
      <c r="DMY23" s="57"/>
      <c r="DMZ23" s="57"/>
      <c r="DNA23" s="57"/>
      <c r="DNB23" s="57"/>
      <c r="DNC23" s="57"/>
      <c r="DND23" s="57"/>
      <c r="DNE23" s="57"/>
      <c r="DNF23" s="57"/>
      <c r="DNG23" s="57"/>
      <c r="DNH23" s="57"/>
      <c r="DNI23" s="57"/>
      <c r="DNJ23" s="57"/>
      <c r="DNK23" s="57"/>
      <c r="DNL23" s="57"/>
      <c r="DNM23" s="57"/>
      <c r="DNN23" s="57"/>
      <c r="DNO23" s="57"/>
      <c r="DNP23" s="57"/>
      <c r="DNQ23" s="57"/>
      <c r="DNR23" s="57"/>
      <c r="DNS23" s="57"/>
      <c r="DNT23" s="57"/>
      <c r="DNU23" s="57"/>
      <c r="DNV23" s="57"/>
      <c r="DNW23" s="57"/>
      <c r="DNX23" s="57"/>
      <c r="DNY23" s="57"/>
      <c r="DNZ23" s="57"/>
      <c r="DOA23" s="57"/>
      <c r="DOB23" s="57"/>
      <c r="DOC23" s="57"/>
      <c r="DOD23" s="57"/>
      <c r="DOE23" s="57"/>
      <c r="DOF23" s="57"/>
      <c r="DOG23" s="57"/>
      <c r="DOH23" s="57"/>
      <c r="DOI23" s="57"/>
      <c r="DOJ23" s="57"/>
      <c r="DOK23" s="57"/>
      <c r="DOL23" s="57"/>
      <c r="DOM23" s="57"/>
      <c r="DON23" s="57"/>
      <c r="DOO23" s="57"/>
      <c r="DOP23" s="57"/>
      <c r="DOQ23" s="57"/>
      <c r="DOR23" s="57"/>
      <c r="DOS23" s="57"/>
      <c r="DOT23" s="57"/>
      <c r="DOU23" s="57"/>
      <c r="DOV23" s="57"/>
      <c r="DOW23" s="57"/>
      <c r="DOX23" s="57"/>
      <c r="DOY23" s="57"/>
      <c r="DOZ23" s="57"/>
      <c r="DPA23" s="57"/>
      <c r="DPB23" s="57"/>
      <c r="DPC23" s="57"/>
      <c r="DPD23" s="57"/>
      <c r="DPE23" s="57"/>
      <c r="DPF23" s="57"/>
      <c r="DPG23" s="57"/>
      <c r="DPH23" s="57"/>
      <c r="DPI23" s="57"/>
      <c r="DPJ23" s="57"/>
      <c r="DPK23" s="57"/>
      <c r="DPL23" s="57"/>
      <c r="DPM23" s="57"/>
      <c r="DPN23" s="57"/>
      <c r="DPO23" s="57"/>
      <c r="DPP23" s="57"/>
      <c r="DPQ23" s="57"/>
      <c r="DPR23" s="57"/>
      <c r="DPS23" s="57"/>
      <c r="DPT23" s="57"/>
      <c r="DPU23" s="57"/>
      <c r="DPV23" s="57"/>
      <c r="DPW23" s="57"/>
      <c r="DPX23" s="57"/>
      <c r="DPY23" s="57"/>
      <c r="DPZ23" s="57"/>
      <c r="DQA23" s="57"/>
      <c r="DQB23" s="57"/>
      <c r="DQC23" s="57"/>
      <c r="DQD23" s="57"/>
      <c r="DQE23" s="57"/>
      <c r="DQF23" s="57"/>
      <c r="DQG23" s="57"/>
      <c r="DQH23" s="57"/>
      <c r="DQI23" s="57"/>
      <c r="DQJ23" s="57"/>
      <c r="DQK23" s="57"/>
      <c r="DQL23" s="57"/>
      <c r="DQM23" s="57"/>
      <c r="DQN23" s="57"/>
      <c r="DQO23" s="57"/>
      <c r="DQP23" s="57"/>
      <c r="DQQ23" s="57"/>
      <c r="DQR23" s="57"/>
      <c r="DQS23" s="57"/>
      <c r="DQT23" s="57"/>
      <c r="DQU23" s="57"/>
      <c r="DQV23" s="57"/>
      <c r="DQW23" s="57"/>
      <c r="DQX23" s="57"/>
      <c r="DQY23" s="57"/>
      <c r="DQZ23" s="57"/>
      <c r="DRA23" s="57"/>
      <c r="DRB23" s="57"/>
      <c r="DRC23" s="57"/>
      <c r="DRD23" s="57"/>
      <c r="DRE23" s="57"/>
      <c r="DRF23" s="57"/>
      <c r="DRG23" s="57"/>
      <c r="DRH23" s="57"/>
      <c r="DRI23" s="57"/>
      <c r="DRJ23" s="57"/>
      <c r="DRK23" s="57"/>
      <c r="DRL23" s="57"/>
      <c r="DRM23" s="57"/>
      <c r="DRN23" s="57"/>
      <c r="DRO23" s="57"/>
      <c r="DRP23" s="57"/>
      <c r="DRQ23" s="57"/>
      <c r="DRR23" s="57"/>
      <c r="DRS23" s="57"/>
      <c r="DRT23" s="57"/>
      <c r="DRU23" s="57"/>
      <c r="DRV23" s="57"/>
      <c r="DRW23" s="57"/>
      <c r="DRX23" s="57"/>
      <c r="DRY23" s="57"/>
      <c r="DRZ23" s="57"/>
      <c r="DSA23" s="57"/>
      <c r="DSB23" s="57"/>
      <c r="DSC23" s="57"/>
      <c r="DSD23" s="57"/>
      <c r="DSE23" s="57"/>
      <c r="DSF23" s="57"/>
      <c r="DSG23" s="57"/>
      <c r="DSH23" s="57"/>
      <c r="DSI23" s="57"/>
      <c r="DSJ23" s="57"/>
      <c r="DSK23" s="57"/>
      <c r="DSL23" s="57"/>
      <c r="DSM23" s="57"/>
      <c r="DSN23" s="57"/>
      <c r="DSO23" s="57"/>
      <c r="DSP23" s="57"/>
      <c r="DSQ23" s="57"/>
      <c r="DSR23" s="57"/>
      <c r="DSS23" s="57"/>
      <c r="DST23" s="57"/>
      <c r="DSU23" s="57"/>
      <c r="DSV23" s="57"/>
      <c r="DSW23" s="57"/>
      <c r="DSX23" s="57"/>
      <c r="DSY23" s="57"/>
      <c r="DSZ23" s="57"/>
      <c r="DTA23" s="57"/>
      <c r="DTB23" s="57"/>
      <c r="DTC23" s="57"/>
      <c r="DTD23" s="57"/>
      <c r="DTE23" s="57"/>
      <c r="DTF23" s="57"/>
      <c r="DTG23" s="57"/>
      <c r="DTH23" s="57"/>
      <c r="DTI23" s="57"/>
      <c r="DTJ23" s="57"/>
      <c r="DTK23" s="57"/>
      <c r="DTL23" s="57"/>
      <c r="DTM23" s="57"/>
      <c r="DTN23" s="57"/>
      <c r="DTO23" s="57"/>
      <c r="DTP23" s="57"/>
      <c r="DTQ23" s="57"/>
      <c r="DTR23" s="57"/>
      <c r="DTS23" s="57"/>
      <c r="DTT23" s="57"/>
      <c r="DTU23" s="57"/>
      <c r="DTV23" s="57"/>
      <c r="DTW23" s="57"/>
      <c r="DTX23" s="57"/>
      <c r="DTY23" s="57"/>
      <c r="DTZ23" s="57"/>
      <c r="DUA23" s="57"/>
      <c r="DUB23" s="57"/>
      <c r="DUC23" s="57"/>
      <c r="DUD23" s="57"/>
      <c r="DUE23" s="57"/>
      <c r="DUF23" s="57"/>
      <c r="DUG23" s="57"/>
      <c r="DUH23" s="57"/>
      <c r="DUI23" s="57"/>
      <c r="DUJ23" s="57"/>
      <c r="DUK23" s="57"/>
      <c r="DUL23" s="57"/>
      <c r="DUM23" s="57"/>
      <c r="DUN23" s="57"/>
      <c r="DUO23" s="57"/>
      <c r="DUP23" s="57"/>
      <c r="DUQ23" s="57"/>
      <c r="DUR23" s="57"/>
      <c r="DUS23" s="57"/>
      <c r="DUT23" s="57"/>
      <c r="DUU23" s="57"/>
      <c r="DUV23" s="57"/>
      <c r="DUW23" s="57"/>
      <c r="DUX23" s="57"/>
      <c r="DUY23" s="57"/>
      <c r="DUZ23" s="57"/>
      <c r="DVA23" s="57"/>
      <c r="DVB23" s="57"/>
      <c r="DVC23" s="57"/>
      <c r="DVD23" s="57"/>
      <c r="DVE23" s="57"/>
      <c r="DVF23" s="57"/>
      <c r="DVG23" s="57"/>
      <c r="DVH23" s="57"/>
      <c r="DVI23" s="57"/>
      <c r="DVJ23" s="57"/>
      <c r="DVK23" s="57"/>
      <c r="DVL23" s="57"/>
      <c r="DVM23" s="57"/>
      <c r="DVN23" s="57"/>
      <c r="DVO23" s="57"/>
      <c r="DVP23" s="57"/>
      <c r="DVQ23" s="57"/>
      <c r="DVR23" s="57"/>
      <c r="DVS23" s="57"/>
      <c r="DVT23" s="57"/>
      <c r="DVU23" s="57"/>
      <c r="DVV23" s="57"/>
      <c r="DVW23" s="57"/>
      <c r="DVX23" s="57"/>
      <c r="DVY23" s="57"/>
      <c r="DVZ23" s="57"/>
      <c r="DWA23" s="57"/>
      <c r="DWB23" s="57"/>
      <c r="DWC23" s="57"/>
      <c r="DWD23" s="57"/>
      <c r="DWE23" s="57"/>
      <c r="DWF23" s="57"/>
      <c r="DWG23" s="57"/>
      <c r="DWH23" s="57"/>
      <c r="DWI23" s="57"/>
      <c r="DWJ23" s="57"/>
      <c r="DWK23" s="57"/>
      <c r="DWL23" s="57"/>
      <c r="DWM23" s="57"/>
      <c r="DWN23" s="57"/>
      <c r="DWO23" s="57"/>
      <c r="DWP23" s="57"/>
      <c r="DWQ23" s="57"/>
      <c r="DWR23" s="57"/>
      <c r="DWS23" s="57"/>
      <c r="DWT23" s="57"/>
      <c r="DWU23" s="57"/>
      <c r="DWV23" s="57"/>
      <c r="DWW23" s="57"/>
      <c r="DWX23" s="57"/>
      <c r="DWY23" s="57"/>
      <c r="DWZ23" s="57"/>
      <c r="DXA23" s="57"/>
      <c r="DXB23" s="57"/>
      <c r="DXC23" s="57"/>
      <c r="DXD23" s="57"/>
      <c r="DXE23" s="57"/>
      <c r="DXF23" s="57"/>
      <c r="DXG23" s="57"/>
      <c r="DXH23" s="57"/>
      <c r="DXI23" s="57"/>
      <c r="DXJ23" s="57"/>
      <c r="DXK23" s="57"/>
      <c r="DXL23" s="57"/>
      <c r="DXM23" s="57"/>
      <c r="DXN23" s="57"/>
      <c r="DXO23" s="57"/>
      <c r="DXP23" s="57"/>
      <c r="DXQ23" s="57"/>
      <c r="DXR23" s="57"/>
      <c r="DXS23" s="57"/>
      <c r="DXT23" s="57"/>
      <c r="DXU23" s="57"/>
      <c r="DXV23" s="57"/>
      <c r="DXW23" s="57"/>
      <c r="DXX23" s="57"/>
      <c r="DXY23" s="57"/>
      <c r="DXZ23" s="57"/>
      <c r="DYA23" s="57"/>
      <c r="DYB23" s="57"/>
      <c r="DYC23" s="57"/>
      <c r="DYD23" s="57"/>
      <c r="DYE23" s="57"/>
      <c r="DYF23" s="57"/>
      <c r="DYG23" s="57"/>
      <c r="DYH23" s="57"/>
      <c r="DYI23" s="57"/>
      <c r="DYJ23" s="57"/>
      <c r="DYK23" s="57"/>
      <c r="DYL23" s="57"/>
      <c r="DYM23" s="57"/>
      <c r="DYN23" s="57"/>
      <c r="DYO23" s="57"/>
      <c r="DYP23" s="57"/>
      <c r="DYQ23" s="57"/>
      <c r="DYR23" s="57"/>
      <c r="DYS23" s="57"/>
      <c r="DYT23" s="57"/>
      <c r="DYU23" s="57"/>
      <c r="DYV23" s="57"/>
      <c r="DYW23" s="57"/>
      <c r="DYX23" s="57"/>
      <c r="DYY23" s="57"/>
      <c r="DYZ23" s="57"/>
      <c r="DZA23" s="57"/>
      <c r="DZB23" s="57"/>
      <c r="DZC23" s="57"/>
      <c r="DZD23" s="57"/>
      <c r="DZE23" s="57"/>
      <c r="DZF23" s="57"/>
      <c r="DZG23" s="57"/>
      <c r="DZH23" s="57"/>
      <c r="DZI23" s="57"/>
      <c r="DZJ23" s="57"/>
      <c r="DZK23" s="57"/>
      <c r="DZL23" s="57"/>
      <c r="DZM23" s="57"/>
      <c r="DZN23" s="57"/>
      <c r="DZO23" s="57"/>
      <c r="DZP23" s="57"/>
      <c r="DZQ23" s="57"/>
      <c r="DZR23" s="57"/>
      <c r="DZS23" s="57"/>
      <c r="DZT23" s="57"/>
      <c r="DZU23" s="57"/>
      <c r="DZV23" s="57"/>
      <c r="DZW23" s="57"/>
      <c r="DZX23" s="57"/>
      <c r="DZY23" s="57"/>
      <c r="DZZ23" s="57"/>
      <c r="EAA23" s="57"/>
      <c r="EAB23" s="57"/>
      <c r="EAC23" s="57"/>
      <c r="EAD23" s="57"/>
      <c r="EAE23" s="57"/>
      <c r="EAF23" s="57"/>
      <c r="EAG23" s="57"/>
      <c r="EAH23" s="57"/>
      <c r="EAI23" s="57"/>
      <c r="EAJ23" s="57"/>
      <c r="EAK23" s="57"/>
      <c r="EAL23" s="57"/>
      <c r="EAM23" s="57"/>
      <c r="EAN23" s="57"/>
      <c r="EAO23" s="57"/>
      <c r="EAP23" s="57"/>
      <c r="EAQ23" s="57"/>
      <c r="EAR23" s="57"/>
      <c r="EAS23" s="57"/>
      <c r="EAT23" s="57"/>
      <c r="EAU23" s="57"/>
      <c r="EAV23" s="57"/>
      <c r="EAW23" s="57"/>
      <c r="EAX23" s="57"/>
      <c r="EAY23" s="57"/>
      <c r="EAZ23" s="57"/>
      <c r="EBA23" s="57"/>
      <c r="EBB23" s="57"/>
      <c r="EBC23" s="57"/>
      <c r="EBD23" s="57"/>
      <c r="EBE23" s="57"/>
      <c r="EBF23" s="57"/>
      <c r="EBG23" s="57"/>
      <c r="EBH23" s="57"/>
      <c r="EBI23" s="57"/>
      <c r="EBJ23" s="57"/>
      <c r="EBK23" s="57"/>
      <c r="EBL23" s="57"/>
      <c r="EBM23" s="57"/>
      <c r="EBN23" s="57"/>
      <c r="EBO23" s="57"/>
      <c r="EBP23" s="57"/>
      <c r="EBQ23" s="57"/>
      <c r="EBR23" s="57"/>
      <c r="EBS23" s="57"/>
      <c r="EBT23" s="57"/>
      <c r="EBU23" s="57"/>
      <c r="EBV23" s="57"/>
      <c r="EBW23" s="57"/>
      <c r="EBX23" s="57"/>
      <c r="EBY23" s="57"/>
      <c r="EBZ23" s="57"/>
      <c r="ECA23" s="57"/>
      <c r="ECB23" s="57"/>
      <c r="ECC23" s="57"/>
      <c r="ECD23" s="57"/>
      <c r="ECE23" s="57"/>
      <c r="ECF23" s="57"/>
      <c r="ECG23" s="57"/>
      <c r="ECH23" s="57"/>
      <c r="ECI23" s="57"/>
      <c r="ECJ23" s="57"/>
      <c r="ECK23" s="57"/>
      <c r="ECL23" s="57"/>
      <c r="ECM23" s="57"/>
      <c r="ECN23" s="57"/>
      <c r="ECO23" s="57"/>
      <c r="ECP23" s="57"/>
      <c r="ECQ23" s="57"/>
      <c r="ECR23" s="57"/>
      <c r="ECS23" s="57"/>
      <c r="ECT23" s="57"/>
      <c r="ECU23" s="57"/>
      <c r="ECV23" s="57"/>
      <c r="ECW23" s="57"/>
      <c r="ECX23" s="57"/>
      <c r="ECY23" s="57"/>
      <c r="ECZ23" s="57"/>
      <c r="EDA23" s="57"/>
      <c r="EDB23" s="57"/>
      <c r="EDC23" s="57"/>
      <c r="EDD23" s="57"/>
      <c r="EDE23" s="57"/>
      <c r="EDF23" s="57"/>
      <c r="EDG23" s="57"/>
      <c r="EDH23" s="57"/>
      <c r="EDI23" s="57"/>
      <c r="EDJ23" s="57"/>
      <c r="EDK23" s="57"/>
      <c r="EDL23" s="57"/>
      <c r="EDM23" s="57"/>
      <c r="EDN23" s="57"/>
      <c r="EDO23" s="57"/>
      <c r="EDP23" s="57"/>
      <c r="EDQ23" s="57"/>
      <c r="EDR23" s="57"/>
      <c r="EDS23" s="57"/>
      <c r="EDT23" s="57"/>
      <c r="EDU23" s="57"/>
      <c r="EDV23" s="57"/>
      <c r="EDW23" s="57"/>
      <c r="EDX23" s="57"/>
      <c r="EDY23" s="57"/>
      <c r="EDZ23" s="57"/>
      <c r="EEA23" s="57"/>
      <c r="EEB23" s="57"/>
      <c r="EEC23" s="57"/>
      <c r="EED23" s="57"/>
      <c r="EEE23" s="57"/>
      <c r="EEF23" s="57"/>
      <c r="EEG23" s="57"/>
      <c r="EEH23" s="57"/>
      <c r="EEI23" s="57"/>
      <c r="EEJ23" s="57"/>
      <c r="EEK23" s="57"/>
      <c r="EEL23" s="57"/>
      <c r="EEM23" s="57"/>
      <c r="EEN23" s="57"/>
      <c r="EEO23" s="57"/>
      <c r="EEP23" s="57"/>
      <c r="EEQ23" s="57"/>
      <c r="EER23" s="57"/>
      <c r="EES23" s="57"/>
      <c r="EET23" s="57"/>
      <c r="EEU23" s="57"/>
      <c r="EEV23" s="57"/>
      <c r="EEW23" s="57"/>
      <c r="EEX23" s="57"/>
      <c r="EEY23" s="57"/>
      <c r="EEZ23" s="57"/>
      <c r="EFA23" s="57"/>
      <c r="EFB23" s="57"/>
      <c r="EFC23" s="57"/>
      <c r="EFD23" s="57"/>
      <c r="EFE23" s="57"/>
      <c r="EFF23" s="57"/>
      <c r="EFG23" s="57"/>
      <c r="EFH23" s="57"/>
      <c r="EFI23" s="57"/>
      <c r="EFJ23" s="57"/>
      <c r="EFK23" s="57"/>
      <c r="EFL23" s="57"/>
      <c r="EFM23" s="57"/>
      <c r="EFN23" s="57"/>
      <c r="EFO23" s="57"/>
      <c r="EFP23" s="57"/>
      <c r="EFQ23" s="57"/>
      <c r="EFR23" s="57"/>
      <c r="EFS23" s="57"/>
      <c r="EFT23" s="57"/>
      <c r="EFU23" s="57"/>
      <c r="EFV23" s="57"/>
      <c r="EFW23" s="57"/>
      <c r="EFX23" s="57"/>
      <c r="EFY23" s="57"/>
      <c r="EFZ23" s="57"/>
      <c r="EGA23" s="57"/>
      <c r="EGB23" s="57"/>
      <c r="EGC23" s="57"/>
      <c r="EGD23" s="57"/>
      <c r="EGE23" s="57"/>
      <c r="EGF23" s="57"/>
      <c r="EGG23" s="57"/>
      <c r="EGH23" s="57"/>
      <c r="EGI23" s="57"/>
      <c r="EGJ23" s="57"/>
      <c r="EGK23" s="57"/>
      <c r="EGL23" s="57"/>
      <c r="EGM23" s="57"/>
      <c r="EGN23" s="57"/>
      <c r="EGO23" s="57"/>
      <c r="EGP23" s="57"/>
      <c r="EGQ23" s="57"/>
      <c r="EGR23" s="57"/>
      <c r="EGS23" s="57"/>
      <c r="EGT23" s="57"/>
      <c r="EGU23" s="57"/>
      <c r="EGV23" s="57"/>
      <c r="EGW23" s="57"/>
      <c r="EGX23" s="57"/>
      <c r="EGY23" s="57"/>
      <c r="EGZ23" s="57"/>
      <c r="EHA23" s="57"/>
      <c r="EHB23" s="57"/>
      <c r="EHC23" s="57"/>
      <c r="EHD23" s="57"/>
      <c r="EHE23" s="57"/>
      <c r="EHF23" s="57"/>
      <c r="EHG23" s="57"/>
      <c r="EHH23" s="57"/>
      <c r="EHI23" s="57"/>
      <c r="EHJ23" s="57"/>
      <c r="EHK23" s="57"/>
      <c r="EHL23" s="57"/>
      <c r="EHM23" s="57"/>
      <c r="EHN23" s="57"/>
      <c r="EHO23" s="57"/>
      <c r="EHP23" s="57"/>
      <c r="EHQ23" s="57"/>
      <c r="EHR23" s="57"/>
      <c r="EHS23" s="57"/>
      <c r="EHT23" s="57"/>
      <c r="EHU23" s="57"/>
      <c r="EHV23" s="57"/>
      <c r="EHW23" s="57"/>
      <c r="EHX23" s="57"/>
      <c r="EHY23" s="57"/>
      <c r="EHZ23" s="57"/>
      <c r="EIA23" s="57"/>
      <c r="EIB23" s="57"/>
      <c r="EIC23" s="57"/>
      <c r="EID23" s="57"/>
      <c r="EIE23" s="57"/>
      <c r="EIF23" s="57"/>
      <c r="EIG23" s="57"/>
      <c r="EIH23" s="57"/>
      <c r="EII23" s="57"/>
      <c r="EIJ23" s="57"/>
      <c r="EIK23" s="57"/>
      <c r="EIL23" s="57"/>
      <c r="EIM23" s="57"/>
      <c r="EIN23" s="57"/>
      <c r="EIO23" s="57"/>
      <c r="EIP23" s="57"/>
      <c r="EIQ23" s="57"/>
      <c r="EIR23" s="57"/>
      <c r="EIS23" s="57"/>
      <c r="EIT23" s="57"/>
      <c r="EIU23" s="57"/>
      <c r="EIV23" s="57"/>
      <c r="EIW23" s="57"/>
      <c r="EIX23" s="57"/>
      <c r="EIY23" s="57"/>
      <c r="EIZ23" s="57"/>
      <c r="EJA23" s="57"/>
      <c r="EJB23" s="57"/>
      <c r="EJC23" s="57"/>
      <c r="EJD23" s="57"/>
      <c r="EJE23" s="57"/>
      <c r="EJF23" s="57"/>
      <c r="EJG23" s="57"/>
      <c r="EJH23" s="57"/>
      <c r="EJI23" s="57"/>
      <c r="EJJ23" s="57"/>
      <c r="EJK23" s="57"/>
      <c r="EJL23" s="57"/>
      <c r="EJM23" s="57"/>
      <c r="EJN23" s="57"/>
      <c r="EJO23" s="57"/>
      <c r="EJP23" s="57"/>
      <c r="EJQ23" s="57"/>
      <c r="EJR23" s="57"/>
      <c r="EJS23" s="57"/>
      <c r="EJT23" s="57"/>
      <c r="EJU23" s="57"/>
      <c r="EJV23" s="57"/>
      <c r="EJW23" s="57"/>
      <c r="EJX23" s="57"/>
      <c r="EJY23" s="57"/>
      <c r="EJZ23" s="57"/>
      <c r="EKA23" s="57"/>
      <c r="EKB23" s="57"/>
      <c r="EKC23" s="57"/>
      <c r="EKD23" s="57"/>
      <c r="EKE23" s="57"/>
      <c r="EKF23" s="57"/>
      <c r="EKG23" s="57"/>
      <c r="EKH23" s="57"/>
      <c r="EKI23" s="57"/>
      <c r="EKJ23" s="57"/>
      <c r="EKK23" s="57"/>
      <c r="EKL23" s="57"/>
      <c r="EKM23" s="57"/>
      <c r="EKN23" s="57"/>
      <c r="EKO23" s="57"/>
      <c r="EKP23" s="57"/>
      <c r="EKQ23" s="57"/>
      <c r="EKR23" s="57"/>
      <c r="EKS23" s="57"/>
      <c r="EKT23" s="57"/>
      <c r="EKU23" s="57"/>
      <c r="EKV23" s="57"/>
      <c r="EKW23" s="57"/>
      <c r="EKX23" s="57"/>
      <c r="EKY23" s="57"/>
      <c r="EKZ23" s="57"/>
      <c r="ELA23" s="57"/>
      <c r="ELB23" s="57"/>
      <c r="ELC23" s="57"/>
      <c r="ELD23" s="57"/>
      <c r="ELE23" s="57"/>
      <c r="ELF23" s="57"/>
      <c r="ELG23" s="57"/>
      <c r="ELH23" s="57"/>
      <c r="ELI23" s="57"/>
      <c r="ELJ23" s="57"/>
      <c r="ELK23" s="57"/>
      <c r="ELL23" s="57"/>
      <c r="ELM23" s="57"/>
      <c r="ELN23" s="57"/>
      <c r="ELO23" s="57"/>
      <c r="ELP23" s="57"/>
      <c r="ELQ23" s="57"/>
      <c r="ELR23" s="57"/>
      <c r="ELS23" s="57"/>
      <c r="ELT23" s="57"/>
      <c r="ELU23" s="57"/>
      <c r="ELV23" s="57"/>
      <c r="ELW23" s="57"/>
      <c r="ELX23" s="57"/>
      <c r="ELY23" s="57"/>
      <c r="ELZ23" s="57"/>
      <c r="EMA23" s="57"/>
      <c r="EMB23" s="57"/>
      <c r="EMC23" s="57"/>
      <c r="EMD23" s="57"/>
      <c r="EME23" s="57"/>
      <c r="EMF23" s="57"/>
      <c r="EMG23" s="57"/>
      <c r="EMH23" s="57"/>
      <c r="EMI23" s="57"/>
      <c r="EMJ23" s="57"/>
      <c r="EMK23" s="57"/>
      <c r="EML23" s="57"/>
      <c r="EMM23" s="57"/>
      <c r="EMN23" s="57"/>
      <c r="EMO23" s="57"/>
      <c r="EMP23" s="57"/>
      <c r="EMQ23" s="57"/>
      <c r="EMR23" s="57"/>
      <c r="EMS23" s="57"/>
      <c r="EMT23" s="57"/>
      <c r="EMU23" s="57"/>
      <c r="EMV23" s="57"/>
      <c r="EMW23" s="57"/>
      <c r="EMX23" s="57"/>
      <c r="EMY23" s="57"/>
      <c r="EMZ23" s="57"/>
      <c r="ENA23" s="57"/>
      <c r="ENB23" s="57"/>
      <c r="ENC23" s="57"/>
      <c r="END23" s="57"/>
      <c r="ENE23" s="57"/>
      <c r="ENF23" s="57"/>
      <c r="ENG23" s="57"/>
      <c r="ENH23" s="57"/>
      <c r="ENI23" s="57"/>
      <c r="ENJ23" s="57"/>
      <c r="ENK23" s="57"/>
      <c r="ENL23" s="57"/>
      <c r="ENM23" s="57"/>
      <c r="ENN23" s="57"/>
      <c r="ENO23" s="57"/>
      <c r="ENP23" s="57"/>
      <c r="ENQ23" s="57"/>
      <c r="ENR23" s="57"/>
      <c r="ENS23" s="57"/>
      <c r="ENT23" s="57"/>
      <c r="ENU23" s="57"/>
      <c r="ENV23" s="57"/>
      <c r="ENW23" s="57"/>
      <c r="ENX23" s="57"/>
      <c r="ENY23" s="57"/>
      <c r="ENZ23" s="57"/>
      <c r="EOA23" s="57"/>
      <c r="EOB23" s="57"/>
      <c r="EOC23" s="57"/>
      <c r="EOD23" s="57"/>
      <c r="EOE23" s="57"/>
      <c r="EOF23" s="57"/>
      <c r="EOG23" s="57"/>
      <c r="EOH23" s="57"/>
      <c r="EOI23" s="57"/>
      <c r="EOJ23" s="57"/>
      <c r="EOK23" s="57"/>
      <c r="EOL23" s="57"/>
      <c r="EOM23" s="57"/>
      <c r="EON23" s="57"/>
      <c r="EOO23" s="57"/>
      <c r="EOP23" s="57"/>
      <c r="EOQ23" s="57"/>
      <c r="EOR23" s="57"/>
      <c r="EOS23" s="57"/>
      <c r="EOT23" s="57"/>
      <c r="EOU23" s="57"/>
      <c r="EOV23" s="57"/>
      <c r="EOW23" s="57"/>
      <c r="EOX23" s="57"/>
      <c r="EOY23" s="57"/>
      <c r="EOZ23" s="57"/>
      <c r="EPA23" s="57"/>
      <c r="EPB23" s="57"/>
      <c r="EPC23" s="57"/>
      <c r="EPD23" s="57"/>
      <c r="EPE23" s="57"/>
      <c r="EPF23" s="57"/>
      <c r="EPG23" s="57"/>
      <c r="EPH23" s="57"/>
      <c r="EPI23" s="57"/>
      <c r="EPJ23" s="57"/>
      <c r="EPK23" s="57"/>
      <c r="EPL23" s="57"/>
      <c r="EPM23" s="57"/>
      <c r="EPN23" s="57"/>
      <c r="EPO23" s="57"/>
      <c r="EPP23" s="57"/>
      <c r="EPQ23" s="57"/>
      <c r="EPR23" s="57"/>
      <c r="EPS23" s="57"/>
      <c r="EPT23" s="57"/>
      <c r="EPU23" s="57"/>
      <c r="EPV23" s="57"/>
      <c r="EPW23" s="57"/>
      <c r="EPX23" s="57"/>
      <c r="EPY23" s="57"/>
      <c r="EPZ23" s="57"/>
      <c r="EQA23" s="57"/>
      <c r="EQB23" s="57"/>
      <c r="EQC23" s="57"/>
      <c r="EQD23" s="57"/>
      <c r="EQE23" s="57"/>
      <c r="EQF23" s="57"/>
      <c r="EQG23" s="57"/>
      <c r="EQH23" s="57"/>
      <c r="EQI23" s="57"/>
      <c r="EQJ23" s="57"/>
      <c r="EQK23" s="57"/>
      <c r="EQL23" s="57"/>
      <c r="EQM23" s="57"/>
      <c r="EQN23" s="57"/>
      <c r="EQO23" s="57"/>
      <c r="EQP23" s="57"/>
      <c r="EQQ23" s="57"/>
      <c r="EQR23" s="57"/>
      <c r="EQS23" s="57"/>
      <c r="EQT23" s="57"/>
      <c r="EQU23" s="57"/>
      <c r="EQV23" s="57"/>
      <c r="EQW23" s="57"/>
      <c r="EQX23" s="57"/>
      <c r="EQY23" s="57"/>
      <c r="EQZ23" s="57"/>
      <c r="ERA23" s="57"/>
      <c r="ERB23" s="57"/>
      <c r="ERC23" s="57"/>
      <c r="ERD23" s="57"/>
      <c r="ERE23" s="57"/>
      <c r="ERF23" s="57"/>
      <c r="ERG23" s="57"/>
      <c r="ERH23" s="57"/>
      <c r="ERI23" s="57"/>
      <c r="ERJ23" s="57"/>
      <c r="ERK23" s="57"/>
      <c r="ERL23" s="57"/>
      <c r="ERM23" s="57"/>
      <c r="ERN23" s="57"/>
      <c r="ERO23" s="57"/>
      <c r="ERP23" s="57"/>
      <c r="ERQ23" s="57"/>
      <c r="ERR23" s="57"/>
      <c r="ERS23" s="57"/>
      <c r="ERT23" s="57"/>
      <c r="ERU23" s="57"/>
      <c r="ERV23" s="57"/>
      <c r="ERW23" s="57"/>
      <c r="ERX23" s="57"/>
      <c r="ERY23" s="57"/>
      <c r="ERZ23" s="57"/>
      <c r="ESA23" s="57"/>
      <c r="ESB23" s="57"/>
      <c r="ESC23" s="57"/>
      <c r="ESD23" s="57"/>
      <c r="ESE23" s="57"/>
      <c r="ESF23" s="57"/>
      <c r="ESG23" s="57"/>
      <c r="ESH23" s="57"/>
      <c r="ESI23" s="57"/>
      <c r="ESJ23" s="57"/>
      <c r="ESK23" s="57"/>
      <c r="ESL23" s="57"/>
      <c r="ESM23" s="57"/>
      <c r="ESN23" s="57"/>
      <c r="ESO23" s="57"/>
      <c r="ESP23" s="57"/>
      <c r="ESQ23" s="57"/>
      <c r="ESR23" s="57"/>
      <c r="ESS23" s="57"/>
      <c r="EST23" s="57"/>
      <c r="ESU23" s="57"/>
      <c r="ESV23" s="57"/>
      <c r="ESW23" s="57"/>
      <c r="ESX23" s="57"/>
      <c r="ESY23" s="57"/>
      <c r="ESZ23" s="57"/>
      <c r="ETA23" s="57"/>
      <c r="ETB23" s="57"/>
      <c r="ETC23" s="57"/>
      <c r="ETD23" s="57"/>
      <c r="ETE23" s="57"/>
      <c r="ETF23" s="57"/>
      <c r="ETG23" s="57"/>
      <c r="ETH23" s="57"/>
      <c r="ETI23" s="57"/>
      <c r="ETJ23" s="57"/>
      <c r="ETK23" s="57"/>
      <c r="ETL23" s="57"/>
      <c r="ETM23" s="57"/>
      <c r="ETN23" s="57"/>
      <c r="ETO23" s="57"/>
      <c r="ETP23" s="57"/>
      <c r="ETQ23" s="57"/>
      <c r="ETR23" s="57"/>
      <c r="ETS23" s="57"/>
      <c r="ETT23" s="57"/>
      <c r="ETU23" s="57"/>
      <c r="ETV23" s="57"/>
      <c r="ETW23" s="57"/>
      <c r="ETX23" s="57"/>
      <c r="ETY23" s="57"/>
      <c r="ETZ23" s="57"/>
      <c r="EUA23" s="57"/>
      <c r="EUB23" s="57"/>
      <c r="EUC23" s="57"/>
      <c r="EUD23" s="57"/>
      <c r="EUE23" s="57"/>
      <c r="EUF23" s="57"/>
      <c r="EUG23" s="57"/>
      <c r="EUH23" s="57"/>
      <c r="EUI23" s="57"/>
      <c r="EUJ23" s="57"/>
      <c r="EUK23" s="57"/>
      <c r="EUL23" s="57"/>
      <c r="EUM23" s="57"/>
      <c r="EUN23" s="57"/>
      <c r="EUO23" s="57"/>
      <c r="EUP23" s="57"/>
      <c r="EUQ23" s="57"/>
      <c r="EUR23" s="57"/>
      <c r="EUS23" s="57"/>
      <c r="EUT23" s="57"/>
      <c r="EUU23" s="57"/>
      <c r="EUV23" s="57"/>
      <c r="EUW23" s="57"/>
      <c r="EUX23" s="57"/>
      <c r="EUY23" s="57"/>
      <c r="EUZ23" s="57"/>
      <c r="EVA23" s="57"/>
      <c r="EVB23" s="57"/>
      <c r="EVC23" s="57"/>
      <c r="EVD23" s="57"/>
      <c r="EVE23" s="57"/>
      <c r="EVF23" s="57"/>
      <c r="EVG23" s="57"/>
      <c r="EVH23" s="57"/>
      <c r="EVI23" s="57"/>
      <c r="EVJ23" s="57"/>
      <c r="EVK23" s="57"/>
      <c r="EVL23" s="57"/>
      <c r="EVM23" s="57"/>
      <c r="EVN23" s="57"/>
      <c r="EVO23" s="57"/>
      <c r="EVP23" s="57"/>
      <c r="EVQ23" s="57"/>
      <c r="EVR23" s="57"/>
      <c r="EVS23" s="57"/>
      <c r="EVT23" s="57"/>
      <c r="EVU23" s="57"/>
      <c r="EVV23" s="57"/>
      <c r="EVW23" s="57"/>
      <c r="EVX23" s="57"/>
      <c r="EVY23" s="57"/>
      <c r="EVZ23" s="57"/>
      <c r="EWA23" s="57"/>
      <c r="EWB23" s="57"/>
      <c r="EWC23" s="57"/>
      <c r="EWD23" s="57"/>
      <c r="EWE23" s="57"/>
      <c r="EWF23" s="57"/>
      <c r="EWG23" s="57"/>
      <c r="EWH23" s="57"/>
      <c r="EWI23" s="57"/>
      <c r="EWJ23" s="57"/>
      <c r="EWK23" s="57"/>
      <c r="EWL23" s="57"/>
      <c r="EWM23" s="57"/>
      <c r="EWN23" s="57"/>
      <c r="EWO23" s="57"/>
      <c r="EWP23" s="57"/>
      <c r="EWQ23" s="57"/>
      <c r="EWR23" s="57"/>
      <c r="EWS23" s="57"/>
      <c r="EWT23" s="57"/>
      <c r="EWU23" s="57"/>
      <c r="EWV23" s="57"/>
      <c r="EWW23" s="57"/>
      <c r="EWX23" s="57"/>
      <c r="EWY23" s="57"/>
      <c r="EWZ23" s="57"/>
      <c r="EXA23" s="57"/>
      <c r="EXB23" s="57"/>
      <c r="EXC23" s="57"/>
      <c r="EXD23" s="57"/>
      <c r="EXE23" s="57"/>
      <c r="EXF23" s="57"/>
      <c r="EXG23" s="57"/>
      <c r="EXH23" s="57"/>
      <c r="EXI23" s="57"/>
      <c r="EXJ23" s="57"/>
      <c r="EXK23" s="57"/>
      <c r="EXL23" s="57"/>
      <c r="EXM23" s="57"/>
      <c r="EXN23" s="57"/>
      <c r="EXO23" s="57"/>
      <c r="EXP23" s="57"/>
      <c r="EXQ23" s="57"/>
      <c r="EXR23" s="57"/>
      <c r="EXS23" s="57"/>
      <c r="EXT23" s="57"/>
      <c r="EXU23" s="57"/>
      <c r="EXV23" s="57"/>
      <c r="EXW23" s="57"/>
      <c r="EXX23" s="57"/>
      <c r="EXY23" s="57"/>
      <c r="EXZ23" s="57"/>
      <c r="EYA23" s="57"/>
      <c r="EYB23" s="57"/>
      <c r="EYC23" s="57"/>
      <c r="EYD23" s="57"/>
      <c r="EYE23" s="57"/>
      <c r="EYF23" s="57"/>
      <c r="EYG23" s="57"/>
      <c r="EYH23" s="57"/>
      <c r="EYI23" s="57"/>
      <c r="EYJ23" s="57"/>
      <c r="EYK23" s="57"/>
      <c r="EYL23" s="57"/>
      <c r="EYM23" s="57"/>
      <c r="EYN23" s="57"/>
      <c r="EYO23" s="57"/>
      <c r="EYP23" s="57"/>
      <c r="EYQ23" s="57"/>
      <c r="EYR23" s="57"/>
      <c r="EYS23" s="57"/>
      <c r="EYT23" s="57"/>
      <c r="EYU23" s="57"/>
      <c r="EYV23" s="57"/>
      <c r="EYW23" s="57"/>
      <c r="EYX23" s="57"/>
      <c r="EYY23" s="57"/>
      <c r="EYZ23" s="57"/>
      <c r="EZA23" s="57"/>
      <c r="EZB23" s="57"/>
      <c r="EZC23" s="57"/>
      <c r="EZD23" s="57"/>
      <c r="EZE23" s="57"/>
      <c r="EZF23" s="57"/>
      <c r="EZG23" s="57"/>
      <c r="EZH23" s="57"/>
      <c r="EZI23" s="57"/>
      <c r="EZJ23" s="57"/>
      <c r="EZK23" s="57"/>
      <c r="EZL23" s="57"/>
      <c r="EZM23" s="57"/>
      <c r="EZN23" s="57"/>
      <c r="EZO23" s="57"/>
      <c r="EZP23" s="57"/>
      <c r="EZQ23" s="57"/>
      <c r="EZR23" s="57"/>
      <c r="EZS23" s="57"/>
      <c r="EZT23" s="57"/>
      <c r="EZU23" s="57"/>
      <c r="EZV23" s="57"/>
      <c r="EZW23" s="57"/>
      <c r="EZX23" s="57"/>
      <c r="EZY23" s="57"/>
      <c r="EZZ23" s="57"/>
      <c r="FAA23" s="57"/>
      <c r="FAB23" s="57"/>
      <c r="FAC23" s="57"/>
      <c r="FAD23" s="57"/>
      <c r="FAE23" s="57"/>
      <c r="FAF23" s="57"/>
      <c r="FAG23" s="57"/>
      <c r="FAH23" s="57"/>
      <c r="FAI23" s="57"/>
      <c r="FAJ23" s="57"/>
      <c r="FAK23" s="57"/>
      <c r="FAL23" s="57"/>
      <c r="FAM23" s="57"/>
      <c r="FAN23" s="57"/>
      <c r="FAO23" s="57"/>
      <c r="FAP23" s="57"/>
      <c r="FAQ23" s="57"/>
      <c r="FAR23" s="57"/>
      <c r="FAS23" s="57"/>
      <c r="FAT23" s="57"/>
      <c r="FAU23" s="57"/>
      <c r="FAV23" s="57"/>
      <c r="FAW23" s="57"/>
      <c r="FAX23" s="57"/>
      <c r="FAY23" s="57"/>
      <c r="FAZ23" s="57"/>
      <c r="FBA23" s="57"/>
      <c r="FBB23" s="57"/>
      <c r="FBC23" s="57"/>
      <c r="FBD23" s="57"/>
      <c r="FBE23" s="57"/>
      <c r="FBF23" s="57"/>
      <c r="FBG23" s="57"/>
      <c r="FBH23" s="57"/>
      <c r="FBI23" s="57"/>
      <c r="FBJ23" s="57"/>
      <c r="FBK23" s="57"/>
      <c r="FBL23" s="57"/>
      <c r="FBM23" s="57"/>
      <c r="FBN23" s="57"/>
      <c r="FBO23" s="57"/>
      <c r="FBP23" s="57"/>
      <c r="FBQ23" s="57"/>
      <c r="FBR23" s="57"/>
      <c r="FBS23" s="57"/>
      <c r="FBT23" s="57"/>
      <c r="FBU23" s="57"/>
      <c r="FBV23" s="57"/>
      <c r="FBW23" s="57"/>
      <c r="FBX23" s="57"/>
      <c r="FBY23" s="57"/>
      <c r="FBZ23" s="57"/>
      <c r="FCA23" s="57"/>
      <c r="FCB23" s="57"/>
      <c r="FCC23" s="57"/>
      <c r="FCD23" s="57"/>
      <c r="FCE23" s="57"/>
      <c r="FCF23" s="57"/>
      <c r="FCG23" s="57"/>
      <c r="FCH23" s="57"/>
      <c r="FCI23" s="57"/>
      <c r="FCJ23" s="57"/>
      <c r="FCK23" s="57"/>
      <c r="FCL23" s="57"/>
      <c r="FCM23" s="57"/>
      <c r="FCN23" s="57"/>
      <c r="FCO23" s="57"/>
      <c r="FCP23" s="57"/>
      <c r="FCQ23" s="57"/>
      <c r="FCR23" s="57"/>
      <c r="FCS23" s="57"/>
      <c r="FCT23" s="57"/>
      <c r="FCU23" s="57"/>
      <c r="FCV23" s="57"/>
      <c r="FCW23" s="57"/>
      <c r="FCX23" s="57"/>
      <c r="FCY23" s="57"/>
      <c r="FCZ23" s="57"/>
      <c r="FDA23" s="57"/>
      <c r="FDB23" s="57"/>
      <c r="FDC23" s="57"/>
      <c r="FDD23" s="57"/>
      <c r="FDE23" s="57"/>
      <c r="FDF23" s="57"/>
      <c r="FDG23" s="57"/>
      <c r="FDH23" s="57"/>
      <c r="FDI23" s="57"/>
      <c r="FDJ23" s="57"/>
      <c r="FDK23" s="57"/>
      <c r="FDL23" s="57"/>
      <c r="FDM23" s="57"/>
      <c r="FDN23" s="57"/>
      <c r="FDO23" s="57"/>
      <c r="FDP23" s="57"/>
      <c r="FDQ23" s="57"/>
      <c r="FDR23" s="57"/>
      <c r="FDS23" s="57"/>
      <c r="FDT23" s="57"/>
      <c r="FDU23" s="57"/>
      <c r="FDV23" s="57"/>
      <c r="FDW23" s="57"/>
      <c r="FDX23" s="57"/>
      <c r="FDY23" s="57"/>
      <c r="FDZ23" s="57"/>
      <c r="FEA23" s="57"/>
      <c r="FEB23" s="57"/>
      <c r="FEC23" s="57"/>
      <c r="FED23" s="57"/>
      <c r="FEE23" s="57"/>
      <c r="FEF23" s="57"/>
      <c r="FEG23" s="57"/>
      <c r="FEH23" s="57"/>
      <c r="FEI23" s="57"/>
      <c r="FEJ23" s="57"/>
      <c r="FEK23" s="57"/>
      <c r="FEL23" s="57"/>
      <c r="FEM23" s="57"/>
      <c r="FEN23" s="57"/>
      <c r="FEO23" s="57"/>
      <c r="FEP23" s="57"/>
      <c r="FEQ23" s="57"/>
      <c r="FER23" s="57"/>
      <c r="FES23" s="57"/>
      <c r="FET23" s="57"/>
      <c r="FEU23" s="57"/>
      <c r="FEV23" s="57"/>
      <c r="FEW23" s="57"/>
      <c r="FEX23" s="57"/>
      <c r="FEY23" s="57"/>
      <c r="FEZ23" s="57"/>
      <c r="FFA23" s="57"/>
      <c r="FFB23" s="57"/>
      <c r="FFC23" s="57"/>
      <c r="FFD23" s="57"/>
      <c r="FFE23" s="57"/>
      <c r="FFF23" s="57"/>
      <c r="FFG23" s="57"/>
      <c r="FFH23" s="57"/>
      <c r="FFI23" s="57"/>
      <c r="FFJ23" s="57"/>
      <c r="FFK23" s="57"/>
      <c r="FFL23" s="57"/>
      <c r="FFM23" s="57"/>
      <c r="FFN23" s="57"/>
      <c r="FFO23" s="57"/>
      <c r="FFP23" s="57"/>
      <c r="FFQ23" s="57"/>
      <c r="FFR23" s="57"/>
      <c r="FFS23" s="57"/>
      <c r="FFT23" s="57"/>
      <c r="FFU23" s="57"/>
      <c r="FFV23" s="57"/>
      <c r="FFW23" s="57"/>
      <c r="FFX23" s="57"/>
      <c r="FFY23" s="57"/>
      <c r="FFZ23" s="57"/>
      <c r="FGA23" s="57"/>
      <c r="FGB23" s="57"/>
      <c r="FGC23" s="57"/>
      <c r="FGD23" s="57"/>
      <c r="FGE23" s="57"/>
      <c r="FGF23" s="57"/>
      <c r="FGG23" s="57"/>
      <c r="FGH23" s="57"/>
      <c r="FGI23" s="57"/>
      <c r="FGJ23" s="57"/>
      <c r="FGK23" s="57"/>
      <c r="FGL23" s="57"/>
      <c r="FGM23" s="57"/>
      <c r="FGN23" s="57"/>
      <c r="FGO23" s="57"/>
      <c r="FGP23" s="57"/>
      <c r="FGQ23" s="57"/>
      <c r="FGR23" s="57"/>
      <c r="FGS23" s="57"/>
      <c r="FGT23" s="57"/>
      <c r="FGU23" s="57"/>
      <c r="FGV23" s="57"/>
      <c r="FGW23" s="57"/>
      <c r="FGX23" s="57"/>
      <c r="FGY23" s="57"/>
      <c r="FGZ23" s="57"/>
      <c r="FHA23" s="57"/>
      <c r="FHB23" s="57"/>
      <c r="FHC23" s="57"/>
      <c r="FHD23" s="57"/>
      <c r="FHE23" s="57"/>
      <c r="FHF23" s="57"/>
      <c r="FHG23" s="57"/>
      <c r="FHH23" s="57"/>
      <c r="FHI23" s="57"/>
      <c r="FHJ23" s="57"/>
      <c r="FHK23" s="57"/>
      <c r="FHL23" s="57"/>
      <c r="FHM23" s="57"/>
      <c r="FHN23" s="57"/>
      <c r="FHO23" s="57"/>
      <c r="FHP23" s="57"/>
      <c r="FHQ23" s="57"/>
      <c r="FHR23" s="57"/>
      <c r="FHS23" s="57"/>
      <c r="FHT23" s="57"/>
      <c r="FHU23" s="57"/>
      <c r="FHV23" s="57"/>
      <c r="FHW23" s="57"/>
      <c r="FHX23" s="57"/>
      <c r="FHY23" s="57"/>
      <c r="FHZ23" s="57"/>
      <c r="FIA23" s="57"/>
      <c r="FIB23" s="57"/>
      <c r="FIC23" s="57"/>
      <c r="FID23" s="57"/>
      <c r="FIE23" s="57"/>
      <c r="FIF23" s="57"/>
      <c r="FIG23" s="57"/>
      <c r="FIH23" s="57"/>
      <c r="FII23" s="57"/>
      <c r="FIJ23" s="57"/>
      <c r="FIK23" s="57"/>
      <c r="FIL23" s="57"/>
      <c r="FIM23" s="57"/>
      <c r="FIN23" s="57"/>
      <c r="FIO23" s="57"/>
      <c r="FIP23" s="57"/>
      <c r="FIQ23" s="57"/>
      <c r="FIR23" s="57"/>
      <c r="FIS23" s="57"/>
      <c r="FIT23" s="57"/>
      <c r="FIU23" s="57"/>
      <c r="FIV23" s="57"/>
      <c r="FIW23" s="57"/>
      <c r="FIX23" s="57"/>
      <c r="FIY23" s="57"/>
      <c r="FIZ23" s="57"/>
      <c r="FJA23" s="57"/>
      <c r="FJB23" s="57"/>
      <c r="FJC23" s="57"/>
      <c r="FJD23" s="57"/>
      <c r="FJE23" s="57"/>
      <c r="FJF23" s="57"/>
      <c r="FJG23" s="57"/>
      <c r="FJH23" s="57"/>
      <c r="FJI23" s="57"/>
      <c r="FJJ23" s="57"/>
      <c r="FJK23" s="57"/>
      <c r="FJL23" s="57"/>
      <c r="FJM23" s="57"/>
      <c r="FJN23" s="57"/>
      <c r="FJO23" s="57"/>
      <c r="FJP23" s="57"/>
      <c r="FJQ23" s="57"/>
      <c r="FJR23" s="57"/>
      <c r="FJS23" s="57"/>
      <c r="FJT23" s="57"/>
      <c r="FJU23" s="57"/>
      <c r="FJV23" s="57"/>
      <c r="FJW23" s="57"/>
      <c r="FJX23" s="57"/>
      <c r="FJY23" s="57"/>
      <c r="FJZ23" s="57"/>
      <c r="FKA23" s="57"/>
      <c r="FKB23" s="57"/>
      <c r="FKC23" s="57"/>
      <c r="FKD23" s="57"/>
      <c r="FKE23" s="57"/>
      <c r="FKF23" s="57"/>
      <c r="FKG23" s="57"/>
      <c r="FKH23" s="57"/>
      <c r="FKI23" s="57"/>
      <c r="FKJ23" s="57"/>
      <c r="FKK23" s="57"/>
      <c r="FKL23" s="57"/>
      <c r="FKM23" s="57"/>
      <c r="FKN23" s="57"/>
      <c r="FKO23" s="57"/>
      <c r="FKP23" s="57"/>
      <c r="FKQ23" s="57"/>
      <c r="FKR23" s="57"/>
      <c r="FKS23" s="57"/>
      <c r="FKT23" s="57"/>
      <c r="FKU23" s="57"/>
      <c r="FKV23" s="57"/>
      <c r="FKW23" s="57"/>
      <c r="FKX23" s="57"/>
      <c r="FKY23" s="57"/>
      <c r="FKZ23" s="57"/>
      <c r="FLA23" s="57"/>
      <c r="FLB23" s="57"/>
      <c r="FLC23" s="57"/>
      <c r="FLD23" s="57"/>
      <c r="FLE23" s="57"/>
      <c r="FLF23" s="57"/>
      <c r="FLG23" s="57"/>
      <c r="FLH23" s="57"/>
      <c r="FLI23" s="57"/>
      <c r="FLJ23" s="57"/>
      <c r="FLK23" s="57"/>
      <c r="FLL23" s="57"/>
      <c r="FLM23" s="57"/>
      <c r="FLN23" s="57"/>
      <c r="FLO23" s="57"/>
      <c r="FLP23" s="57"/>
      <c r="FLQ23" s="57"/>
      <c r="FLR23" s="57"/>
      <c r="FLS23" s="57"/>
      <c r="FLT23" s="57"/>
      <c r="FLU23" s="57"/>
      <c r="FLV23" s="57"/>
      <c r="FLW23" s="57"/>
      <c r="FLX23" s="57"/>
      <c r="FLY23" s="57"/>
      <c r="FLZ23" s="57"/>
      <c r="FMA23" s="57"/>
      <c r="FMB23" s="57"/>
      <c r="FMC23" s="57"/>
      <c r="FMD23" s="57"/>
      <c r="FME23" s="57"/>
      <c r="FMF23" s="57"/>
      <c r="FMG23" s="57"/>
      <c r="FMH23" s="57"/>
      <c r="FMI23" s="57"/>
      <c r="FMJ23" s="57"/>
      <c r="FMK23" s="57"/>
      <c r="FML23" s="57"/>
      <c r="FMM23" s="57"/>
      <c r="FMN23" s="57"/>
      <c r="FMO23" s="57"/>
      <c r="FMP23" s="57"/>
      <c r="FMQ23" s="57"/>
      <c r="FMR23" s="57"/>
      <c r="FMS23" s="57"/>
      <c r="FMT23" s="57"/>
      <c r="FMU23" s="57"/>
      <c r="FMV23" s="57"/>
      <c r="FMW23" s="57"/>
      <c r="FMX23" s="57"/>
      <c r="FMY23" s="57"/>
      <c r="FMZ23" s="57"/>
      <c r="FNA23" s="57"/>
      <c r="FNB23" s="57"/>
      <c r="FNC23" s="57"/>
      <c r="FND23" s="57"/>
      <c r="FNE23" s="57"/>
      <c r="FNF23" s="57"/>
      <c r="FNG23" s="57"/>
      <c r="FNH23" s="57"/>
      <c r="FNI23" s="57"/>
      <c r="FNJ23" s="57"/>
      <c r="FNK23" s="57"/>
      <c r="FNL23" s="57"/>
      <c r="FNM23" s="57"/>
      <c r="FNN23" s="57"/>
      <c r="FNO23" s="57"/>
      <c r="FNP23" s="57"/>
      <c r="FNQ23" s="57"/>
      <c r="FNR23" s="57"/>
      <c r="FNS23" s="57"/>
      <c r="FNT23" s="57"/>
      <c r="FNU23" s="57"/>
      <c r="FNV23" s="57"/>
      <c r="FNW23" s="57"/>
      <c r="FNX23" s="57"/>
      <c r="FNY23" s="57"/>
      <c r="FNZ23" s="57"/>
      <c r="FOA23" s="57"/>
      <c r="FOB23" s="57"/>
      <c r="FOC23" s="57"/>
      <c r="FOD23" s="57"/>
      <c r="FOE23" s="57"/>
      <c r="FOF23" s="57"/>
      <c r="FOG23" s="57"/>
      <c r="FOH23" s="57"/>
      <c r="FOI23" s="57"/>
      <c r="FOJ23" s="57"/>
      <c r="FOK23" s="57"/>
      <c r="FOL23" s="57"/>
      <c r="FOM23" s="57"/>
      <c r="FON23" s="57"/>
      <c r="FOO23" s="57"/>
      <c r="FOP23" s="57"/>
      <c r="FOQ23" s="57"/>
      <c r="FOR23" s="57"/>
      <c r="FOS23" s="57"/>
      <c r="FOT23" s="57"/>
      <c r="FOU23" s="57"/>
      <c r="FOV23" s="57"/>
      <c r="FOW23" s="57"/>
      <c r="FOX23" s="57"/>
      <c r="FOY23" s="57"/>
      <c r="FOZ23" s="57"/>
      <c r="FPA23" s="57"/>
      <c r="FPB23" s="57"/>
      <c r="FPC23" s="57"/>
      <c r="FPD23" s="57"/>
      <c r="FPE23" s="57"/>
      <c r="FPF23" s="57"/>
      <c r="FPG23" s="57"/>
      <c r="FPH23" s="57"/>
      <c r="FPI23" s="57"/>
      <c r="FPJ23" s="57"/>
      <c r="FPK23" s="57"/>
      <c r="FPL23" s="57"/>
      <c r="FPM23" s="57"/>
      <c r="FPN23" s="57"/>
      <c r="FPO23" s="57"/>
      <c r="FPP23" s="57"/>
      <c r="FPQ23" s="57"/>
      <c r="FPR23" s="57"/>
      <c r="FPS23" s="57"/>
      <c r="FPT23" s="57"/>
      <c r="FPU23" s="57"/>
      <c r="FPV23" s="57"/>
      <c r="FPW23" s="57"/>
      <c r="FPX23" s="57"/>
      <c r="FPY23" s="57"/>
      <c r="FPZ23" s="57"/>
      <c r="FQA23" s="57"/>
      <c r="FQB23" s="57"/>
      <c r="FQC23" s="57"/>
      <c r="FQD23" s="57"/>
      <c r="FQE23" s="57"/>
      <c r="FQF23" s="57"/>
      <c r="FQG23" s="57"/>
      <c r="FQH23" s="57"/>
      <c r="FQI23" s="57"/>
      <c r="FQJ23" s="57"/>
      <c r="FQK23" s="57"/>
      <c r="FQL23" s="57"/>
      <c r="FQM23" s="57"/>
      <c r="FQN23" s="57"/>
      <c r="FQO23" s="57"/>
      <c r="FQP23" s="57"/>
      <c r="FQQ23" s="57"/>
      <c r="FQR23" s="57"/>
      <c r="FQS23" s="57"/>
      <c r="FQT23" s="57"/>
      <c r="FQU23" s="57"/>
      <c r="FQV23" s="57"/>
      <c r="FQW23" s="57"/>
      <c r="FQX23" s="57"/>
      <c r="FQY23" s="57"/>
      <c r="FQZ23" s="57"/>
      <c r="FRA23" s="57"/>
      <c r="FRB23" s="57"/>
      <c r="FRC23" s="57"/>
      <c r="FRD23" s="57"/>
      <c r="FRE23" s="57"/>
      <c r="FRF23" s="57"/>
      <c r="FRG23" s="57"/>
      <c r="FRH23" s="57"/>
      <c r="FRI23" s="57"/>
      <c r="FRJ23" s="57"/>
      <c r="FRK23" s="57"/>
      <c r="FRL23" s="57"/>
      <c r="FRM23" s="57"/>
      <c r="FRN23" s="57"/>
      <c r="FRO23" s="57"/>
      <c r="FRP23" s="57"/>
      <c r="FRQ23" s="57"/>
      <c r="FRR23" s="57"/>
      <c r="FRS23" s="57"/>
      <c r="FRT23" s="57"/>
      <c r="FRU23" s="57"/>
      <c r="FRV23" s="57"/>
      <c r="FRW23" s="57"/>
      <c r="FRX23" s="57"/>
      <c r="FRY23" s="57"/>
      <c r="FRZ23" s="57"/>
      <c r="FSA23" s="57"/>
      <c r="FSB23" s="57"/>
      <c r="FSC23" s="57"/>
      <c r="FSD23" s="57"/>
      <c r="FSE23" s="57"/>
      <c r="FSF23" s="57"/>
      <c r="FSG23" s="57"/>
      <c r="FSH23" s="57"/>
      <c r="FSI23" s="57"/>
      <c r="FSJ23" s="57"/>
      <c r="FSK23" s="57"/>
      <c r="FSL23" s="57"/>
      <c r="FSM23" s="57"/>
      <c r="FSN23" s="57"/>
      <c r="FSO23" s="57"/>
      <c r="FSP23" s="57"/>
      <c r="FSQ23" s="57"/>
      <c r="FSR23" s="57"/>
      <c r="FSS23" s="57"/>
      <c r="FST23" s="57"/>
      <c r="FSU23" s="57"/>
      <c r="FSV23" s="57"/>
      <c r="FSW23" s="57"/>
      <c r="FSX23" s="57"/>
      <c r="FSY23" s="57"/>
      <c r="FSZ23" s="57"/>
      <c r="FTA23" s="57"/>
      <c r="FTB23" s="57"/>
      <c r="FTC23" s="57"/>
      <c r="FTD23" s="57"/>
      <c r="FTE23" s="57"/>
      <c r="FTF23" s="57"/>
      <c r="FTG23" s="57"/>
      <c r="FTH23" s="57"/>
      <c r="FTI23" s="57"/>
      <c r="FTJ23" s="57"/>
      <c r="FTK23" s="57"/>
      <c r="FTL23" s="57"/>
      <c r="FTM23" s="57"/>
      <c r="FTN23" s="57"/>
      <c r="FTO23" s="57"/>
      <c r="FTP23" s="57"/>
      <c r="FTQ23" s="57"/>
      <c r="FTR23" s="57"/>
      <c r="FTS23" s="57"/>
      <c r="FTT23" s="57"/>
      <c r="FTU23" s="57"/>
      <c r="FTV23" s="57"/>
      <c r="FTW23" s="57"/>
      <c r="FTX23" s="57"/>
      <c r="FTY23" s="57"/>
      <c r="FTZ23" s="57"/>
      <c r="FUA23" s="57"/>
      <c r="FUB23" s="57"/>
      <c r="FUC23" s="57"/>
      <c r="FUD23" s="57"/>
      <c r="FUE23" s="57"/>
      <c r="FUF23" s="57"/>
      <c r="FUG23" s="57"/>
      <c r="FUH23" s="57"/>
      <c r="FUI23" s="57"/>
      <c r="FUJ23" s="57"/>
      <c r="FUK23" s="57"/>
      <c r="FUL23" s="57"/>
      <c r="FUM23" s="57"/>
      <c r="FUN23" s="57"/>
      <c r="FUO23" s="57"/>
      <c r="FUP23" s="57"/>
      <c r="FUQ23" s="57"/>
      <c r="FUR23" s="57"/>
      <c r="FUS23" s="57"/>
      <c r="FUT23" s="57"/>
      <c r="FUU23" s="57"/>
      <c r="FUV23" s="57"/>
      <c r="FUW23" s="57"/>
      <c r="FUX23" s="57"/>
      <c r="FUY23" s="57"/>
      <c r="FUZ23" s="57"/>
      <c r="FVA23" s="57"/>
      <c r="FVB23" s="57"/>
      <c r="FVC23" s="57"/>
      <c r="FVD23" s="57"/>
      <c r="FVE23" s="57"/>
      <c r="FVF23" s="57"/>
      <c r="FVG23" s="57"/>
      <c r="FVH23" s="57"/>
      <c r="FVI23" s="57"/>
      <c r="FVJ23" s="57"/>
      <c r="FVK23" s="57"/>
      <c r="FVL23" s="57"/>
      <c r="FVM23" s="57"/>
      <c r="FVN23" s="57"/>
      <c r="FVO23" s="57"/>
      <c r="FVP23" s="57"/>
      <c r="FVQ23" s="57"/>
      <c r="FVR23" s="57"/>
      <c r="FVS23" s="57"/>
      <c r="FVT23" s="57"/>
      <c r="FVU23" s="57"/>
      <c r="FVV23" s="57"/>
      <c r="FVW23" s="57"/>
      <c r="FVX23" s="57"/>
      <c r="FVY23" s="57"/>
      <c r="FVZ23" s="57"/>
      <c r="FWA23" s="57"/>
      <c r="FWB23" s="57"/>
      <c r="FWC23" s="57"/>
      <c r="FWD23" s="57"/>
      <c r="FWE23" s="57"/>
      <c r="FWF23" s="57"/>
      <c r="FWG23" s="57"/>
      <c r="FWH23" s="57"/>
      <c r="FWI23" s="57"/>
      <c r="FWJ23" s="57"/>
      <c r="FWK23" s="57"/>
      <c r="FWL23" s="57"/>
      <c r="FWM23" s="57"/>
      <c r="FWN23" s="57"/>
      <c r="FWO23" s="57"/>
      <c r="FWP23" s="57"/>
      <c r="FWQ23" s="57"/>
      <c r="FWR23" s="57"/>
      <c r="FWS23" s="57"/>
      <c r="FWT23" s="57"/>
      <c r="FWU23" s="57"/>
      <c r="FWV23" s="57"/>
      <c r="FWW23" s="57"/>
      <c r="FWX23" s="57"/>
      <c r="FWY23" s="57"/>
      <c r="FWZ23" s="57"/>
      <c r="FXA23" s="57"/>
      <c r="FXB23" s="57"/>
      <c r="FXC23" s="57"/>
      <c r="FXD23" s="57"/>
      <c r="FXE23" s="57"/>
      <c r="FXF23" s="57"/>
      <c r="FXG23" s="57"/>
      <c r="FXH23" s="57"/>
      <c r="FXI23" s="57"/>
      <c r="FXJ23" s="57"/>
      <c r="FXK23" s="57"/>
      <c r="FXL23" s="57"/>
      <c r="FXM23" s="57"/>
      <c r="FXN23" s="57"/>
      <c r="FXO23" s="57"/>
      <c r="FXP23" s="57"/>
      <c r="FXQ23" s="57"/>
      <c r="FXR23" s="57"/>
      <c r="FXS23" s="57"/>
      <c r="FXT23" s="57"/>
      <c r="FXU23" s="57"/>
      <c r="FXV23" s="57"/>
      <c r="FXW23" s="57"/>
      <c r="FXX23" s="57"/>
      <c r="FXY23" s="57"/>
      <c r="FXZ23" s="57"/>
      <c r="FYA23" s="57"/>
      <c r="FYB23" s="57"/>
      <c r="FYC23" s="57"/>
      <c r="FYD23" s="57"/>
      <c r="FYE23" s="57"/>
      <c r="FYF23" s="57"/>
      <c r="FYG23" s="57"/>
      <c r="FYH23" s="57"/>
      <c r="FYI23" s="57"/>
      <c r="FYJ23" s="57"/>
      <c r="FYK23" s="57"/>
      <c r="FYL23" s="57"/>
      <c r="FYM23" s="57"/>
      <c r="FYN23" s="57"/>
      <c r="FYO23" s="57"/>
      <c r="FYP23" s="57"/>
      <c r="FYQ23" s="57"/>
      <c r="FYR23" s="57"/>
      <c r="FYS23" s="57"/>
      <c r="FYT23" s="57"/>
      <c r="FYU23" s="57"/>
      <c r="FYV23" s="57"/>
      <c r="FYW23" s="57"/>
      <c r="FYX23" s="57"/>
      <c r="FYY23" s="57"/>
      <c r="FYZ23" s="57"/>
      <c r="FZA23" s="57"/>
      <c r="FZB23" s="57"/>
      <c r="FZC23" s="57"/>
      <c r="FZD23" s="57"/>
      <c r="FZE23" s="57"/>
      <c r="FZF23" s="57"/>
      <c r="FZG23" s="57"/>
      <c r="FZH23" s="57"/>
      <c r="FZI23" s="57"/>
      <c r="FZJ23" s="57"/>
      <c r="FZK23" s="57"/>
      <c r="FZL23" s="57"/>
      <c r="FZM23" s="57"/>
      <c r="FZN23" s="57"/>
      <c r="FZO23" s="57"/>
      <c r="FZP23" s="57"/>
      <c r="FZQ23" s="57"/>
      <c r="FZR23" s="57"/>
      <c r="FZS23" s="57"/>
      <c r="FZT23" s="57"/>
      <c r="FZU23" s="57"/>
      <c r="FZV23" s="57"/>
      <c r="FZW23" s="57"/>
      <c r="FZX23" s="57"/>
      <c r="FZY23" s="57"/>
      <c r="FZZ23" s="57"/>
      <c r="GAA23" s="57"/>
      <c r="GAB23" s="57"/>
      <c r="GAC23" s="57"/>
      <c r="GAD23" s="57"/>
      <c r="GAE23" s="57"/>
      <c r="GAF23" s="57"/>
      <c r="GAG23" s="57"/>
      <c r="GAH23" s="57"/>
      <c r="GAI23" s="57"/>
      <c r="GAJ23" s="57"/>
      <c r="GAK23" s="57"/>
      <c r="GAL23" s="57"/>
      <c r="GAM23" s="57"/>
      <c r="GAN23" s="57"/>
      <c r="GAO23" s="57"/>
      <c r="GAP23" s="57"/>
      <c r="GAQ23" s="57"/>
      <c r="GAR23" s="57"/>
      <c r="GAS23" s="57"/>
      <c r="GAT23" s="57"/>
      <c r="GAU23" s="57"/>
      <c r="GAV23" s="57"/>
      <c r="GAW23" s="57"/>
      <c r="GAX23" s="57"/>
      <c r="GAY23" s="57"/>
      <c r="GAZ23" s="57"/>
      <c r="GBA23" s="57"/>
      <c r="GBB23" s="57"/>
      <c r="GBC23" s="57"/>
      <c r="GBD23" s="57"/>
      <c r="GBE23" s="57"/>
      <c r="GBF23" s="57"/>
      <c r="GBG23" s="57"/>
      <c r="GBH23" s="57"/>
      <c r="GBI23" s="57"/>
      <c r="GBJ23" s="57"/>
      <c r="GBK23" s="57"/>
      <c r="GBL23" s="57"/>
      <c r="GBM23" s="57"/>
      <c r="GBN23" s="57"/>
      <c r="GBO23" s="57"/>
      <c r="GBP23" s="57"/>
      <c r="GBQ23" s="57"/>
      <c r="GBR23" s="57"/>
      <c r="GBS23" s="57"/>
      <c r="GBT23" s="57"/>
      <c r="GBU23" s="57"/>
      <c r="GBV23" s="57"/>
      <c r="GBW23" s="57"/>
      <c r="GBX23" s="57"/>
      <c r="GBY23" s="57"/>
      <c r="GBZ23" s="57"/>
      <c r="GCA23" s="57"/>
      <c r="GCB23" s="57"/>
      <c r="GCC23" s="57"/>
      <c r="GCD23" s="57"/>
      <c r="GCE23" s="57"/>
      <c r="GCF23" s="57"/>
      <c r="GCG23" s="57"/>
      <c r="GCH23" s="57"/>
      <c r="GCI23" s="57"/>
      <c r="GCJ23" s="57"/>
      <c r="GCK23" s="57"/>
      <c r="GCL23" s="57"/>
      <c r="GCM23" s="57"/>
      <c r="GCN23" s="57"/>
      <c r="GCO23" s="57"/>
      <c r="GCP23" s="57"/>
      <c r="GCQ23" s="57"/>
      <c r="GCR23" s="57"/>
      <c r="GCS23" s="57"/>
      <c r="GCT23" s="57"/>
      <c r="GCU23" s="57"/>
      <c r="GCV23" s="57"/>
      <c r="GCW23" s="57"/>
      <c r="GCX23" s="57"/>
      <c r="GCY23" s="57"/>
      <c r="GCZ23" s="57"/>
      <c r="GDA23" s="57"/>
      <c r="GDB23" s="57"/>
      <c r="GDC23" s="57"/>
      <c r="GDD23" s="57"/>
      <c r="GDE23" s="57"/>
      <c r="GDF23" s="57"/>
      <c r="GDG23" s="57"/>
      <c r="GDH23" s="57"/>
      <c r="GDI23" s="57"/>
      <c r="GDJ23" s="57"/>
      <c r="GDK23" s="57"/>
      <c r="GDL23" s="57"/>
      <c r="GDM23" s="57"/>
      <c r="GDN23" s="57"/>
      <c r="GDO23" s="57"/>
      <c r="GDP23" s="57"/>
      <c r="GDQ23" s="57"/>
      <c r="GDR23" s="57"/>
      <c r="GDS23" s="57"/>
      <c r="GDT23" s="57"/>
      <c r="GDU23" s="57"/>
      <c r="GDV23" s="57"/>
      <c r="GDW23" s="57"/>
      <c r="GDX23" s="57"/>
      <c r="GDY23" s="57"/>
      <c r="GDZ23" s="57"/>
      <c r="GEA23" s="57"/>
      <c r="GEB23" s="57"/>
      <c r="GEC23" s="57"/>
      <c r="GED23" s="57"/>
      <c r="GEE23" s="57"/>
      <c r="GEF23" s="57"/>
      <c r="GEG23" s="57"/>
      <c r="GEH23" s="57"/>
      <c r="GEI23" s="57"/>
      <c r="GEJ23" s="57"/>
      <c r="GEK23" s="57"/>
      <c r="GEL23" s="57"/>
      <c r="GEM23" s="57"/>
      <c r="GEN23" s="57"/>
      <c r="GEO23" s="57"/>
      <c r="GEP23" s="57"/>
      <c r="GEQ23" s="57"/>
      <c r="GER23" s="57"/>
      <c r="GES23" s="57"/>
      <c r="GET23" s="57"/>
      <c r="GEU23" s="57"/>
      <c r="GEV23" s="57"/>
      <c r="GEW23" s="57"/>
      <c r="GEX23" s="57"/>
      <c r="GEY23" s="57"/>
      <c r="GEZ23" s="57"/>
      <c r="GFA23" s="57"/>
      <c r="GFB23" s="57"/>
      <c r="GFC23" s="57"/>
      <c r="GFD23" s="57"/>
      <c r="GFE23" s="57"/>
      <c r="GFF23" s="57"/>
      <c r="GFG23" s="57"/>
      <c r="GFH23" s="57"/>
      <c r="GFI23" s="57"/>
      <c r="GFJ23" s="57"/>
      <c r="GFK23" s="57"/>
      <c r="GFL23" s="57"/>
      <c r="GFM23" s="57"/>
      <c r="GFN23" s="57"/>
      <c r="GFO23" s="57"/>
      <c r="GFP23" s="57"/>
      <c r="GFQ23" s="57"/>
      <c r="GFR23" s="57"/>
      <c r="GFS23" s="57"/>
      <c r="GFT23" s="57"/>
      <c r="GFU23" s="57"/>
      <c r="GFV23" s="57"/>
      <c r="GFW23" s="57"/>
      <c r="GFX23" s="57"/>
      <c r="GFY23" s="57"/>
      <c r="GFZ23" s="57"/>
      <c r="GGA23" s="57"/>
      <c r="GGB23" s="57"/>
      <c r="GGC23" s="57"/>
      <c r="GGD23" s="57"/>
      <c r="GGE23" s="57"/>
      <c r="GGF23" s="57"/>
      <c r="GGG23" s="57"/>
      <c r="GGH23" s="57"/>
      <c r="GGI23" s="57"/>
      <c r="GGJ23" s="57"/>
      <c r="GGK23" s="57"/>
      <c r="GGL23" s="57"/>
      <c r="GGM23" s="57"/>
      <c r="GGN23" s="57"/>
      <c r="GGO23" s="57"/>
      <c r="GGP23" s="57"/>
      <c r="GGQ23" s="57"/>
      <c r="GGR23" s="57"/>
      <c r="GGS23" s="57"/>
      <c r="GGT23" s="57"/>
      <c r="GGU23" s="57"/>
      <c r="GGV23" s="57"/>
      <c r="GGW23" s="57"/>
      <c r="GGX23" s="57"/>
      <c r="GGY23" s="57"/>
      <c r="GGZ23" s="57"/>
      <c r="GHA23" s="57"/>
      <c r="GHB23" s="57"/>
      <c r="GHC23" s="57"/>
      <c r="GHD23" s="57"/>
      <c r="GHE23" s="57"/>
      <c r="GHF23" s="57"/>
      <c r="GHG23" s="57"/>
      <c r="GHH23" s="57"/>
      <c r="GHI23" s="57"/>
      <c r="GHJ23" s="57"/>
      <c r="GHK23" s="57"/>
      <c r="GHL23" s="57"/>
      <c r="GHM23" s="57"/>
      <c r="GHN23" s="57"/>
      <c r="GHO23" s="57"/>
      <c r="GHP23" s="57"/>
      <c r="GHQ23" s="57"/>
      <c r="GHR23" s="57"/>
      <c r="GHS23" s="57"/>
      <c r="GHT23" s="57"/>
      <c r="GHU23" s="57"/>
      <c r="GHV23" s="57"/>
      <c r="GHW23" s="57"/>
      <c r="GHX23" s="57"/>
      <c r="GHY23" s="57"/>
      <c r="GHZ23" s="57"/>
      <c r="GIA23" s="57"/>
      <c r="GIB23" s="57"/>
      <c r="GIC23" s="57"/>
      <c r="GID23" s="57"/>
      <c r="GIE23" s="57"/>
      <c r="GIF23" s="57"/>
      <c r="GIG23" s="57"/>
      <c r="GIH23" s="57"/>
      <c r="GII23" s="57"/>
      <c r="GIJ23" s="57"/>
      <c r="GIK23" s="57"/>
      <c r="GIL23" s="57"/>
      <c r="GIM23" s="57"/>
      <c r="GIN23" s="57"/>
      <c r="GIO23" s="57"/>
      <c r="GIP23" s="57"/>
      <c r="GIQ23" s="57"/>
      <c r="GIR23" s="57"/>
      <c r="GIS23" s="57"/>
      <c r="GIT23" s="57"/>
      <c r="GIU23" s="57"/>
      <c r="GIV23" s="57"/>
      <c r="GIW23" s="57"/>
      <c r="GIX23" s="57"/>
      <c r="GIY23" s="57"/>
      <c r="GIZ23" s="57"/>
      <c r="GJA23" s="57"/>
      <c r="GJB23" s="57"/>
      <c r="GJC23" s="57"/>
      <c r="GJD23" s="57"/>
      <c r="GJE23" s="57"/>
      <c r="GJF23" s="57"/>
      <c r="GJG23" s="57"/>
      <c r="GJH23" s="57"/>
      <c r="GJI23" s="57"/>
      <c r="GJJ23" s="57"/>
      <c r="GJK23" s="57"/>
      <c r="GJL23" s="57"/>
      <c r="GJM23" s="57"/>
      <c r="GJN23" s="57"/>
      <c r="GJO23" s="57"/>
      <c r="GJP23" s="57"/>
      <c r="GJQ23" s="57"/>
      <c r="GJR23" s="57"/>
      <c r="GJS23" s="57"/>
      <c r="GJT23" s="57"/>
      <c r="GJU23" s="57"/>
      <c r="GJV23" s="57"/>
      <c r="GJW23" s="57"/>
      <c r="GJX23" s="57"/>
      <c r="GJY23" s="57"/>
      <c r="GJZ23" s="57"/>
      <c r="GKA23" s="57"/>
      <c r="GKB23" s="57"/>
      <c r="GKC23" s="57"/>
      <c r="GKD23" s="57"/>
      <c r="GKE23" s="57"/>
      <c r="GKF23" s="57"/>
      <c r="GKG23" s="57"/>
      <c r="GKH23" s="57"/>
      <c r="GKI23" s="57"/>
      <c r="GKJ23" s="57"/>
      <c r="GKK23" s="57"/>
      <c r="GKL23" s="57"/>
      <c r="GKM23" s="57"/>
      <c r="GKN23" s="57"/>
      <c r="GKO23" s="57"/>
      <c r="GKP23" s="57"/>
      <c r="GKQ23" s="57"/>
      <c r="GKR23" s="57"/>
      <c r="GKS23" s="57"/>
      <c r="GKT23" s="57"/>
      <c r="GKU23" s="57"/>
      <c r="GKV23" s="57"/>
      <c r="GKW23" s="57"/>
      <c r="GKX23" s="57"/>
      <c r="GKY23" s="57"/>
      <c r="GKZ23" s="57"/>
      <c r="GLA23" s="57"/>
      <c r="GLB23" s="57"/>
      <c r="GLC23" s="57"/>
      <c r="GLD23" s="57"/>
      <c r="GLE23" s="57"/>
      <c r="GLF23" s="57"/>
      <c r="GLG23" s="57"/>
      <c r="GLH23" s="57"/>
      <c r="GLI23" s="57"/>
      <c r="GLJ23" s="57"/>
      <c r="GLK23" s="57"/>
      <c r="GLL23" s="57"/>
      <c r="GLM23" s="57"/>
      <c r="GLN23" s="57"/>
      <c r="GLO23" s="57"/>
      <c r="GLP23" s="57"/>
      <c r="GLQ23" s="57"/>
      <c r="GLR23" s="57"/>
      <c r="GLS23" s="57"/>
      <c r="GLT23" s="57"/>
      <c r="GLU23" s="57"/>
      <c r="GLV23" s="57"/>
      <c r="GLW23" s="57"/>
      <c r="GLX23" s="57"/>
      <c r="GLY23" s="57"/>
      <c r="GLZ23" s="57"/>
      <c r="GMA23" s="57"/>
      <c r="GMB23" s="57"/>
      <c r="GMC23" s="57"/>
      <c r="GMD23" s="57"/>
      <c r="GME23" s="57"/>
      <c r="GMF23" s="57"/>
      <c r="GMG23" s="57"/>
      <c r="GMH23" s="57"/>
      <c r="GMI23" s="57"/>
      <c r="GMJ23" s="57"/>
      <c r="GMK23" s="57"/>
      <c r="GML23" s="57"/>
      <c r="GMM23" s="57"/>
      <c r="GMN23" s="57"/>
      <c r="GMO23" s="57"/>
      <c r="GMP23" s="57"/>
      <c r="GMQ23" s="57"/>
      <c r="GMR23" s="57"/>
      <c r="GMS23" s="57"/>
      <c r="GMT23" s="57"/>
      <c r="GMU23" s="57"/>
      <c r="GMV23" s="57"/>
      <c r="GMW23" s="57"/>
      <c r="GMX23" s="57"/>
      <c r="GMY23" s="57"/>
      <c r="GMZ23" s="57"/>
      <c r="GNA23" s="57"/>
      <c r="GNB23" s="57"/>
      <c r="GNC23" s="57"/>
      <c r="GND23" s="57"/>
      <c r="GNE23" s="57"/>
      <c r="GNF23" s="57"/>
      <c r="GNG23" s="57"/>
      <c r="GNH23" s="57"/>
      <c r="GNI23" s="57"/>
      <c r="GNJ23" s="57"/>
      <c r="GNK23" s="57"/>
      <c r="GNL23" s="57"/>
      <c r="GNM23" s="57"/>
      <c r="GNN23" s="57"/>
      <c r="GNO23" s="57"/>
      <c r="GNP23" s="57"/>
      <c r="GNQ23" s="57"/>
      <c r="GNR23" s="57"/>
      <c r="GNS23" s="57"/>
      <c r="GNT23" s="57"/>
      <c r="GNU23" s="57"/>
      <c r="GNV23" s="57"/>
      <c r="GNW23" s="57"/>
      <c r="GNX23" s="57"/>
      <c r="GNY23" s="57"/>
      <c r="GNZ23" s="57"/>
      <c r="GOA23" s="57"/>
      <c r="GOB23" s="57"/>
      <c r="GOC23" s="57"/>
      <c r="GOD23" s="57"/>
      <c r="GOE23" s="57"/>
      <c r="GOF23" s="57"/>
      <c r="GOG23" s="57"/>
      <c r="GOH23" s="57"/>
      <c r="GOI23" s="57"/>
      <c r="GOJ23" s="57"/>
      <c r="GOK23" s="57"/>
      <c r="GOL23" s="57"/>
      <c r="GOM23" s="57"/>
      <c r="GON23" s="57"/>
      <c r="GOO23" s="57"/>
      <c r="GOP23" s="57"/>
      <c r="GOQ23" s="57"/>
      <c r="GOR23" s="57"/>
      <c r="GOS23" s="57"/>
      <c r="GOT23" s="57"/>
      <c r="GOU23" s="57"/>
      <c r="GOV23" s="57"/>
      <c r="GOW23" s="57"/>
      <c r="GOX23" s="57"/>
      <c r="GOY23" s="57"/>
      <c r="GOZ23" s="57"/>
      <c r="GPA23" s="57"/>
      <c r="GPB23" s="57"/>
      <c r="GPC23" s="57"/>
      <c r="GPD23" s="57"/>
      <c r="GPE23" s="57"/>
      <c r="GPF23" s="57"/>
      <c r="GPG23" s="57"/>
      <c r="GPH23" s="57"/>
      <c r="GPI23" s="57"/>
      <c r="GPJ23" s="57"/>
      <c r="GPK23" s="57"/>
      <c r="GPL23" s="57"/>
      <c r="GPM23" s="57"/>
      <c r="GPN23" s="57"/>
      <c r="GPO23" s="57"/>
      <c r="GPP23" s="57"/>
      <c r="GPQ23" s="57"/>
      <c r="GPR23" s="57"/>
      <c r="GPS23" s="57"/>
      <c r="GPT23" s="57"/>
      <c r="GPU23" s="57"/>
      <c r="GPV23" s="57"/>
      <c r="GPW23" s="57"/>
      <c r="GPX23" s="57"/>
      <c r="GPY23" s="57"/>
      <c r="GPZ23" s="57"/>
      <c r="GQA23" s="57"/>
      <c r="GQB23" s="57"/>
      <c r="GQC23" s="57"/>
      <c r="GQD23" s="57"/>
      <c r="GQE23" s="57"/>
      <c r="GQF23" s="57"/>
      <c r="GQG23" s="57"/>
      <c r="GQH23" s="57"/>
      <c r="GQI23" s="57"/>
      <c r="GQJ23" s="57"/>
      <c r="GQK23" s="57"/>
      <c r="GQL23" s="57"/>
      <c r="GQM23" s="57"/>
      <c r="GQN23" s="57"/>
      <c r="GQO23" s="57"/>
      <c r="GQP23" s="57"/>
      <c r="GQQ23" s="57"/>
      <c r="GQR23" s="57"/>
      <c r="GQS23" s="57"/>
      <c r="GQT23" s="57"/>
      <c r="GQU23" s="57"/>
      <c r="GQV23" s="57"/>
      <c r="GQW23" s="57"/>
      <c r="GQX23" s="57"/>
      <c r="GQY23" s="57"/>
      <c r="GQZ23" s="57"/>
      <c r="GRA23" s="57"/>
      <c r="GRB23" s="57"/>
      <c r="GRC23" s="57"/>
      <c r="GRD23" s="57"/>
      <c r="GRE23" s="57"/>
      <c r="GRF23" s="57"/>
      <c r="GRG23" s="57"/>
      <c r="GRH23" s="57"/>
      <c r="GRI23" s="57"/>
      <c r="GRJ23" s="57"/>
      <c r="GRK23" s="57"/>
      <c r="GRL23" s="57"/>
      <c r="GRM23" s="57"/>
      <c r="GRN23" s="57"/>
      <c r="GRO23" s="57"/>
      <c r="GRP23" s="57"/>
      <c r="GRQ23" s="57"/>
      <c r="GRR23" s="57"/>
      <c r="GRS23" s="57"/>
      <c r="GRT23" s="57"/>
      <c r="GRU23" s="57"/>
      <c r="GRV23" s="57"/>
      <c r="GRW23" s="57"/>
      <c r="GRX23" s="57"/>
      <c r="GRY23" s="57"/>
      <c r="GRZ23" s="57"/>
      <c r="GSA23" s="57"/>
      <c r="GSB23" s="57"/>
      <c r="GSC23" s="57"/>
      <c r="GSD23" s="57"/>
      <c r="GSE23" s="57"/>
      <c r="GSF23" s="57"/>
      <c r="GSG23" s="57"/>
      <c r="GSH23" s="57"/>
      <c r="GSI23" s="57"/>
      <c r="GSJ23" s="57"/>
      <c r="GSK23" s="57"/>
      <c r="GSL23" s="57"/>
      <c r="GSM23" s="57"/>
      <c r="GSN23" s="57"/>
      <c r="GSO23" s="57"/>
      <c r="GSP23" s="57"/>
      <c r="GSQ23" s="57"/>
      <c r="GSR23" s="57"/>
      <c r="GSS23" s="57"/>
      <c r="GST23" s="57"/>
      <c r="GSU23" s="57"/>
      <c r="GSV23" s="57"/>
      <c r="GSW23" s="57"/>
      <c r="GSX23" s="57"/>
      <c r="GSY23" s="57"/>
      <c r="GSZ23" s="57"/>
      <c r="GTA23" s="57"/>
      <c r="GTB23" s="57"/>
      <c r="GTC23" s="57"/>
      <c r="GTD23" s="57"/>
      <c r="GTE23" s="57"/>
      <c r="GTF23" s="57"/>
      <c r="GTG23" s="57"/>
      <c r="GTH23" s="57"/>
      <c r="GTI23" s="57"/>
      <c r="GTJ23" s="57"/>
      <c r="GTK23" s="57"/>
      <c r="GTL23" s="57"/>
      <c r="GTM23" s="57"/>
      <c r="GTN23" s="57"/>
      <c r="GTO23" s="57"/>
      <c r="GTP23" s="57"/>
      <c r="GTQ23" s="57"/>
      <c r="GTR23" s="57"/>
      <c r="GTS23" s="57"/>
      <c r="GTT23" s="57"/>
      <c r="GTU23" s="57"/>
      <c r="GTV23" s="57"/>
      <c r="GTW23" s="57"/>
      <c r="GTX23" s="57"/>
      <c r="GTY23" s="57"/>
      <c r="GTZ23" s="57"/>
      <c r="GUA23" s="57"/>
      <c r="GUB23" s="57"/>
      <c r="GUC23" s="57"/>
      <c r="GUD23" s="57"/>
      <c r="GUE23" s="57"/>
      <c r="GUF23" s="57"/>
      <c r="GUG23" s="57"/>
      <c r="GUH23" s="57"/>
      <c r="GUI23" s="57"/>
      <c r="GUJ23" s="57"/>
      <c r="GUK23" s="57"/>
      <c r="GUL23" s="57"/>
      <c r="GUM23" s="57"/>
      <c r="GUN23" s="57"/>
      <c r="GUO23" s="57"/>
      <c r="GUP23" s="57"/>
      <c r="GUQ23" s="57"/>
      <c r="GUR23" s="57"/>
      <c r="GUS23" s="57"/>
      <c r="GUT23" s="57"/>
      <c r="GUU23" s="57"/>
      <c r="GUV23" s="57"/>
      <c r="GUW23" s="57"/>
      <c r="GUX23" s="57"/>
      <c r="GUY23" s="57"/>
      <c r="GUZ23" s="57"/>
      <c r="GVA23" s="57"/>
      <c r="GVB23" s="57"/>
      <c r="GVC23" s="57"/>
      <c r="GVD23" s="57"/>
      <c r="GVE23" s="57"/>
      <c r="GVF23" s="57"/>
      <c r="GVG23" s="57"/>
      <c r="GVH23" s="57"/>
      <c r="GVI23" s="57"/>
      <c r="GVJ23" s="57"/>
      <c r="GVK23" s="57"/>
      <c r="GVL23" s="57"/>
      <c r="GVM23" s="57"/>
      <c r="GVN23" s="57"/>
      <c r="GVO23" s="57"/>
      <c r="GVP23" s="57"/>
      <c r="GVQ23" s="57"/>
      <c r="GVR23" s="57"/>
      <c r="GVS23" s="57"/>
      <c r="GVT23" s="57"/>
      <c r="GVU23" s="57"/>
      <c r="GVV23" s="57"/>
      <c r="GVW23" s="57"/>
      <c r="GVX23" s="57"/>
      <c r="GVY23" s="57"/>
      <c r="GVZ23" s="57"/>
      <c r="GWA23" s="57"/>
      <c r="GWB23" s="57"/>
      <c r="GWC23" s="57"/>
      <c r="GWD23" s="57"/>
      <c r="GWE23" s="57"/>
      <c r="GWF23" s="57"/>
      <c r="GWG23" s="57"/>
      <c r="GWH23" s="57"/>
      <c r="GWI23" s="57"/>
      <c r="GWJ23" s="57"/>
      <c r="GWK23" s="57"/>
      <c r="GWL23" s="57"/>
      <c r="GWM23" s="57"/>
      <c r="GWN23" s="57"/>
      <c r="GWO23" s="57"/>
      <c r="GWP23" s="57"/>
      <c r="GWQ23" s="57"/>
      <c r="GWR23" s="57"/>
      <c r="GWS23" s="57"/>
      <c r="GWT23" s="57"/>
      <c r="GWU23" s="57"/>
      <c r="GWV23" s="57"/>
      <c r="GWW23" s="57"/>
      <c r="GWX23" s="57"/>
      <c r="GWY23" s="57"/>
      <c r="GWZ23" s="57"/>
      <c r="GXA23" s="57"/>
      <c r="GXB23" s="57"/>
      <c r="GXC23" s="57"/>
      <c r="GXD23" s="57"/>
      <c r="GXE23" s="57"/>
      <c r="GXF23" s="57"/>
      <c r="GXG23" s="57"/>
      <c r="GXH23" s="57"/>
      <c r="GXI23" s="57"/>
      <c r="GXJ23" s="57"/>
      <c r="GXK23" s="57"/>
      <c r="GXL23" s="57"/>
      <c r="GXM23" s="57"/>
      <c r="GXN23" s="57"/>
      <c r="GXO23" s="57"/>
      <c r="GXP23" s="57"/>
      <c r="GXQ23" s="57"/>
      <c r="GXR23" s="57"/>
      <c r="GXS23" s="57"/>
      <c r="GXT23" s="57"/>
      <c r="GXU23" s="57"/>
      <c r="GXV23" s="57"/>
      <c r="GXW23" s="57"/>
      <c r="GXX23" s="57"/>
      <c r="GXY23" s="57"/>
      <c r="GXZ23" s="57"/>
      <c r="GYA23" s="57"/>
      <c r="GYB23" s="57"/>
      <c r="GYC23" s="57"/>
      <c r="GYD23" s="57"/>
      <c r="GYE23" s="57"/>
      <c r="GYF23" s="57"/>
      <c r="GYG23" s="57"/>
      <c r="GYH23" s="57"/>
      <c r="GYI23" s="57"/>
      <c r="GYJ23" s="57"/>
      <c r="GYK23" s="57"/>
      <c r="GYL23" s="57"/>
      <c r="GYM23" s="57"/>
      <c r="GYN23" s="57"/>
      <c r="GYO23" s="57"/>
      <c r="GYP23" s="57"/>
      <c r="GYQ23" s="57"/>
      <c r="GYR23" s="57"/>
      <c r="GYS23" s="57"/>
      <c r="GYT23" s="57"/>
      <c r="GYU23" s="57"/>
      <c r="GYV23" s="57"/>
      <c r="GYW23" s="57"/>
      <c r="GYX23" s="57"/>
      <c r="GYY23" s="57"/>
      <c r="GYZ23" s="57"/>
      <c r="GZA23" s="57"/>
      <c r="GZB23" s="57"/>
      <c r="GZC23" s="57"/>
      <c r="GZD23" s="57"/>
      <c r="GZE23" s="57"/>
      <c r="GZF23" s="57"/>
      <c r="GZG23" s="57"/>
      <c r="GZH23" s="57"/>
      <c r="GZI23" s="57"/>
      <c r="GZJ23" s="57"/>
      <c r="GZK23" s="57"/>
      <c r="GZL23" s="57"/>
      <c r="GZM23" s="57"/>
      <c r="GZN23" s="57"/>
      <c r="GZO23" s="57"/>
      <c r="GZP23" s="57"/>
      <c r="GZQ23" s="57"/>
      <c r="GZR23" s="57"/>
      <c r="GZS23" s="57"/>
      <c r="GZT23" s="57"/>
      <c r="GZU23" s="57"/>
      <c r="GZV23" s="57"/>
      <c r="GZW23" s="57"/>
      <c r="GZX23" s="57"/>
      <c r="GZY23" s="57"/>
      <c r="GZZ23" s="57"/>
      <c r="HAA23" s="57"/>
      <c r="HAB23" s="57"/>
      <c r="HAC23" s="57"/>
      <c r="HAD23" s="57"/>
      <c r="HAE23" s="57"/>
      <c r="HAF23" s="57"/>
      <c r="HAG23" s="57"/>
      <c r="HAH23" s="57"/>
      <c r="HAI23" s="57"/>
      <c r="HAJ23" s="57"/>
      <c r="HAK23" s="57"/>
      <c r="HAL23" s="57"/>
      <c r="HAM23" s="57"/>
      <c r="HAN23" s="57"/>
      <c r="HAO23" s="57"/>
      <c r="HAP23" s="57"/>
      <c r="HAQ23" s="57"/>
      <c r="HAR23" s="57"/>
      <c r="HAS23" s="57"/>
      <c r="HAT23" s="57"/>
      <c r="HAU23" s="57"/>
      <c r="HAV23" s="57"/>
      <c r="HAW23" s="57"/>
      <c r="HAX23" s="57"/>
      <c r="HAY23" s="57"/>
      <c r="HAZ23" s="57"/>
      <c r="HBA23" s="57"/>
      <c r="HBB23" s="57"/>
      <c r="HBC23" s="57"/>
      <c r="HBD23" s="57"/>
      <c r="HBE23" s="57"/>
      <c r="HBF23" s="57"/>
      <c r="HBG23" s="57"/>
      <c r="HBH23" s="57"/>
      <c r="HBI23" s="57"/>
      <c r="HBJ23" s="57"/>
      <c r="HBK23" s="57"/>
      <c r="HBL23" s="57"/>
      <c r="HBM23" s="57"/>
      <c r="HBN23" s="57"/>
      <c r="HBO23" s="57"/>
      <c r="HBP23" s="57"/>
      <c r="HBQ23" s="57"/>
      <c r="HBR23" s="57"/>
      <c r="HBS23" s="57"/>
      <c r="HBT23" s="57"/>
      <c r="HBU23" s="57"/>
      <c r="HBV23" s="57"/>
      <c r="HBW23" s="57"/>
      <c r="HBX23" s="57"/>
      <c r="HBY23" s="57"/>
      <c r="HBZ23" s="57"/>
      <c r="HCA23" s="57"/>
      <c r="HCB23" s="57"/>
      <c r="HCC23" s="57"/>
      <c r="HCD23" s="57"/>
      <c r="HCE23" s="57"/>
      <c r="HCF23" s="57"/>
      <c r="HCG23" s="57"/>
      <c r="HCH23" s="57"/>
      <c r="HCI23" s="57"/>
      <c r="HCJ23" s="57"/>
      <c r="HCK23" s="57"/>
      <c r="HCL23" s="57"/>
      <c r="HCM23" s="57"/>
      <c r="HCN23" s="57"/>
      <c r="HCO23" s="57"/>
      <c r="HCP23" s="57"/>
      <c r="HCQ23" s="57"/>
      <c r="HCR23" s="57"/>
      <c r="HCS23" s="57"/>
      <c r="HCT23" s="57"/>
      <c r="HCU23" s="57"/>
      <c r="HCV23" s="57"/>
      <c r="HCW23" s="57"/>
      <c r="HCX23" s="57"/>
      <c r="HCY23" s="57"/>
      <c r="HCZ23" s="57"/>
      <c r="HDA23" s="57"/>
      <c r="HDB23" s="57"/>
      <c r="HDC23" s="57"/>
      <c r="HDD23" s="57"/>
      <c r="HDE23" s="57"/>
      <c r="HDF23" s="57"/>
      <c r="HDG23" s="57"/>
      <c r="HDH23" s="57"/>
      <c r="HDI23" s="57"/>
      <c r="HDJ23" s="57"/>
      <c r="HDK23" s="57"/>
      <c r="HDL23" s="57"/>
      <c r="HDM23" s="57"/>
      <c r="HDN23" s="57"/>
      <c r="HDO23" s="57"/>
      <c r="HDP23" s="57"/>
      <c r="HDQ23" s="57"/>
      <c r="HDR23" s="57"/>
      <c r="HDS23" s="57"/>
      <c r="HDT23" s="57"/>
      <c r="HDU23" s="57"/>
      <c r="HDV23" s="57"/>
      <c r="HDW23" s="57"/>
      <c r="HDX23" s="57"/>
      <c r="HDY23" s="57"/>
      <c r="HDZ23" s="57"/>
      <c r="HEA23" s="57"/>
      <c r="HEB23" s="57"/>
      <c r="HEC23" s="57"/>
      <c r="HED23" s="57"/>
      <c r="HEE23" s="57"/>
      <c r="HEF23" s="57"/>
      <c r="HEG23" s="57"/>
      <c r="HEH23" s="57"/>
      <c r="HEI23" s="57"/>
      <c r="HEJ23" s="57"/>
      <c r="HEK23" s="57"/>
      <c r="HEL23" s="57"/>
      <c r="HEM23" s="57"/>
      <c r="HEN23" s="57"/>
      <c r="HEO23" s="57"/>
      <c r="HEP23" s="57"/>
      <c r="HEQ23" s="57"/>
      <c r="HER23" s="57"/>
      <c r="HES23" s="57"/>
      <c r="HET23" s="57"/>
      <c r="HEU23" s="57"/>
      <c r="HEV23" s="57"/>
      <c r="HEW23" s="57"/>
      <c r="HEX23" s="57"/>
      <c r="HEY23" s="57"/>
      <c r="HEZ23" s="57"/>
      <c r="HFA23" s="57"/>
      <c r="HFB23" s="57"/>
      <c r="HFC23" s="57"/>
      <c r="HFD23" s="57"/>
      <c r="HFE23" s="57"/>
      <c r="HFF23" s="57"/>
      <c r="HFG23" s="57"/>
      <c r="HFH23" s="57"/>
      <c r="HFI23" s="57"/>
      <c r="HFJ23" s="57"/>
      <c r="HFK23" s="57"/>
      <c r="HFL23" s="57"/>
      <c r="HFM23" s="57"/>
      <c r="HFN23" s="57"/>
      <c r="HFO23" s="57"/>
      <c r="HFP23" s="57"/>
      <c r="HFQ23" s="57"/>
      <c r="HFR23" s="57"/>
      <c r="HFS23" s="57"/>
      <c r="HFT23" s="57"/>
      <c r="HFU23" s="57"/>
      <c r="HFV23" s="57"/>
      <c r="HFW23" s="57"/>
      <c r="HFX23" s="57"/>
      <c r="HFY23" s="57"/>
      <c r="HFZ23" s="57"/>
      <c r="HGA23" s="57"/>
      <c r="HGB23" s="57"/>
      <c r="HGC23" s="57"/>
      <c r="HGD23" s="57"/>
      <c r="HGE23" s="57"/>
      <c r="HGF23" s="57"/>
      <c r="HGG23" s="57"/>
      <c r="HGH23" s="57"/>
      <c r="HGI23" s="57"/>
      <c r="HGJ23" s="57"/>
      <c r="HGK23" s="57"/>
      <c r="HGL23" s="57"/>
      <c r="HGM23" s="57"/>
      <c r="HGN23" s="57"/>
      <c r="HGO23" s="57"/>
      <c r="HGP23" s="57"/>
      <c r="HGQ23" s="57"/>
      <c r="HGR23" s="57"/>
      <c r="HGS23" s="57"/>
      <c r="HGT23" s="57"/>
      <c r="HGU23" s="57"/>
      <c r="HGV23" s="57"/>
      <c r="HGW23" s="57"/>
      <c r="HGX23" s="57"/>
      <c r="HGY23" s="57"/>
      <c r="HGZ23" s="57"/>
      <c r="HHA23" s="57"/>
      <c r="HHB23" s="57"/>
      <c r="HHC23" s="57"/>
      <c r="HHD23" s="57"/>
      <c r="HHE23" s="57"/>
      <c r="HHF23" s="57"/>
      <c r="HHG23" s="57"/>
      <c r="HHH23" s="57"/>
      <c r="HHI23" s="57"/>
      <c r="HHJ23" s="57"/>
      <c r="HHK23" s="57"/>
      <c r="HHL23" s="57"/>
      <c r="HHM23" s="57"/>
      <c r="HHN23" s="57"/>
      <c r="HHO23" s="57"/>
      <c r="HHP23" s="57"/>
      <c r="HHQ23" s="57"/>
      <c r="HHR23" s="57"/>
      <c r="HHS23" s="57"/>
      <c r="HHT23" s="57"/>
      <c r="HHU23" s="57"/>
      <c r="HHV23" s="57"/>
      <c r="HHW23" s="57"/>
      <c r="HHX23" s="57"/>
      <c r="HHY23" s="57"/>
      <c r="HHZ23" s="57"/>
      <c r="HIA23" s="57"/>
      <c r="HIB23" s="57"/>
      <c r="HIC23" s="57"/>
      <c r="HID23" s="57"/>
      <c r="HIE23" s="57"/>
      <c r="HIF23" s="57"/>
      <c r="HIG23" s="57"/>
      <c r="HIH23" s="57"/>
      <c r="HII23" s="57"/>
      <c r="HIJ23" s="57"/>
      <c r="HIK23" s="57"/>
      <c r="HIL23" s="57"/>
      <c r="HIM23" s="57"/>
      <c r="HIN23" s="57"/>
      <c r="HIO23" s="57"/>
      <c r="HIP23" s="57"/>
      <c r="HIQ23" s="57"/>
      <c r="HIR23" s="57"/>
      <c r="HIS23" s="57"/>
      <c r="HIT23" s="57"/>
      <c r="HIU23" s="57"/>
      <c r="HIV23" s="57"/>
      <c r="HIW23" s="57"/>
      <c r="HIX23" s="57"/>
      <c r="HIY23" s="57"/>
      <c r="HIZ23" s="57"/>
      <c r="HJA23" s="57"/>
      <c r="HJB23" s="57"/>
      <c r="HJC23" s="57"/>
      <c r="HJD23" s="57"/>
      <c r="HJE23" s="57"/>
      <c r="HJF23" s="57"/>
      <c r="HJG23" s="57"/>
      <c r="HJH23" s="57"/>
      <c r="HJI23" s="57"/>
      <c r="HJJ23" s="57"/>
      <c r="HJK23" s="57"/>
      <c r="HJL23" s="57"/>
      <c r="HJM23" s="57"/>
      <c r="HJN23" s="57"/>
      <c r="HJO23" s="57"/>
      <c r="HJP23" s="57"/>
      <c r="HJQ23" s="57"/>
      <c r="HJR23" s="57"/>
      <c r="HJS23" s="57"/>
      <c r="HJT23" s="57"/>
      <c r="HJU23" s="57"/>
      <c r="HJV23" s="57"/>
      <c r="HJW23" s="57"/>
      <c r="HJX23" s="57"/>
      <c r="HJY23" s="57"/>
      <c r="HJZ23" s="57"/>
      <c r="HKA23" s="57"/>
      <c r="HKB23" s="57"/>
      <c r="HKC23" s="57"/>
      <c r="HKD23" s="57"/>
      <c r="HKE23" s="57"/>
      <c r="HKF23" s="57"/>
      <c r="HKG23" s="57"/>
      <c r="HKH23" s="57"/>
      <c r="HKI23" s="57"/>
      <c r="HKJ23" s="57"/>
      <c r="HKK23" s="57"/>
      <c r="HKL23" s="57"/>
      <c r="HKM23" s="57"/>
      <c r="HKN23" s="57"/>
      <c r="HKO23" s="57"/>
      <c r="HKP23" s="57"/>
      <c r="HKQ23" s="57"/>
      <c r="HKR23" s="57"/>
      <c r="HKS23" s="57"/>
      <c r="HKT23" s="57"/>
      <c r="HKU23" s="57"/>
      <c r="HKV23" s="57"/>
      <c r="HKW23" s="57"/>
      <c r="HKX23" s="57"/>
      <c r="HKY23" s="57"/>
      <c r="HKZ23" s="57"/>
      <c r="HLA23" s="57"/>
      <c r="HLB23" s="57"/>
      <c r="HLC23" s="57"/>
      <c r="HLD23" s="57"/>
      <c r="HLE23" s="57"/>
      <c r="HLF23" s="57"/>
      <c r="HLG23" s="57"/>
      <c r="HLH23" s="57"/>
      <c r="HLI23" s="57"/>
      <c r="HLJ23" s="57"/>
      <c r="HLK23" s="57"/>
      <c r="HLL23" s="57"/>
      <c r="HLM23" s="57"/>
      <c r="HLN23" s="57"/>
      <c r="HLO23" s="57"/>
      <c r="HLP23" s="57"/>
      <c r="HLQ23" s="57"/>
      <c r="HLR23" s="57"/>
      <c r="HLS23" s="57"/>
      <c r="HLT23" s="57"/>
      <c r="HLU23" s="57"/>
      <c r="HLV23" s="57"/>
      <c r="HLW23" s="57"/>
      <c r="HLX23" s="57"/>
      <c r="HLY23" s="57"/>
      <c r="HLZ23" s="57"/>
      <c r="HMA23" s="57"/>
      <c r="HMB23" s="57"/>
      <c r="HMC23" s="57"/>
      <c r="HMD23" s="57"/>
      <c r="HME23" s="57"/>
      <c r="HMF23" s="57"/>
      <c r="HMG23" s="57"/>
      <c r="HMH23" s="57"/>
      <c r="HMI23" s="57"/>
      <c r="HMJ23" s="57"/>
      <c r="HMK23" s="57"/>
      <c r="HML23" s="57"/>
      <c r="HMM23" s="57"/>
      <c r="HMN23" s="57"/>
      <c r="HMO23" s="57"/>
      <c r="HMP23" s="57"/>
      <c r="HMQ23" s="57"/>
      <c r="HMR23" s="57"/>
      <c r="HMS23" s="57"/>
      <c r="HMT23" s="57"/>
      <c r="HMU23" s="57"/>
      <c r="HMV23" s="57"/>
      <c r="HMW23" s="57"/>
      <c r="HMX23" s="57"/>
      <c r="HMY23" s="57"/>
      <c r="HMZ23" s="57"/>
      <c r="HNA23" s="57"/>
      <c r="HNB23" s="57"/>
      <c r="HNC23" s="57"/>
      <c r="HND23" s="57"/>
      <c r="HNE23" s="57"/>
      <c r="HNF23" s="57"/>
      <c r="HNG23" s="57"/>
      <c r="HNH23" s="57"/>
      <c r="HNI23" s="57"/>
      <c r="HNJ23" s="57"/>
      <c r="HNK23" s="57"/>
      <c r="HNL23" s="57"/>
      <c r="HNM23" s="57"/>
      <c r="HNN23" s="57"/>
      <c r="HNO23" s="57"/>
      <c r="HNP23" s="57"/>
      <c r="HNQ23" s="57"/>
      <c r="HNR23" s="57"/>
      <c r="HNS23" s="57"/>
      <c r="HNT23" s="57"/>
      <c r="HNU23" s="57"/>
      <c r="HNV23" s="57"/>
      <c r="HNW23" s="57"/>
      <c r="HNX23" s="57"/>
      <c r="HNY23" s="57"/>
      <c r="HNZ23" s="57"/>
      <c r="HOA23" s="57"/>
      <c r="HOB23" s="57"/>
      <c r="HOC23" s="57"/>
      <c r="HOD23" s="57"/>
      <c r="HOE23" s="57"/>
      <c r="HOF23" s="57"/>
      <c r="HOG23" s="57"/>
      <c r="HOH23" s="57"/>
      <c r="HOI23" s="57"/>
      <c r="HOJ23" s="57"/>
      <c r="HOK23" s="57"/>
      <c r="HOL23" s="57"/>
      <c r="HOM23" s="57"/>
      <c r="HON23" s="57"/>
      <c r="HOO23" s="57"/>
      <c r="HOP23" s="57"/>
      <c r="HOQ23" s="57"/>
      <c r="HOR23" s="57"/>
      <c r="HOS23" s="57"/>
      <c r="HOT23" s="57"/>
      <c r="HOU23" s="57"/>
      <c r="HOV23" s="57"/>
      <c r="HOW23" s="57"/>
      <c r="HOX23" s="57"/>
      <c r="HOY23" s="57"/>
      <c r="HOZ23" s="57"/>
      <c r="HPA23" s="57"/>
      <c r="HPB23" s="57"/>
      <c r="HPC23" s="57"/>
      <c r="HPD23" s="57"/>
      <c r="HPE23" s="57"/>
      <c r="HPF23" s="57"/>
      <c r="HPG23" s="57"/>
      <c r="HPH23" s="57"/>
      <c r="HPI23" s="57"/>
      <c r="HPJ23" s="57"/>
      <c r="HPK23" s="57"/>
      <c r="HPL23" s="57"/>
      <c r="HPM23" s="57"/>
      <c r="HPN23" s="57"/>
      <c r="HPO23" s="57"/>
      <c r="HPP23" s="57"/>
      <c r="HPQ23" s="57"/>
      <c r="HPR23" s="57"/>
      <c r="HPS23" s="57"/>
      <c r="HPT23" s="57"/>
      <c r="HPU23" s="57"/>
      <c r="HPV23" s="57"/>
      <c r="HPW23" s="57"/>
      <c r="HPX23" s="57"/>
      <c r="HPY23" s="57"/>
      <c r="HPZ23" s="57"/>
      <c r="HQA23" s="57"/>
      <c r="HQB23" s="57"/>
      <c r="HQC23" s="57"/>
      <c r="HQD23" s="57"/>
      <c r="HQE23" s="57"/>
      <c r="HQF23" s="57"/>
      <c r="HQG23" s="57"/>
      <c r="HQH23" s="57"/>
      <c r="HQI23" s="57"/>
      <c r="HQJ23" s="57"/>
      <c r="HQK23" s="57"/>
      <c r="HQL23" s="57"/>
      <c r="HQM23" s="57"/>
      <c r="HQN23" s="57"/>
      <c r="HQO23" s="57"/>
      <c r="HQP23" s="57"/>
      <c r="HQQ23" s="57"/>
      <c r="HQR23" s="57"/>
      <c r="HQS23" s="57"/>
      <c r="HQT23" s="57"/>
      <c r="HQU23" s="57"/>
      <c r="HQV23" s="57"/>
      <c r="HQW23" s="57"/>
      <c r="HQX23" s="57"/>
      <c r="HQY23" s="57"/>
      <c r="HQZ23" s="57"/>
      <c r="HRA23" s="57"/>
      <c r="HRB23" s="57"/>
      <c r="HRC23" s="57"/>
      <c r="HRD23" s="57"/>
      <c r="HRE23" s="57"/>
      <c r="HRF23" s="57"/>
      <c r="HRG23" s="57"/>
      <c r="HRH23" s="57"/>
      <c r="HRI23" s="57"/>
      <c r="HRJ23" s="57"/>
      <c r="HRK23" s="57"/>
      <c r="HRL23" s="57"/>
      <c r="HRM23" s="57"/>
      <c r="HRN23" s="57"/>
      <c r="HRO23" s="57"/>
      <c r="HRP23" s="57"/>
      <c r="HRQ23" s="57"/>
      <c r="HRR23" s="57"/>
      <c r="HRS23" s="57"/>
      <c r="HRT23" s="57"/>
      <c r="HRU23" s="57"/>
      <c r="HRV23" s="57"/>
      <c r="HRW23" s="57"/>
      <c r="HRX23" s="57"/>
      <c r="HRY23" s="57"/>
      <c r="HRZ23" s="57"/>
      <c r="HSA23" s="57"/>
      <c r="HSB23" s="57"/>
      <c r="HSC23" s="57"/>
      <c r="HSD23" s="57"/>
      <c r="HSE23" s="57"/>
      <c r="HSF23" s="57"/>
      <c r="HSG23" s="57"/>
      <c r="HSH23" s="57"/>
      <c r="HSI23" s="57"/>
      <c r="HSJ23" s="57"/>
      <c r="HSK23" s="57"/>
      <c r="HSL23" s="57"/>
      <c r="HSM23" s="57"/>
      <c r="HSN23" s="57"/>
      <c r="HSO23" s="57"/>
      <c r="HSP23" s="57"/>
      <c r="HSQ23" s="57"/>
      <c r="HSR23" s="57"/>
      <c r="HSS23" s="57"/>
      <c r="HST23" s="57"/>
      <c r="HSU23" s="57"/>
      <c r="HSV23" s="57"/>
      <c r="HSW23" s="57"/>
      <c r="HSX23" s="57"/>
      <c r="HSY23" s="57"/>
      <c r="HSZ23" s="57"/>
      <c r="HTA23" s="57"/>
      <c r="HTB23" s="57"/>
      <c r="HTC23" s="57"/>
      <c r="HTD23" s="57"/>
      <c r="HTE23" s="57"/>
      <c r="HTF23" s="57"/>
      <c r="HTG23" s="57"/>
      <c r="HTH23" s="57"/>
      <c r="HTI23" s="57"/>
      <c r="HTJ23" s="57"/>
      <c r="HTK23" s="57"/>
      <c r="HTL23" s="57"/>
      <c r="HTM23" s="57"/>
      <c r="HTN23" s="57"/>
      <c r="HTO23" s="57"/>
      <c r="HTP23" s="57"/>
      <c r="HTQ23" s="57"/>
      <c r="HTR23" s="57"/>
      <c r="HTS23" s="57"/>
      <c r="HTT23" s="57"/>
      <c r="HTU23" s="57"/>
      <c r="HTV23" s="57"/>
      <c r="HTW23" s="57"/>
      <c r="HTX23" s="57"/>
      <c r="HTY23" s="57"/>
      <c r="HTZ23" s="57"/>
      <c r="HUA23" s="57"/>
      <c r="HUB23" s="57"/>
      <c r="HUC23" s="57"/>
      <c r="HUD23" s="57"/>
      <c r="HUE23" s="57"/>
      <c r="HUF23" s="57"/>
      <c r="HUG23" s="57"/>
      <c r="HUH23" s="57"/>
      <c r="HUI23" s="57"/>
      <c r="HUJ23" s="57"/>
      <c r="HUK23" s="57"/>
      <c r="HUL23" s="57"/>
      <c r="HUM23" s="57"/>
      <c r="HUN23" s="57"/>
      <c r="HUO23" s="57"/>
      <c r="HUP23" s="57"/>
      <c r="HUQ23" s="57"/>
      <c r="HUR23" s="57"/>
      <c r="HUS23" s="57"/>
      <c r="HUT23" s="57"/>
      <c r="HUU23" s="57"/>
      <c r="HUV23" s="57"/>
      <c r="HUW23" s="57"/>
      <c r="HUX23" s="57"/>
      <c r="HUY23" s="57"/>
      <c r="HUZ23" s="57"/>
      <c r="HVA23" s="57"/>
      <c r="HVB23" s="57"/>
      <c r="HVC23" s="57"/>
      <c r="HVD23" s="57"/>
      <c r="HVE23" s="57"/>
      <c r="HVF23" s="57"/>
      <c r="HVG23" s="57"/>
      <c r="HVH23" s="57"/>
      <c r="HVI23" s="57"/>
      <c r="HVJ23" s="57"/>
      <c r="HVK23" s="57"/>
      <c r="HVL23" s="57"/>
      <c r="HVM23" s="57"/>
      <c r="HVN23" s="57"/>
      <c r="HVO23" s="57"/>
      <c r="HVP23" s="57"/>
      <c r="HVQ23" s="57"/>
      <c r="HVR23" s="57"/>
      <c r="HVS23" s="57"/>
      <c r="HVT23" s="57"/>
      <c r="HVU23" s="57"/>
      <c r="HVV23" s="57"/>
      <c r="HVW23" s="57"/>
      <c r="HVX23" s="57"/>
      <c r="HVY23" s="57"/>
      <c r="HVZ23" s="57"/>
      <c r="HWA23" s="57"/>
      <c r="HWB23" s="57"/>
      <c r="HWC23" s="57"/>
      <c r="HWD23" s="57"/>
      <c r="HWE23" s="57"/>
      <c r="HWF23" s="57"/>
      <c r="HWG23" s="57"/>
      <c r="HWH23" s="57"/>
      <c r="HWI23" s="57"/>
      <c r="HWJ23" s="57"/>
      <c r="HWK23" s="57"/>
      <c r="HWL23" s="57"/>
      <c r="HWM23" s="57"/>
      <c r="HWN23" s="57"/>
      <c r="HWO23" s="57"/>
      <c r="HWP23" s="57"/>
      <c r="HWQ23" s="57"/>
      <c r="HWR23" s="57"/>
      <c r="HWS23" s="57"/>
      <c r="HWT23" s="57"/>
      <c r="HWU23" s="57"/>
      <c r="HWV23" s="57"/>
      <c r="HWW23" s="57"/>
      <c r="HWX23" s="57"/>
      <c r="HWY23" s="57"/>
      <c r="HWZ23" s="57"/>
      <c r="HXA23" s="57"/>
      <c r="HXB23" s="57"/>
      <c r="HXC23" s="57"/>
      <c r="HXD23" s="57"/>
      <c r="HXE23" s="57"/>
      <c r="HXF23" s="57"/>
      <c r="HXG23" s="57"/>
      <c r="HXH23" s="57"/>
      <c r="HXI23" s="57"/>
      <c r="HXJ23" s="57"/>
      <c r="HXK23" s="57"/>
      <c r="HXL23" s="57"/>
      <c r="HXM23" s="57"/>
      <c r="HXN23" s="57"/>
      <c r="HXO23" s="57"/>
      <c r="HXP23" s="57"/>
      <c r="HXQ23" s="57"/>
      <c r="HXR23" s="57"/>
      <c r="HXS23" s="57"/>
      <c r="HXT23" s="57"/>
      <c r="HXU23" s="57"/>
      <c r="HXV23" s="57"/>
      <c r="HXW23" s="57"/>
      <c r="HXX23" s="57"/>
      <c r="HXY23" s="57"/>
      <c r="HXZ23" s="57"/>
      <c r="HYA23" s="57"/>
      <c r="HYB23" s="57"/>
      <c r="HYC23" s="57"/>
      <c r="HYD23" s="57"/>
      <c r="HYE23" s="57"/>
      <c r="HYF23" s="57"/>
      <c r="HYG23" s="57"/>
      <c r="HYH23" s="57"/>
      <c r="HYI23" s="57"/>
      <c r="HYJ23" s="57"/>
      <c r="HYK23" s="57"/>
      <c r="HYL23" s="57"/>
      <c r="HYM23" s="57"/>
      <c r="HYN23" s="57"/>
      <c r="HYO23" s="57"/>
      <c r="HYP23" s="57"/>
      <c r="HYQ23" s="57"/>
      <c r="HYR23" s="57"/>
      <c r="HYS23" s="57"/>
      <c r="HYT23" s="57"/>
      <c r="HYU23" s="57"/>
      <c r="HYV23" s="57"/>
      <c r="HYW23" s="57"/>
      <c r="HYX23" s="57"/>
      <c r="HYY23" s="57"/>
      <c r="HYZ23" s="57"/>
      <c r="HZA23" s="57"/>
      <c r="HZB23" s="57"/>
      <c r="HZC23" s="57"/>
      <c r="HZD23" s="57"/>
      <c r="HZE23" s="57"/>
      <c r="HZF23" s="57"/>
      <c r="HZG23" s="57"/>
      <c r="HZH23" s="57"/>
      <c r="HZI23" s="57"/>
      <c r="HZJ23" s="57"/>
      <c r="HZK23" s="57"/>
      <c r="HZL23" s="57"/>
      <c r="HZM23" s="57"/>
      <c r="HZN23" s="57"/>
      <c r="HZO23" s="57"/>
      <c r="HZP23" s="57"/>
      <c r="HZQ23" s="57"/>
      <c r="HZR23" s="57"/>
      <c r="HZS23" s="57"/>
      <c r="HZT23" s="57"/>
      <c r="HZU23" s="57"/>
      <c r="HZV23" s="57"/>
      <c r="HZW23" s="57"/>
      <c r="HZX23" s="57"/>
      <c r="HZY23" s="57"/>
      <c r="HZZ23" s="57"/>
      <c r="IAA23" s="57"/>
      <c r="IAB23" s="57"/>
      <c r="IAC23" s="57"/>
      <c r="IAD23" s="57"/>
      <c r="IAE23" s="57"/>
      <c r="IAF23" s="57"/>
      <c r="IAG23" s="57"/>
      <c r="IAH23" s="57"/>
      <c r="IAI23" s="57"/>
      <c r="IAJ23" s="57"/>
      <c r="IAK23" s="57"/>
      <c r="IAL23" s="57"/>
      <c r="IAM23" s="57"/>
      <c r="IAN23" s="57"/>
      <c r="IAO23" s="57"/>
      <c r="IAP23" s="57"/>
      <c r="IAQ23" s="57"/>
      <c r="IAR23" s="57"/>
      <c r="IAS23" s="57"/>
      <c r="IAT23" s="57"/>
      <c r="IAU23" s="57"/>
      <c r="IAV23" s="57"/>
      <c r="IAW23" s="57"/>
      <c r="IAX23" s="57"/>
      <c r="IAY23" s="57"/>
      <c r="IAZ23" s="57"/>
      <c r="IBA23" s="57"/>
      <c r="IBB23" s="57"/>
      <c r="IBC23" s="57"/>
      <c r="IBD23" s="57"/>
      <c r="IBE23" s="57"/>
      <c r="IBF23" s="57"/>
      <c r="IBG23" s="57"/>
      <c r="IBH23" s="57"/>
      <c r="IBI23" s="57"/>
      <c r="IBJ23" s="57"/>
      <c r="IBK23" s="57"/>
      <c r="IBL23" s="57"/>
      <c r="IBM23" s="57"/>
      <c r="IBN23" s="57"/>
      <c r="IBO23" s="57"/>
      <c r="IBP23" s="57"/>
      <c r="IBQ23" s="57"/>
      <c r="IBR23" s="57"/>
      <c r="IBS23" s="57"/>
      <c r="IBT23" s="57"/>
      <c r="IBU23" s="57"/>
      <c r="IBV23" s="57"/>
      <c r="IBW23" s="57"/>
      <c r="IBX23" s="57"/>
      <c r="IBY23" s="57"/>
      <c r="IBZ23" s="57"/>
      <c r="ICA23" s="57"/>
      <c r="ICB23" s="57"/>
      <c r="ICC23" s="57"/>
      <c r="ICD23" s="57"/>
      <c r="ICE23" s="57"/>
      <c r="ICF23" s="57"/>
      <c r="ICG23" s="57"/>
      <c r="ICH23" s="57"/>
      <c r="ICI23" s="57"/>
      <c r="ICJ23" s="57"/>
      <c r="ICK23" s="57"/>
      <c r="ICL23" s="57"/>
      <c r="ICM23" s="57"/>
      <c r="ICN23" s="57"/>
      <c r="ICO23" s="57"/>
      <c r="ICP23" s="57"/>
      <c r="ICQ23" s="57"/>
      <c r="ICR23" s="57"/>
      <c r="ICS23" s="57"/>
      <c r="ICT23" s="57"/>
      <c r="ICU23" s="57"/>
      <c r="ICV23" s="57"/>
      <c r="ICW23" s="57"/>
      <c r="ICX23" s="57"/>
      <c r="ICY23" s="57"/>
      <c r="ICZ23" s="57"/>
      <c r="IDA23" s="57"/>
      <c r="IDB23" s="57"/>
      <c r="IDC23" s="57"/>
      <c r="IDD23" s="57"/>
      <c r="IDE23" s="57"/>
      <c r="IDF23" s="57"/>
      <c r="IDG23" s="57"/>
      <c r="IDH23" s="57"/>
      <c r="IDI23" s="57"/>
      <c r="IDJ23" s="57"/>
      <c r="IDK23" s="57"/>
      <c r="IDL23" s="57"/>
      <c r="IDM23" s="57"/>
      <c r="IDN23" s="57"/>
      <c r="IDO23" s="57"/>
      <c r="IDP23" s="57"/>
      <c r="IDQ23" s="57"/>
      <c r="IDR23" s="57"/>
      <c r="IDS23" s="57"/>
      <c r="IDT23" s="57"/>
      <c r="IDU23" s="57"/>
      <c r="IDV23" s="57"/>
      <c r="IDW23" s="57"/>
      <c r="IDX23" s="57"/>
      <c r="IDY23" s="57"/>
      <c r="IDZ23" s="57"/>
      <c r="IEA23" s="57"/>
      <c r="IEB23" s="57"/>
      <c r="IEC23" s="57"/>
      <c r="IED23" s="57"/>
      <c r="IEE23" s="57"/>
      <c r="IEF23" s="57"/>
      <c r="IEG23" s="57"/>
      <c r="IEH23" s="57"/>
      <c r="IEI23" s="57"/>
      <c r="IEJ23" s="57"/>
      <c r="IEK23" s="57"/>
      <c r="IEL23" s="57"/>
      <c r="IEM23" s="57"/>
      <c r="IEN23" s="57"/>
      <c r="IEO23" s="57"/>
      <c r="IEP23" s="57"/>
      <c r="IEQ23" s="57"/>
      <c r="IER23" s="57"/>
      <c r="IES23" s="57"/>
      <c r="IET23" s="57"/>
      <c r="IEU23" s="57"/>
      <c r="IEV23" s="57"/>
      <c r="IEW23" s="57"/>
      <c r="IEX23" s="57"/>
      <c r="IEY23" s="57"/>
      <c r="IEZ23" s="57"/>
      <c r="IFA23" s="57"/>
      <c r="IFB23" s="57"/>
      <c r="IFC23" s="57"/>
      <c r="IFD23" s="57"/>
      <c r="IFE23" s="57"/>
      <c r="IFF23" s="57"/>
      <c r="IFG23" s="57"/>
      <c r="IFH23" s="57"/>
      <c r="IFI23" s="57"/>
      <c r="IFJ23" s="57"/>
      <c r="IFK23" s="57"/>
      <c r="IFL23" s="57"/>
      <c r="IFM23" s="57"/>
      <c r="IFN23" s="57"/>
      <c r="IFO23" s="57"/>
      <c r="IFP23" s="57"/>
      <c r="IFQ23" s="57"/>
      <c r="IFR23" s="57"/>
      <c r="IFS23" s="57"/>
      <c r="IFT23" s="57"/>
      <c r="IFU23" s="57"/>
      <c r="IFV23" s="57"/>
      <c r="IFW23" s="57"/>
      <c r="IFX23" s="57"/>
      <c r="IFY23" s="57"/>
      <c r="IFZ23" s="57"/>
      <c r="IGA23" s="57"/>
      <c r="IGB23" s="57"/>
      <c r="IGC23" s="57"/>
      <c r="IGD23" s="57"/>
      <c r="IGE23" s="57"/>
      <c r="IGF23" s="57"/>
      <c r="IGG23" s="57"/>
      <c r="IGH23" s="57"/>
      <c r="IGI23" s="57"/>
      <c r="IGJ23" s="57"/>
      <c r="IGK23" s="57"/>
      <c r="IGL23" s="57"/>
      <c r="IGM23" s="57"/>
      <c r="IGN23" s="57"/>
      <c r="IGO23" s="57"/>
      <c r="IGP23" s="57"/>
      <c r="IGQ23" s="57"/>
      <c r="IGR23" s="57"/>
      <c r="IGS23" s="57"/>
      <c r="IGT23" s="57"/>
      <c r="IGU23" s="57"/>
      <c r="IGV23" s="57"/>
      <c r="IGW23" s="57"/>
      <c r="IGX23" s="57"/>
      <c r="IGY23" s="57"/>
      <c r="IGZ23" s="57"/>
      <c r="IHA23" s="57"/>
      <c r="IHB23" s="57"/>
      <c r="IHC23" s="57"/>
      <c r="IHD23" s="57"/>
      <c r="IHE23" s="57"/>
      <c r="IHF23" s="57"/>
      <c r="IHG23" s="57"/>
      <c r="IHH23" s="57"/>
      <c r="IHI23" s="57"/>
      <c r="IHJ23" s="57"/>
      <c r="IHK23" s="57"/>
      <c r="IHL23" s="57"/>
      <c r="IHM23" s="57"/>
      <c r="IHN23" s="57"/>
      <c r="IHO23" s="57"/>
      <c r="IHP23" s="57"/>
      <c r="IHQ23" s="57"/>
      <c r="IHR23" s="57"/>
      <c r="IHS23" s="57"/>
      <c r="IHT23" s="57"/>
      <c r="IHU23" s="57"/>
      <c r="IHV23" s="57"/>
      <c r="IHW23" s="57"/>
      <c r="IHX23" s="57"/>
      <c r="IHY23" s="57"/>
      <c r="IHZ23" s="57"/>
      <c r="IIA23" s="57"/>
      <c r="IIB23" s="57"/>
      <c r="IIC23" s="57"/>
      <c r="IID23" s="57"/>
      <c r="IIE23" s="57"/>
      <c r="IIF23" s="57"/>
      <c r="IIG23" s="57"/>
      <c r="IIH23" s="57"/>
      <c r="III23" s="57"/>
      <c r="IIJ23" s="57"/>
      <c r="IIK23" s="57"/>
      <c r="IIL23" s="57"/>
      <c r="IIM23" s="57"/>
      <c r="IIN23" s="57"/>
      <c r="IIO23" s="57"/>
      <c r="IIP23" s="57"/>
      <c r="IIQ23" s="57"/>
      <c r="IIR23" s="57"/>
      <c r="IIS23" s="57"/>
      <c r="IIT23" s="57"/>
      <c r="IIU23" s="57"/>
      <c r="IIV23" s="57"/>
      <c r="IIW23" s="57"/>
      <c r="IIX23" s="57"/>
      <c r="IIY23" s="57"/>
      <c r="IIZ23" s="57"/>
      <c r="IJA23" s="57"/>
      <c r="IJB23" s="57"/>
      <c r="IJC23" s="57"/>
      <c r="IJD23" s="57"/>
      <c r="IJE23" s="57"/>
      <c r="IJF23" s="57"/>
      <c r="IJG23" s="57"/>
      <c r="IJH23" s="57"/>
      <c r="IJI23" s="57"/>
      <c r="IJJ23" s="57"/>
      <c r="IJK23" s="57"/>
      <c r="IJL23" s="57"/>
      <c r="IJM23" s="57"/>
      <c r="IJN23" s="57"/>
      <c r="IJO23" s="57"/>
      <c r="IJP23" s="57"/>
      <c r="IJQ23" s="57"/>
      <c r="IJR23" s="57"/>
      <c r="IJS23" s="57"/>
      <c r="IJT23" s="57"/>
      <c r="IJU23" s="57"/>
      <c r="IJV23" s="57"/>
      <c r="IJW23" s="57"/>
      <c r="IJX23" s="57"/>
      <c r="IJY23" s="57"/>
      <c r="IJZ23" s="57"/>
      <c r="IKA23" s="57"/>
      <c r="IKB23" s="57"/>
      <c r="IKC23" s="57"/>
      <c r="IKD23" s="57"/>
      <c r="IKE23" s="57"/>
      <c r="IKF23" s="57"/>
      <c r="IKG23" s="57"/>
      <c r="IKH23" s="57"/>
      <c r="IKI23" s="57"/>
      <c r="IKJ23" s="57"/>
      <c r="IKK23" s="57"/>
      <c r="IKL23" s="57"/>
      <c r="IKM23" s="57"/>
      <c r="IKN23" s="57"/>
      <c r="IKO23" s="57"/>
      <c r="IKP23" s="57"/>
      <c r="IKQ23" s="57"/>
      <c r="IKR23" s="57"/>
      <c r="IKS23" s="57"/>
      <c r="IKT23" s="57"/>
      <c r="IKU23" s="57"/>
      <c r="IKV23" s="57"/>
      <c r="IKW23" s="57"/>
      <c r="IKX23" s="57"/>
      <c r="IKY23" s="57"/>
      <c r="IKZ23" s="57"/>
      <c r="ILA23" s="57"/>
      <c r="ILB23" s="57"/>
      <c r="ILC23" s="57"/>
      <c r="ILD23" s="57"/>
      <c r="ILE23" s="57"/>
      <c r="ILF23" s="57"/>
      <c r="ILG23" s="57"/>
      <c r="ILH23" s="57"/>
      <c r="ILI23" s="57"/>
      <c r="ILJ23" s="57"/>
      <c r="ILK23" s="57"/>
      <c r="ILL23" s="57"/>
      <c r="ILM23" s="57"/>
      <c r="ILN23" s="57"/>
      <c r="ILO23" s="57"/>
      <c r="ILP23" s="57"/>
      <c r="ILQ23" s="57"/>
      <c r="ILR23" s="57"/>
      <c r="ILS23" s="57"/>
      <c r="ILT23" s="57"/>
      <c r="ILU23" s="57"/>
      <c r="ILV23" s="57"/>
      <c r="ILW23" s="57"/>
      <c r="ILX23" s="57"/>
      <c r="ILY23" s="57"/>
      <c r="ILZ23" s="57"/>
      <c r="IMA23" s="57"/>
      <c r="IMB23" s="57"/>
      <c r="IMC23" s="57"/>
      <c r="IMD23" s="57"/>
      <c r="IME23" s="57"/>
      <c r="IMF23" s="57"/>
      <c r="IMG23" s="57"/>
      <c r="IMH23" s="57"/>
      <c r="IMI23" s="57"/>
      <c r="IMJ23" s="57"/>
      <c r="IMK23" s="57"/>
      <c r="IML23" s="57"/>
      <c r="IMM23" s="57"/>
      <c r="IMN23" s="57"/>
      <c r="IMO23" s="57"/>
      <c r="IMP23" s="57"/>
      <c r="IMQ23" s="57"/>
      <c r="IMR23" s="57"/>
      <c r="IMS23" s="57"/>
      <c r="IMT23" s="57"/>
      <c r="IMU23" s="57"/>
      <c r="IMV23" s="57"/>
      <c r="IMW23" s="57"/>
      <c r="IMX23" s="57"/>
      <c r="IMY23" s="57"/>
      <c r="IMZ23" s="57"/>
      <c r="INA23" s="57"/>
      <c r="INB23" s="57"/>
      <c r="INC23" s="57"/>
      <c r="IND23" s="57"/>
      <c r="INE23" s="57"/>
      <c r="INF23" s="57"/>
      <c r="ING23" s="57"/>
      <c r="INH23" s="57"/>
      <c r="INI23" s="57"/>
      <c r="INJ23" s="57"/>
      <c r="INK23" s="57"/>
      <c r="INL23" s="57"/>
      <c r="INM23" s="57"/>
      <c r="INN23" s="57"/>
      <c r="INO23" s="57"/>
      <c r="INP23" s="57"/>
      <c r="INQ23" s="57"/>
      <c r="INR23" s="57"/>
      <c r="INS23" s="57"/>
      <c r="INT23" s="57"/>
      <c r="INU23" s="57"/>
      <c r="INV23" s="57"/>
      <c r="INW23" s="57"/>
      <c r="INX23" s="57"/>
      <c r="INY23" s="57"/>
      <c r="INZ23" s="57"/>
      <c r="IOA23" s="57"/>
      <c r="IOB23" s="57"/>
      <c r="IOC23" s="57"/>
      <c r="IOD23" s="57"/>
      <c r="IOE23" s="57"/>
      <c r="IOF23" s="57"/>
      <c r="IOG23" s="57"/>
      <c r="IOH23" s="57"/>
      <c r="IOI23" s="57"/>
      <c r="IOJ23" s="57"/>
      <c r="IOK23" s="57"/>
      <c r="IOL23" s="57"/>
      <c r="IOM23" s="57"/>
      <c r="ION23" s="57"/>
      <c r="IOO23" s="57"/>
      <c r="IOP23" s="57"/>
      <c r="IOQ23" s="57"/>
      <c r="IOR23" s="57"/>
      <c r="IOS23" s="57"/>
      <c r="IOT23" s="57"/>
      <c r="IOU23" s="57"/>
      <c r="IOV23" s="57"/>
      <c r="IOW23" s="57"/>
      <c r="IOX23" s="57"/>
      <c r="IOY23" s="57"/>
      <c r="IOZ23" s="57"/>
      <c r="IPA23" s="57"/>
      <c r="IPB23" s="57"/>
      <c r="IPC23" s="57"/>
      <c r="IPD23" s="57"/>
      <c r="IPE23" s="57"/>
      <c r="IPF23" s="57"/>
      <c r="IPG23" s="57"/>
      <c r="IPH23" s="57"/>
      <c r="IPI23" s="57"/>
      <c r="IPJ23" s="57"/>
      <c r="IPK23" s="57"/>
      <c r="IPL23" s="57"/>
      <c r="IPM23" s="57"/>
      <c r="IPN23" s="57"/>
      <c r="IPO23" s="57"/>
      <c r="IPP23" s="57"/>
      <c r="IPQ23" s="57"/>
      <c r="IPR23" s="57"/>
      <c r="IPS23" s="57"/>
      <c r="IPT23" s="57"/>
      <c r="IPU23" s="57"/>
      <c r="IPV23" s="57"/>
      <c r="IPW23" s="57"/>
      <c r="IPX23" s="57"/>
      <c r="IPY23" s="57"/>
      <c r="IPZ23" s="57"/>
      <c r="IQA23" s="57"/>
      <c r="IQB23" s="57"/>
      <c r="IQC23" s="57"/>
      <c r="IQD23" s="57"/>
      <c r="IQE23" s="57"/>
      <c r="IQF23" s="57"/>
      <c r="IQG23" s="57"/>
      <c r="IQH23" s="57"/>
      <c r="IQI23" s="57"/>
      <c r="IQJ23" s="57"/>
      <c r="IQK23" s="57"/>
      <c r="IQL23" s="57"/>
      <c r="IQM23" s="57"/>
      <c r="IQN23" s="57"/>
      <c r="IQO23" s="57"/>
      <c r="IQP23" s="57"/>
      <c r="IQQ23" s="57"/>
      <c r="IQR23" s="57"/>
      <c r="IQS23" s="57"/>
      <c r="IQT23" s="57"/>
      <c r="IQU23" s="57"/>
      <c r="IQV23" s="57"/>
      <c r="IQW23" s="57"/>
      <c r="IQX23" s="57"/>
      <c r="IQY23" s="57"/>
      <c r="IQZ23" s="57"/>
      <c r="IRA23" s="57"/>
      <c r="IRB23" s="57"/>
      <c r="IRC23" s="57"/>
      <c r="IRD23" s="57"/>
      <c r="IRE23" s="57"/>
      <c r="IRF23" s="57"/>
      <c r="IRG23" s="57"/>
      <c r="IRH23" s="57"/>
      <c r="IRI23" s="57"/>
      <c r="IRJ23" s="57"/>
      <c r="IRK23" s="57"/>
      <c r="IRL23" s="57"/>
      <c r="IRM23" s="57"/>
      <c r="IRN23" s="57"/>
      <c r="IRO23" s="57"/>
      <c r="IRP23" s="57"/>
      <c r="IRQ23" s="57"/>
      <c r="IRR23" s="57"/>
      <c r="IRS23" s="57"/>
      <c r="IRT23" s="57"/>
      <c r="IRU23" s="57"/>
      <c r="IRV23" s="57"/>
      <c r="IRW23" s="57"/>
      <c r="IRX23" s="57"/>
      <c r="IRY23" s="57"/>
      <c r="IRZ23" s="57"/>
      <c r="ISA23" s="57"/>
      <c r="ISB23" s="57"/>
      <c r="ISC23" s="57"/>
      <c r="ISD23" s="57"/>
      <c r="ISE23" s="57"/>
      <c r="ISF23" s="57"/>
      <c r="ISG23" s="57"/>
      <c r="ISH23" s="57"/>
      <c r="ISI23" s="57"/>
      <c r="ISJ23" s="57"/>
      <c r="ISK23" s="57"/>
      <c r="ISL23" s="57"/>
      <c r="ISM23" s="57"/>
      <c r="ISN23" s="57"/>
      <c r="ISO23" s="57"/>
      <c r="ISP23" s="57"/>
      <c r="ISQ23" s="57"/>
      <c r="ISR23" s="57"/>
      <c r="ISS23" s="57"/>
      <c r="IST23" s="57"/>
      <c r="ISU23" s="57"/>
      <c r="ISV23" s="57"/>
      <c r="ISW23" s="57"/>
      <c r="ISX23" s="57"/>
      <c r="ISY23" s="57"/>
      <c r="ISZ23" s="57"/>
      <c r="ITA23" s="57"/>
      <c r="ITB23" s="57"/>
      <c r="ITC23" s="57"/>
      <c r="ITD23" s="57"/>
      <c r="ITE23" s="57"/>
      <c r="ITF23" s="57"/>
      <c r="ITG23" s="57"/>
      <c r="ITH23" s="57"/>
      <c r="ITI23" s="57"/>
      <c r="ITJ23" s="57"/>
      <c r="ITK23" s="57"/>
      <c r="ITL23" s="57"/>
      <c r="ITM23" s="57"/>
      <c r="ITN23" s="57"/>
      <c r="ITO23" s="57"/>
      <c r="ITP23" s="57"/>
      <c r="ITQ23" s="57"/>
      <c r="ITR23" s="57"/>
      <c r="ITS23" s="57"/>
      <c r="ITT23" s="57"/>
      <c r="ITU23" s="57"/>
      <c r="ITV23" s="57"/>
      <c r="ITW23" s="57"/>
      <c r="ITX23" s="57"/>
      <c r="ITY23" s="57"/>
      <c r="ITZ23" s="57"/>
      <c r="IUA23" s="57"/>
      <c r="IUB23" s="57"/>
      <c r="IUC23" s="57"/>
      <c r="IUD23" s="57"/>
      <c r="IUE23" s="57"/>
      <c r="IUF23" s="57"/>
      <c r="IUG23" s="57"/>
      <c r="IUH23" s="57"/>
      <c r="IUI23" s="57"/>
      <c r="IUJ23" s="57"/>
      <c r="IUK23" s="57"/>
      <c r="IUL23" s="57"/>
      <c r="IUM23" s="57"/>
      <c r="IUN23" s="57"/>
      <c r="IUO23" s="57"/>
      <c r="IUP23" s="57"/>
      <c r="IUQ23" s="57"/>
      <c r="IUR23" s="57"/>
      <c r="IUS23" s="57"/>
      <c r="IUT23" s="57"/>
      <c r="IUU23" s="57"/>
      <c r="IUV23" s="57"/>
      <c r="IUW23" s="57"/>
      <c r="IUX23" s="57"/>
      <c r="IUY23" s="57"/>
      <c r="IUZ23" s="57"/>
      <c r="IVA23" s="57"/>
      <c r="IVB23" s="57"/>
      <c r="IVC23" s="57"/>
      <c r="IVD23" s="57"/>
      <c r="IVE23" s="57"/>
      <c r="IVF23" s="57"/>
      <c r="IVG23" s="57"/>
      <c r="IVH23" s="57"/>
      <c r="IVI23" s="57"/>
      <c r="IVJ23" s="57"/>
      <c r="IVK23" s="57"/>
      <c r="IVL23" s="57"/>
      <c r="IVM23" s="57"/>
      <c r="IVN23" s="57"/>
      <c r="IVO23" s="57"/>
      <c r="IVP23" s="57"/>
      <c r="IVQ23" s="57"/>
      <c r="IVR23" s="57"/>
      <c r="IVS23" s="57"/>
      <c r="IVT23" s="57"/>
      <c r="IVU23" s="57"/>
      <c r="IVV23" s="57"/>
      <c r="IVW23" s="57"/>
      <c r="IVX23" s="57"/>
      <c r="IVY23" s="57"/>
      <c r="IVZ23" s="57"/>
      <c r="IWA23" s="57"/>
      <c r="IWB23" s="57"/>
      <c r="IWC23" s="57"/>
      <c r="IWD23" s="57"/>
      <c r="IWE23" s="57"/>
      <c r="IWF23" s="57"/>
      <c r="IWG23" s="57"/>
      <c r="IWH23" s="57"/>
      <c r="IWI23" s="57"/>
      <c r="IWJ23" s="57"/>
      <c r="IWK23" s="57"/>
      <c r="IWL23" s="57"/>
      <c r="IWM23" s="57"/>
      <c r="IWN23" s="57"/>
      <c r="IWO23" s="57"/>
      <c r="IWP23" s="57"/>
      <c r="IWQ23" s="57"/>
      <c r="IWR23" s="57"/>
      <c r="IWS23" s="57"/>
      <c r="IWT23" s="57"/>
      <c r="IWU23" s="57"/>
      <c r="IWV23" s="57"/>
      <c r="IWW23" s="57"/>
      <c r="IWX23" s="57"/>
      <c r="IWY23" s="57"/>
      <c r="IWZ23" s="57"/>
      <c r="IXA23" s="57"/>
      <c r="IXB23" s="57"/>
      <c r="IXC23" s="57"/>
      <c r="IXD23" s="57"/>
      <c r="IXE23" s="57"/>
      <c r="IXF23" s="57"/>
      <c r="IXG23" s="57"/>
      <c r="IXH23" s="57"/>
      <c r="IXI23" s="57"/>
      <c r="IXJ23" s="57"/>
      <c r="IXK23" s="57"/>
      <c r="IXL23" s="57"/>
      <c r="IXM23" s="57"/>
      <c r="IXN23" s="57"/>
      <c r="IXO23" s="57"/>
      <c r="IXP23" s="57"/>
      <c r="IXQ23" s="57"/>
      <c r="IXR23" s="57"/>
      <c r="IXS23" s="57"/>
      <c r="IXT23" s="57"/>
      <c r="IXU23" s="57"/>
      <c r="IXV23" s="57"/>
      <c r="IXW23" s="57"/>
      <c r="IXX23" s="57"/>
      <c r="IXY23" s="57"/>
      <c r="IXZ23" s="57"/>
      <c r="IYA23" s="57"/>
      <c r="IYB23" s="57"/>
      <c r="IYC23" s="57"/>
      <c r="IYD23" s="57"/>
      <c r="IYE23" s="57"/>
      <c r="IYF23" s="57"/>
      <c r="IYG23" s="57"/>
      <c r="IYH23" s="57"/>
      <c r="IYI23" s="57"/>
      <c r="IYJ23" s="57"/>
      <c r="IYK23" s="57"/>
      <c r="IYL23" s="57"/>
      <c r="IYM23" s="57"/>
      <c r="IYN23" s="57"/>
      <c r="IYO23" s="57"/>
      <c r="IYP23" s="57"/>
      <c r="IYQ23" s="57"/>
      <c r="IYR23" s="57"/>
      <c r="IYS23" s="57"/>
      <c r="IYT23" s="57"/>
      <c r="IYU23" s="57"/>
      <c r="IYV23" s="57"/>
      <c r="IYW23" s="57"/>
      <c r="IYX23" s="57"/>
      <c r="IYY23" s="57"/>
      <c r="IYZ23" s="57"/>
      <c r="IZA23" s="57"/>
      <c r="IZB23" s="57"/>
      <c r="IZC23" s="57"/>
      <c r="IZD23" s="57"/>
      <c r="IZE23" s="57"/>
      <c r="IZF23" s="57"/>
      <c r="IZG23" s="57"/>
      <c r="IZH23" s="57"/>
      <c r="IZI23" s="57"/>
      <c r="IZJ23" s="57"/>
      <c r="IZK23" s="57"/>
      <c r="IZL23" s="57"/>
      <c r="IZM23" s="57"/>
      <c r="IZN23" s="57"/>
      <c r="IZO23" s="57"/>
      <c r="IZP23" s="57"/>
      <c r="IZQ23" s="57"/>
      <c r="IZR23" s="57"/>
      <c r="IZS23" s="57"/>
      <c r="IZT23" s="57"/>
      <c r="IZU23" s="57"/>
      <c r="IZV23" s="57"/>
      <c r="IZW23" s="57"/>
      <c r="IZX23" s="57"/>
      <c r="IZY23" s="57"/>
      <c r="IZZ23" s="57"/>
      <c r="JAA23" s="57"/>
      <c r="JAB23" s="57"/>
      <c r="JAC23" s="57"/>
      <c r="JAD23" s="57"/>
      <c r="JAE23" s="57"/>
      <c r="JAF23" s="57"/>
      <c r="JAG23" s="57"/>
      <c r="JAH23" s="57"/>
      <c r="JAI23" s="57"/>
      <c r="JAJ23" s="57"/>
      <c r="JAK23" s="57"/>
      <c r="JAL23" s="57"/>
      <c r="JAM23" s="57"/>
      <c r="JAN23" s="57"/>
      <c r="JAO23" s="57"/>
      <c r="JAP23" s="57"/>
      <c r="JAQ23" s="57"/>
      <c r="JAR23" s="57"/>
      <c r="JAS23" s="57"/>
      <c r="JAT23" s="57"/>
      <c r="JAU23" s="57"/>
      <c r="JAV23" s="57"/>
      <c r="JAW23" s="57"/>
      <c r="JAX23" s="57"/>
      <c r="JAY23" s="57"/>
      <c r="JAZ23" s="57"/>
      <c r="JBA23" s="57"/>
      <c r="JBB23" s="57"/>
      <c r="JBC23" s="57"/>
      <c r="JBD23" s="57"/>
      <c r="JBE23" s="57"/>
      <c r="JBF23" s="57"/>
      <c r="JBG23" s="57"/>
      <c r="JBH23" s="57"/>
      <c r="JBI23" s="57"/>
      <c r="JBJ23" s="57"/>
      <c r="JBK23" s="57"/>
      <c r="JBL23" s="57"/>
      <c r="JBM23" s="57"/>
      <c r="JBN23" s="57"/>
      <c r="JBO23" s="57"/>
      <c r="JBP23" s="57"/>
      <c r="JBQ23" s="57"/>
      <c r="JBR23" s="57"/>
      <c r="JBS23" s="57"/>
      <c r="JBT23" s="57"/>
      <c r="JBU23" s="57"/>
      <c r="JBV23" s="57"/>
      <c r="JBW23" s="57"/>
      <c r="JBX23" s="57"/>
      <c r="JBY23" s="57"/>
      <c r="JBZ23" s="57"/>
      <c r="JCA23" s="57"/>
      <c r="JCB23" s="57"/>
      <c r="JCC23" s="57"/>
      <c r="JCD23" s="57"/>
      <c r="JCE23" s="57"/>
      <c r="JCF23" s="57"/>
      <c r="JCG23" s="57"/>
      <c r="JCH23" s="57"/>
      <c r="JCI23" s="57"/>
      <c r="JCJ23" s="57"/>
      <c r="JCK23" s="57"/>
      <c r="JCL23" s="57"/>
      <c r="JCM23" s="57"/>
      <c r="JCN23" s="57"/>
      <c r="JCO23" s="57"/>
      <c r="JCP23" s="57"/>
      <c r="JCQ23" s="57"/>
      <c r="JCR23" s="57"/>
      <c r="JCS23" s="57"/>
      <c r="JCT23" s="57"/>
      <c r="JCU23" s="57"/>
      <c r="JCV23" s="57"/>
      <c r="JCW23" s="57"/>
      <c r="JCX23" s="57"/>
      <c r="JCY23" s="57"/>
      <c r="JCZ23" s="57"/>
      <c r="JDA23" s="57"/>
      <c r="JDB23" s="57"/>
      <c r="JDC23" s="57"/>
      <c r="JDD23" s="57"/>
      <c r="JDE23" s="57"/>
      <c r="JDF23" s="57"/>
      <c r="JDG23" s="57"/>
      <c r="JDH23" s="57"/>
      <c r="JDI23" s="57"/>
      <c r="JDJ23" s="57"/>
      <c r="JDK23" s="57"/>
      <c r="JDL23" s="57"/>
      <c r="JDM23" s="57"/>
      <c r="JDN23" s="57"/>
      <c r="JDO23" s="57"/>
      <c r="JDP23" s="57"/>
      <c r="JDQ23" s="57"/>
      <c r="JDR23" s="57"/>
      <c r="JDS23" s="57"/>
      <c r="JDT23" s="57"/>
      <c r="JDU23" s="57"/>
      <c r="JDV23" s="57"/>
      <c r="JDW23" s="57"/>
      <c r="JDX23" s="57"/>
      <c r="JDY23" s="57"/>
      <c r="JDZ23" s="57"/>
      <c r="JEA23" s="57"/>
      <c r="JEB23" s="57"/>
      <c r="JEC23" s="57"/>
      <c r="JED23" s="57"/>
      <c r="JEE23" s="57"/>
      <c r="JEF23" s="57"/>
      <c r="JEG23" s="57"/>
      <c r="JEH23" s="57"/>
      <c r="JEI23" s="57"/>
      <c r="JEJ23" s="57"/>
      <c r="JEK23" s="57"/>
      <c r="JEL23" s="57"/>
      <c r="JEM23" s="57"/>
      <c r="JEN23" s="57"/>
      <c r="JEO23" s="57"/>
      <c r="JEP23" s="57"/>
      <c r="JEQ23" s="57"/>
      <c r="JER23" s="57"/>
      <c r="JES23" s="57"/>
      <c r="JET23" s="57"/>
      <c r="JEU23" s="57"/>
      <c r="JEV23" s="57"/>
      <c r="JEW23" s="57"/>
      <c r="JEX23" s="57"/>
      <c r="JEY23" s="57"/>
      <c r="JEZ23" s="57"/>
      <c r="JFA23" s="57"/>
      <c r="JFB23" s="57"/>
      <c r="JFC23" s="57"/>
      <c r="JFD23" s="57"/>
      <c r="JFE23" s="57"/>
      <c r="JFF23" s="57"/>
      <c r="JFG23" s="57"/>
      <c r="JFH23" s="57"/>
      <c r="JFI23" s="57"/>
      <c r="JFJ23" s="57"/>
      <c r="JFK23" s="57"/>
      <c r="JFL23" s="57"/>
      <c r="JFM23" s="57"/>
      <c r="JFN23" s="57"/>
      <c r="JFO23" s="57"/>
      <c r="JFP23" s="57"/>
      <c r="JFQ23" s="57"/>
      <c r="JFR23" s="57"/>
      <c r="JFS23" s="57"/>
      <c r="JFT23" s="57"/>
      <c r="JFU23" s="57"/>
      <c r="JFV23" s="57"/>
      <c r="JFW23" s="57"/>
      <c r="JFX23" s="57"/>
      <c r="JFY23" s="57"/>
      <c r="JFZ23" s="57"/>
      <c r="JGA23" s="57"/>
      <c r="JGB23" s="57"/>
      <c r="JGC23" s="57"/>
      <c r="JGD23" s="57"/>
      <c r="JGE23" s="57"/>
      <c r="JGF23" s="57"/>
      <c r="JGG23" s="57"/>
      <c r="JGH23" s="57"/>
      <c r="JGI23" s="57"/>
      <c r="JGJ23" s="57"/>
      <c r="JGK23" s="57"/>
      <c r="JGL23" s="57"/>
      <c r="JGM23" s="57"/>
      <c r="JGN23" s="57"/>
      <c r="JGO23" s="57"/>
      <c r="JGP23" s="57"/>
      <c r="JGQ23" s="57"/>
      <c r="JGR23" s="57"/>
      <c r="JGS23" s="57"/>
      <c r="JGT23" s="57"/>
      <c r="JGU23" s="57"/>
      <c r="JGV23" s="57"/>
      <c r="JGW23" s="57"/>
      <c r="JGX23" s="57"/>
      <c r="JGY23" s="57"/>
      <c r="JGZ23" s="57"/>
      <c r="JHA23" s="57"/>
      <c r="JHB23" s="57"/>
      <c r="JHC23" s="57"/>
      <c r="JHD23" s="57"/>
      <c r="JHE23" s="57"/>
      <c r="JHF23" s="57"/>
      <c r="JHG23" s="57"/>
      <c r="JHH23" s="57"/>
      <c r="JHI23" s="57"/>
      <c r="JHJ23" s="57"/>
      <c r="JHK23" s="57"/>
      <c r="JHL23" s="57"/>
      <c r="JHM23" s="57"/>
      <c r="JHN23" s="57"/>
      <c r="JHO23" s="57"/>
      <c r="JHP23" s="57"/>
      <c r="JHQ23" s="57"/>
      <c r="JHR23" s="57"/>
      <c r="JHS23" s="57"/>
      <c r="JHT23" s="57"/>
      <c r="JHU23" s="57"/>
      <c r="JHV23" s="57"/>
      <c r="JHW23" s="57"/>
      <c r="JHX23" s="57"/>
      <c r="JHY23" s="57"/>
      <c r="JHZ23" s="57"/>
      <c r="JIA23" s="57"/>
      <c r="JIB23" s="57"/>
      <c r="JIC23" s="57"/>
      <c r="JID23" s="57"/>
      <c r="JIE23" s="57"/>
      <c r="JIF23" s="57"/>
      <c r="JIG23" s="57"/>
      <c r="JIH23" s="57"/>
      <c r="JII23" s="57"/>
      <c r="JIJ23" s="57"/>
      <c r="JIK23" s="57"/>
      <c r="JIL23" s="57"/>
      <c r="JIM23" s="57"/>
      <c r="JIN23" s="57"/>
      <c r="JIO23" s="57"/>
      <c r="JIP23" s="57"/>
      <c r="JIQ23" s="57"/>
      <c r="JIR23" s="57"/>
      <c r="JIS23" s="57"/>
      <c r="JIT23" s="57"/>
      <c r="JIU23" s="57"/>
      <c r="JIV23" s="57"/>
      <c r="JIW23" s="57"/>
      <c r="JIX23" s="57"/>
      <c r="JIY23" s="57"/>
      <c r="JIZ23" s="57"/>
      <c r="JJA23" s="57"/>
      <c r="JJB23" s="57"/>
      <c r="JJC23" s="57"/>
      <c r="JJD23" s="57"/>
      <c r="JJE23" s="57"/>
      <c r="JJF23" s="57"/>
      <c r="JJG23" s="57"/>
      <c r="JJH23" s="57"/>
      <c r="JJI23" s="57"/>
      <c r="JJJ23" s="57"/>
      <c r="JJK23" s="57"/>
      <c r="JJL23" s="57"/>
      <c r="JJM23" s="57"/>
      <c r="JJN23" s="57"/>
      <c r="JJO23" s="57"/>
      <c r="JJP23" s="57"/>
      <c r="JJQ23" s="57"/>
      <c r="JJR23" s="57"/>
      <c r="JJS23" s="57"/>
      <c r="JJT23" s="57"/>
      <c r="JJU23" s="57"/>
      <c r="JJV23" s="57"/>
      <c r="JJW23" s="57"/>
      <c r="JJX23" s="57"/>
      <c r="JJY23" s="57"/>
      <c r="JJZ23" s="57"/>
      <c r="JKA23" s="57"/>
      <c r="JKB23" s="57"/>
      <c r="JKC23" s="57"/>
      <c r="JKD23" s="57"/>
      <c r="JKE23" s="57"/>
      <c r="JKF23" s="57"/>
      <c r="JKG23" s="57"/>
      <c r="JKH23" s="57"/>
      <c r="JKI23" s="57"/>
      <c r="JKJ23" s="57"/>
      <c r="JKK23" s="57"/>
      <c r="JKL23" s="57"/>
      <c r="JKM23" s="57"/>
      <c r="JKN23" s="57"/>
      <c r="JKO23" s="57"/>
      <c r="JKP23" s="57"/>
      <c r="JKQ23" s="57"/>
      <c r="JKR23" s="57"/>
      <c r="JKS23" s="57"/>
      <c r="JKT23" s="57"/>
      <c r="JKU23" s="57"/>
      <c r="JKV23" s="57"/>
      <c r="JKW23" s="57"/>
      <c r="JKX23" s="57"/>
      <c r="JKY23" s="57"/>
      <c r="JKZ23" s="57"/>
      <c r="JLA23" s="57"/>
      <c r="JLB23" s="57"/>
      <c r="JLC23" s="57"/>
      <c r="JLD23" s="57"/>
      <c r="JLE23" s="57"/>
      <c r="JLF23" s="57"/>
      <c r="JLG23" s="57"/>
      <c r="JLH23" s="57"/>
      <c r="JLI23" s="57"/>
      <c r="JLJ23" s="57"/>
      <c r="JLK23" s="57"/>
      <c r="JLL23" s="57"/>
      <c r="JLM23" s="57"/>
      <c r="JLN23" s="57"/>
      <c r="JLO23" s="57"/>
      <c r="JLP23" s="57"/>
      <c r="JLQ23" s="57"/>
      <c r="JLR23" s="57"/>
      <c r="JLS23" s="57"/>
      <c r="JLT23" s="57"/>
      <c r="JLU23" s="57"/>
      <c r="JLV23" s="57"/>
      <c r="JLW23" s="57"/>
      <c r="JLX23" s="57"/>
      <c r="JLY23" s="57"/>
      <c r="JLZ23" s="57"/>
      <c r="JMA23" s="57"/>
      <c r="JMB23" s="57"/>
      <c r="JMC23" s="57"/>
      <c r="JMD23" s="57"/>
      <c r="JME23" s="57"/>
      <c r="JMF23" s="57"/>
      <c r="JMG23" s="57"/>
      <c r="JMH23" s="57"/>
      <c r="JMI23" s="57"/>
      <c r="JMJ23" s="57"/>
      <c r="JMK23" s="57"/>
      <c r="JML23" s="57"/>
      <c r="JMM23" s="57"/>
      <c r="JMN23" s="57"/>
      <c r="JMO23" s="57"/>
      <c r="JMP23" s="57"/>
      <c r="JMQ23" s="57"/>
      <c r="JMR23" s="57"/>
      <c r="JMS23" s="57"/>
      <c r="JMT23" s="57"/>
      <c r="JMU23" s="57"/>
      <c r="JMV23" s="57"/>
      <c r="JMW23" s="57"/>
      <c r="JMX23" s="57"/>
      <c r="JMY23" s="57"/>
      <c r="JMZ23" s="57"/>
      <c r="JNA23" s="57"/>
      <c r="JNB23" s="57"/>
      <c r="JNC23" s="57"/>
      <c r="JND23" s="57"/>
      <c r="JNE23" s="57"/>
      <c r="JNF23" s="57"/>
      <c r="JNG23" s="57"/>
      <c r="JNH23" s="57"/>
      <c r="JNI23" s="57"/>
      <c r="JNJ23" s="57"/>
      <c r="JNK23" s="57"/>
      <c r="JNL23" s="57"/>
      <c r="JNM23" s="57"/>
      <c r="JNN23" s="57"/>
      <c r="JNO23" s="57"/>
      <c r="JNP23" s="57"/>
      <c r="JNQ23" s="57"/>
      <c r="JNR23" s="57"/>
      <c r="JNS23" s="57"/>
      <c r="JNT23" s="57"/>
      <c r="JNU23" s="57"/>
      <c r="JNV23" s="57"/>
      <c r="JNW23" s="57"/>
      <c r="JNX23" s="57"/>
      <c r="JNY23" s="57"/>
      <c r="JNZ23" s="57"/>
      <c r="JOA23" s="57"/>
      <c r="JOB23" s="57"/>
      <c r="JOC23" s="57"/>
      <c r="JOD23" s="57"/>
      <c r="JOE23" s="57"/>
      <c r="JOF23" s="57"/>
      <c r="JOG23" s="57"/>
      <c r="JOH23" s="57"/>
      <c r="JOI23" s="57"/>
      <c r="JOJ23" s="57"/>
      <c r="JOK23" s="57"/>
      <c r="JOL23" s="57"/>
      <c r="JOM23" s="57"/>
      <c r="JON23" s="57"/>
      <c r="JOO23" s="57"/>
      <c r="JOP23" s="57"/>
      <c r="JOQ23" s="57"/>
      <c r="JOR23" s="57"/>
      <c r="JOS23" s="57"/>
      <c r="JOT23" s="57"/>
      <c r="JOU23" s="57"/>
      <c r="JOV23" s="57"/>
      <c r="JOW23" s="57"/>
      <c r="JOX23" s="57"/>
      <c r="JOY23" s="57"/>
      <c r="JOZ23" s="57"/>
      <c r="JPA23" s="57"/>
      <c r="JPB23" s="57"/>
      <c r="JPC23" s="57"/>
      <c r="JPD23" s="57"/>
      <c r="JPE23" s="57"/>
      <c r="JPF23" s="57"/>
      <c r="JPG23" s="57"/>
      <c r="JPH23" s="57"/>
      <c r="JPI23" s="57"/>
      <c r="JPJ23" s="57"/>
      <c r="JPK23" s="57"/>
      <c r="JPL23" s="57"/>
      <c r="JPM23" s="57"/>
      <c r="JPN23" s="57"/>
      <c r="JPO23" s="57"/>
      <c r="JPP23" s="57"/>
      <c r="JPQ23" s="57"/>
      <c r="JPR23" s="57"/>
      <c r="JPS23" s="57"/>
      <c r="JPT23" s="57"/>
      <c r="JPU23" s="57"/>
      <c r="JPV23" s="57"/>
      <c r="JPW23" s="57"/>
      <c r="JPX23" s="57"/>
      <c r="JPY23" s="57"/>
      <c r="JPZ23" s="57"/>
      <c r="JQA23" s="57"/>
      <c r="JQB23" s="57"/>
      <c r="JQC23" s="57"/>
      <c r="JQD23" s="57"/>
      <c r="JQE23" s="57"/>
      <c r="JQF23" s="57"/>
      <c r="JQG23" s="57"/>
      <c r="JQH23" s="57"/>
      <c r="JQI23" s="57"/>
      <c r="JQJ23" s="57"/>
      <c r="JQK23" s="57"/>
      <c r="JQL23" s="57"/>
      <c r="JQM23" s="57"/>
      <c r="JQN23" s="57"/>
      <c r="JQO23" s="57"/>
      <c r="JQP23" s="57"/>
      <c r="JQQ23" s="57"/>
      <c r="JQR23" s="57"/>
      <c r="JQS23" s="57"/>
      <c r="JQT23" s="57"/>
      <c r="JQU23" s="57"/>
      <c r="JQV23" s="57"/>
      <c r="JQW23" s="57"/>
      <c r="JQX23" s="57"/>
      <c r="JQY23" s="57"/>
      <c r="JQZ23" s="57"/>
      <c r="JRA23" s="57"/>
      <c r="JRB23" s="57"/>
      <c r="JRC23" s="57"/>
      <c r="JRD23" s="57"/>
      <c r="JRE23" s="57"/>
      <c r="JRF23" s="57"/>
      <c r="JRG23" s="57"/>
      <c r="JRH23" s="57"/>
      <c r="JRI23" s="57"/>
      <c r="JRJ23" s="57"/>
      <c r="JRK23" s="57"/>
      <c r="JRL23" s="57"/>
      <c r="JRM23" s="57"/>
      <c r="JRN23" s="57"/>
      <c r="JRO23" s="57"/>
      <c r="JRP23" s="57"/>
      <c r="JRQ23" s="57"/>
      <c r="JRR23" s="57"/>
      <c r="JRS23" s="57"/>
      <c r="JRT23" s="57"/>
      <c r="JRU23" s="57"/>
      <c r="JRV23" s="57"/>
      <c r="JRW23" s="57"/>
      <c r="JRX23" s="57"/>
      <c r="JRY23" s="57"/>
      <c r="JRZ23" s="57"/>
      <c r="JSA23" s="57"/>
      <c r="JSB23" s="57"/>
      <c r="JSC23" s="57"/>
      <c r="JSD23" s="57"/>
      <c r="JSE23" s="57"/>
      <c r="JSF23" s="57"/>
      <c r="JSG23" s="57"/>
      <c r="JSH23" s="57"/>
      <c r="JSI23" s="57"/>
      <c r="JSJ23" s="57"/>
      <c r="JSK23" s="57"/>
      <c r="JSL23" s="57"/>
      <c r="JSM23" s="57"/>
      <c r="JSN23" s="57"/>
      <c r="JSO23" s="57"/>
      <c r="JSP23" s="57"/>
      <c r="JSQ23" s="57"/>
      <c r="JSR23" s="57"/>
      <c r="JSS23" s="57"/>
      <c r="JST23" s="57"/>
      <c r="JSU23" s="57"/>
      <c r="JSV23" s="57"/>
      <c r="JSW23" s="57"/>
      <c r="JSX23" s="57"/>
      <c r="JSY23" s="57"/>
      <c r="JSZ23" s="57"/>
      <c r="JTA23" s="57"/>
      <c r="JTB23" s="57"/>
      <c r="JTC23" s="57"/>
      <c r="JTD23" s="57"/>
      <c r="JTE23" s="57"/>
      <c r="JTF23" s="57"/>
      <c r="JTG23" s="57"/>
      <c r="JTH23" s="57"/>
      <c r="JTI23" s="57"/>
      <c r="JTJ23" s="57"/>
      <c r="JTK23" s="57"/>
      <c r="JTL23" s="57"/>
      <c r="JTM23" s="57"/>
      <c r="JTN23" s="57"/>
      <c r="JTO23" s="57"/>
      <c r="JTP23" s="57"/>
      <c r="JTQ23" s="57"/>
      <c r="JTR23" s="57"/>
      <c r="JTS23" s="57"/>
      <c r="JTT23" s="57"/>
      <c r="JTU23" s="57"/>
      <c r="JTV23" s="57"/>
      <c r="JTW23" s="57"/>
      <c r="JTX23" s="57"/>
      <c r="JTY23" s="57"/>
      <c r="JTZ23" s="57"/>
      <c r="JUA23" s="57"/>
      <c r="JUB23" s="57"/>
      <c r="JUC23" s="57"/>
      <c r="JUD23" s="57"/>
      <c r="JUE23" s="57"/>
      <c r="JUF23" s="57"/>
      <c r="JUG23" s="57"/>
      <c r="JUH23" s="57"/>
      <c r="JUI23" s="57"/>
      <c r="JUJ23" s="57"/>
      <c r="JUK23" s="57"/>
      <c r="JUL23" s="57"/>
      <c r="JUM23" s="57"/>
      <c r="JUN23" s="57"/>
      <c r="JUO23" s="57"/>
      <c r="JUP23" s="57"/>
      <c r="JUQ23" s="57"/>
      <c r="JUR23" s="57"/>
      <c r="JUS23" s="57"/>
      <c r="JUT23" s="57"/>
      <c r="JUU23" s="57"/>
      <c r="JUV23" s="57"/>
      <c r="JUW23" s="57"/>
      <c r="JUX23" s="57"/>
      <c r="JUY23" s="57"/>
      <c r="JUZ23" s="57"/>
      <c r="JVA23" s="57"/>
      <c r="JVB23" s="57"/>
      <c r="JVC23" s="57"/>
      <c r="JVD23" s="57"/>
      <c r="JVE23" s="57"/>
      <c r="JVF23" s="57"/>
      <c r="JVG23" s="57"/>
      <c r="JVH23" s="57"/>
      <c r="JVI23" s="57"/>
      <c r="JVJ23" s="57"/>
      <c r="JVK23" s="57"/>
      <c r="JVL23" s="57"/>
      <c r="JVM23" s="57"/>
      <c r="JVN23" s="57"/>
      <c r="JVO23" s="57"/>
      <c r="JVP23" s="57"/>
      <c r="JVQ23" s="57"/>
      <c r="JVR23" s="57"/>
      <c r="JVS23" s="57"/>
      <c r="JVT23" s="57"/>
      <c r="JVU23" s="57"/>
      <c r="JVV23" s="57"/>
      <c r="JVW23" s="57"/>
      <c r="JVX23" s="57"/>
      <c r="JVY23" s="57"/>
      <c r="JVZ23" s="57"/>
      <c r="JWA23" s="57"/>
      <c r="JWB23" s="57"/>
      <c r="JWC23" s="57"/>
      <c r="JWD23" s="57"/>
      <c r="JWE23" s="57"/>
      <c r="JWF23" s="57"/>
      <c r="JWG23" s="57"/>
      <c r="JWH23" s="57"/>
      <c r="JWI23" s="57"/>
      <c r="JWJ23" s="57"/>
      <c r="JWK23" s="57"/>
      <c r="JWL23" s="57"/>
      <c r="JWM23" s="57"/>
      <c r="JWN23" s="57"/>
      <c r="JWO23" s="57"/>
      <c r="JWP23" s="57"/>
      <c r="JWQ23" s="57"/>
      <c r="JWR23" s="57"/>
      <c r="JWS23" s="57"/>
      <c r="JWT23" s="57"/>
      <c r="JWU23" s="57"/>
      <c r="JWV23" s="57"/>
      <c r="JWW23" s="57"/>
      <c r="JWX23" s="57"/>
      <c r="JWY23" s="57"/>
      <c r="JWZ23" s="57"/>
      <c r="JXA23" s="57"/>
      <c r="JXB23" s="57"/>
      <c r="JXC23" s="57"/>
      <c r="JXD23" s="57"/>
      <c r="JXE23" s="57"/>
      <c r="JXF23" s="57"/>
      <c r="JXG23" s="57"/>
      <c r="JXH23" s="57"/>
      <c r="JXI23" s="57"/>
      <c r="JXJ23" s="57"/>
      <c r="JXK23" s="57"/>
      <c r="JXL23" s="57"/>
      <c r="JXM23" s="57"/>
      <c r="JXN23" s="57"/>
      <c r="JXO23" s="57"/>
      <c r="JXP23" s="57"/>
      <c r="JXQ23" s="57"/>
      <c r="JXR23" s="57"/>
      <c r="JXS23" s="57"/>
      <c r="JXT23" s="57"/>
      <c r="JXU23" s="57"/>
      <c r="JXV23" s="57"/>
      <c r="JXW23" s="57"/>
      <c r="JXX23" s="57"/>
      <c r="JXY23" s="57"/>
      <c r="JXZ23" s="57"/>
      <c r="JYA23" s="57"/>
      <c r="JYB23" s="57"/>
      <c r="JYC23" s="57"/>
      <c r="JYD23" s="57"/>
      <c r="JYE23" s="57"/>
      <c r="JYF23" s="57"/>
      <c r="JYG23" s="57"/>
      <c r="JYH23" s="57"/>
      <c r="JYI23" s="57"/>
      <c r="JYJ23" s="57"/>
      <c r="JYK23" s="57"/>
      <c r="JYL23" s="57"/>
      <c r="JYM23" s="57"/>
      <c r="JYN23" s="57"/>
      <c r="JYO23" s="57"/>
      <c r="JYP23" s="57"/>
      <c r="JYQ23" s="57"/>
      <c r="JYR23" s="57"/>
      <c r="JYS23" s="57"/>
      <c r="JYT23" s="57"/>
      <c r="JYU23" s="57"/>
      <c r="JYV23" s="57"/>
      <c r="JYW23" s="57"/>
      <c r="JYX23" s="57"/>
      <c r="JYY23" s="57"/>
      <c r="JYZ23" s="57"/>
      <c r="JZA23" s="57"/>
      <c r="JZB23" s="57"/>
      <c r="JZC23" s="57"/>
      <c r="JZD23" s="57"/>
      <c r="JZE23" s="57"/>
      <c r="JZF23" s="57"/>
      <c r="JZG23" s="57"/>
      <c r="JZH23" s="57"/>
      <c r="JZI23" s="57"/>
      <c r="JZJ23" s="57"/>
      <c r="JZK23" s="57"/>
      <c r="JZL23" s="57"/>
      <c r="JZM23" s="57"/>
      <c r="JZN23" s="57"/>
      <c r="JZO23" s="57"/>
      <c r="JZP23" s="57"/>
      <c r="JZQ23" s="57"/>
      <c r="JZR23" s="57"/>
      <c r="JZS23" s="57"/>
      <c r="JZT23" s="57"/>
      <c r="JZU23" s="57"/>
      <c r="JZV23" s="57"/>
      <c r="JZW23" s="57"/>
      <c r="JZX23" s="57"/>
      <c r="JZY23" s="57"/>
      <c r="JZZ23" s="57"/>
      <c r="KAA23" s="57"/>
      <c r="KAB23" s="57"/>
      <c r="KAC23" s="57"/>
      <c r="KAD23" s="57"/>
      <c r="KAE23" s="57"/>
      <c r="KAF23" s="57"/>
      <c r="KAG23" s="57"/>
      <c r="KAH23" s="57"/>
      <c r="KAI23" s="57"/>
      <c r="KAJ23" s="57"/>
      <c r="KAK23" s="57"/>
      <c r="KAL23" s="57"/>
      <c r="KAM23" s="57"/>
      <c r="KAN23" s="57"/>
      <c r="KAO23" s="57"/>
      <c r="KAP23" s="57"/>
      <c r="KAQ23" s="57"/>
      <c r="KAR23" s="57"/>
      <c r="KAS23" s="57"/>
      <c r="KAT23" s="57"/>
      <c r="KAU23" s="57"/>
      <c r="KAV23" s="57"/>
      <c r="KAW23" s="57"/>
      <c r="KAX23" s="57"/>
      <c r="KAY23" s="57"/>
      <c r="KAZ23" s="57"/>
      <c r="KBA23" s="57"/>
      <c r="KBB23" s="57"/>
      <c r="KBC23" s="57"/>
      <c r="KBD23" s="57"/>
      <c r="KBE23" s="57"/>
      <c r="KBF23" s="57"/>
      <c r="KBG23" s="57"/>
      <c r="KBH23" s="57"/>
      <c r="KBI23" s="57"/>
      <c r="KBJ23" s="57"/>
      <c r="KBK23" s="57"/>
      <c r="KBL23" s="57"/>
      <c r="KBM23" s="57"/>
      <c r="KBN23" s="57"/>
      <c r="KBO23" s="57"/>
      <c r="KBP23" s="57"/>
      <c r="KBQ23" s="57"/>
      <c r="KBR23" s="57"/>
      <c r="KBS23" s="57"/>
      <c r="KBT23" s="57"/>
      <c r="KBU23" s="57"/>
      <c r="KBV23" s="57"/>
      <c r="KBW23" s="57"/>
      <c r="KBX23" s="57"/>
      <c r="KBY23" s="57"/>
      <c r="KBZ23" s="57"/>
      <c r="KCA23" s="57"/>
      <c r="KCB23" s="57"/>
      <c r="KCC23" s="57"/>
      <c r="KCD23" s="57"/>
      <c r="KCE23" s="57"/>
      <c r="KCF23" s="57"/>
      <c r="KCG23" s="57"/>
      <c r="KCH23" s="57"/>
      <c r="KCI23" s="57"/>
      <c r="KCJ23" s="57"/>
      <c r="KCK23" s="57"/>
      <c r="KCL23" s="57"/>
      <c r="KCM23" s="57"/>
      <c r="KCN23" s="57"/>
      <c r="KCO23" s="57"/>
      <c r="KCP23" s="57"/>
      <c r="KCQ23" s="57"/>
      <c r="KCR23" s="57"/>
      <c r="KCS23" s="57"/>
      <c r="KCT23" s="57"/>
      <c r="KCU23" s="57"/>
      <c r="KCV23" s="57"/>
      <c r="KCW23" s="57"/>
      <c r="KCX23" s="57"/>
      <c r="KCY23" s="57"/>
      <c r="KCZ23" s="57"/>
      <c r="KDA23" s="57"/>
      <c r="KDB23" s="57"/>
      <c r="KDC23" s="57"/>
      <c r="KDD23" s="57"/>
      <c r="KDE23" s="57"/>
      <c r="KDF23" s="57"/>
      <c r="KDG23" s="57"/>
      <c r="KDH23" s="57"/>
      <c r="KDI23" s="57"/>
      <c r="KDJ23" s="57"/>
      <c r="KDK23" s="57"/>
      <c r="KDL23" s="57"/>
      <c r="KDM23" s="57"/>
      <c r="KDN23" s="57"/>
      <c r="KDO23" s="57"/>
      <c r="KDP23" s="57"/>
      <c r="KDQ23" s="57"/>
      <c r="KDR23" s="57"/>
      <c r="KDS23" s="57"/>
      <c r="KDT23" s="57"/>
      <c r="KDU23" s="57"/>
      <c r="KDV23" s="57"/>
      <c r="KDW23" s="57"/>
      <c r="KDX23" s="57"/>
      <c r="KDY23" s="57"/>
      <c r="KDZ23" s="57"/>
      <c r="KEA23" s="57"/>
      <c r="KEB23" s="57"/>
      <c r="KEC23" s="57"/>
      <c r="KED23" s="57"/>
      <c r="KEE23" s="57"/>
      <c r="KEF23" s="57"/>
      <c r="KEG23" s="57"/>
      <c r="KEH23" s="57"/>
      <c r="KEI23" s="57"/>
      <c r="KEJ23" s="57"/>
      <c r="KEK23" s="57"/>
      <c r="KEL23" s="57"/>
      <c r="KEM23" s="57"/>
      <c r="KEN23" s="57"/>
      <c r="KEO23" s="57"/>
      <c r="KEP23" s="57"/>
      <c r="KEQ23" s="57"/>
      <c r="KER23" s="57"/>
      <c r="KES23" s="57"/>
      <c r="KET23" s="57"/>
      <c r="KEU23" s="57"/>
      <c r="KEV23" s="57"/>
      <c r="KEW23" s="57"/>
      <c r="KEX23" s="57"/>
      <c r="KEY23" s="57"/>
      <c r="KEZ23" s="57"/>
      <c r="KFA23" s="57"/>
      <c r="KFB23" s="57"/>
      <c r="KFC23" s="57"/>
      <c r="KFD23" s="57"/>
      <c r="KFE23" s="57"/>
      <c r="KFF23" s="57"/>
      <c r="KFG23" s="57"/>
      <c r="KFH23" s="57"/>
      <c r="KFI23" s="57"/>
      <c r="KFJ23" s="57"/>
      <c r="KFK23" s="57"/>
      <c r="KFL23" s="57"/>
      <c r="KFM23" s="57"/>
      <c r="KFN23" s="57"/>
      <c r="KFO23" s="57"/>
      <c r="KFP23" s="57"/>
      <c r="KFQ23" s="57"/>
      <c r="KFR23" s="57"/>
      <c r="KFS23" s="57"/>
      <c r="KFT23" s="57"/>
      <c r="KFU23" s="57"/>
      <c r="KFV23" s="57"/>
      <c r="KFW23" s="57"/>
      <c r="KFX23" s="57"/>
      <c r="KFY23" s="57"/>
      <c r="KFZ23" s="57"/>
      <c r="KGA23" s="57"/>
      <c r="KGB23" s="57"/>
      <c r="KGC23" s="57"/>
      <c r="KGD23" s="57"/>
      <c r="KGE23" s="57"/>
      <c r="KGF23" s="57"/>
      <c r="KGG23" s="57"/>
      <c r="KGH23" s="57"/>
      <c r="KGI23" s="57"/>
      <c r="KGJ23" s="57"/>
      <c r="KGK23" s="57"/>
      <c r="KGL23" s="57"/>
      <c r="KGM23" s="57"/>
      <c r="KGN23" s="57"/>
      <c r="KGO23" s="57"/>
      <c r="KGP23" s="57"/>
      <c r="KGQ23" s="57"/>
      <c r="KGR23" s="57"/>
      <c r="KGS23" s="57"/>
      <c r="KGT23" s="57"/>
      <c r="KGU23" s="57"/>
      <c r="KGV23" s="57"/>
      <c r="KGW23" s="57"/>
      <c r="KGX23" s="57"/>
      <c r="KGY23" s="57"/>
      <c r="KGZ23" s="57"/>
      <c r="KHA23" s="57"/>
      <c r="KHB23" s="57"/>
      <c r="KHC23" s="57"/>
      <c r="KHD23" s="57"/>
      <c r="KHE23" s="57"/>
      <c r="KHF23" s="57"/>
      <c r="KHG23" s="57"/>
      <c r="KHH23" s="57"/>
      <c r="KHI23" s="57"/>
      <c r="KHJ23" s="57"/>
      <c r="KHK23" s="57"/>
      <c r="KHL23" s="57"/>
      <c r="KHM23" s="57"/>
      <c r="KHN23" s="57"/>
      <c r="KHO23" s="57"/>
      <c r="KHP23" s="57"/>
      <c r="KHQ23" s="57"/>
      <c r="KHR23" s="57"/>
      <c r="KHS23" s="57"/>
      <c r="KHT23" s="57"/>
      <c r="KHU23" s="57"/>
      <c r="KHV23" s="57"/>
      <c r="KHW23" s="57"/>
      <c r="KHX23" s="57"/>
      <c r="KHY23" s="57"/>
      <c r="KHZ23" s="57"/>
      <c r="KIA23" s="57"/>
      <c r="KIB23" s="57"/>
      <c r="KIC23" s="57"/>
      <c r="KID23" s="57"/>
      <c r="KIE23" s="57"/>
      <c r="KIF23" s="57"/>
      <c r="KIG23" s="57"/>
      <c r="KIH23" s="57"/>
      <c r="KII23" s="57"/>
      <c r="KIJ23" s="57"/>
      <c r="KIK23" s="57"/>
      <c r="KIL23" s="57"/>
      <c r="KIM23" s="57"/>
      <c r="KIN23" s="57"/>
      <c r="KIO23" s="57"/>
      <c r="KIP23" s="57"/>
      <c r="KIQ23" s="57"/>
      <c r="KIR23" s="57"/>
      <c r="KIS23" s="57"/>
      <c r="KIT23" s="57"/>
      <c r="KIU23" s="57"/>
      <c r="KIV23" s="57"/>
      <c r="KIW23" s="57"/>
      <c r="KIX23" s="57"/>
      <c r="KIY23" s="57"/>
      <c r="KIZ23" s="57"/>
      <c r="KJA23" s="57"/>
      <c r="KJB23" s="57"/>
      <c r="KJC23" s="57"/>
      <c r="KJD23" s="57"/>
      <c r="KJE23" s="57"/>
      <c r="KJF23" s="57"/>
      <c r="KJG23" s="57"/>
      <c r="KJH23" s="57"/>
      <c r="KJI23" s="57"/>
      <c r="KJJ23" s="57"/>
      <c r="KJK23" s="57"/>
      <c r="KJL23" s="57"/>
      <c r="KJM23" s="57"/>
      <c r="KJN23" s="57"/>
      <c r="KJO23" s="57"/>
      <c r="KJP23" s="57"/>
      <c r="KJQ23" s="57"/>
      <c r="KJR23" s="57"/>
      <c r="KJS23" s="57"/>
      <c r="KJT23" s="57"/>
      <c r="KJU23" s="57"/>
      <c r="KJV23" s="57"/>
      <c r="KJW23" s="57"/>
      <c r="KJX23" s="57"/>
      <c r="KJY23" s="57"/>
      <c r="KJZ23" s="57"/>
      <c r="KKA23" s="57"/>
      <c r="KKB23" s="57"/>
      <c r="KKC23" s="57"/>
      <c r="KKD23" s="57"/>
      <c r="KKE23" s="57"/>
      <c r="KKF23" s="57"/>
      <c r="KKG23" s="57"/>
      <c r="KKH23" s="57"/>
      <c r="KKI23" s="57"/>
      <c r="KKJ23" s="57"/>
      <c r="KKK23" s="57"/>
      <c r="KKL23" s="57"/>
      <c r="KKM23" s="57"/>
      <c r="KKN23" s="57"/>
      <c r="KKO23" s="57"/>
      <c r="KKP23" s="57"/>
      <c r="KKQ23" s="57"/>
      <c r="KKR23" s="57"/>
      <c r="KKS23" s="57"/>
      <c r="KKT23" s="57"/>
      <c r="KKU23" s="57"/>
      <c r="KKV23" s="57"/>
      <c r="KKW23" s="57"/>
      <c r="KKX23" s="57"/>
      <c r="KKY23" s="57"/>
      <c r="KKZ23" s="57"/>
      <c r="KLA23" s="57"/>
      <c r="KLB23" s="57"/>
      <c r="KLC23" s="57"/>
      <c r="KLD23" s="57"/>
      <c r="KLE23" s="57"/>
      <c r="KLF23" s="57"/>
      <c r="KLG23" s="57"/>
      <c r="KLH23" s="57"/>
      <c r="KLI23" s="57"/>
      <c r="KLJ23" s="57"/>
      <c r="KLK23" s="57"/>
      <c r="KLL23" s="57"/>
      <c r="KLM23" s="57"/>
      <c r="KLN23" s="57"/>
      <c r="KLO23" s="57"/>
      <c r="KLP23" s="57"/>
      <c r="KLQ23" s="57"/>
      <c r="KLR23" s="57"/>
      <c r="KLS23" s="57"/>
      <c r="KLT23" s="57"/>
      <c r="KLU23" s="57"/>
      <c r="KLV23" s="57"/>
      <c r="KLW23" s="57"/>
      <c r="KLX23" s="57"/>
      <c r="KLY23" s="57"/>
      <c r="KLZ23" s="57"/>
      <c r="KMA23" s="57"/>
      <c r="KMB23" s="57"/>
      <c r="KMC23" s="57"/>
      <c r="KMD23" s="57"/>
      <c r="KME23" s="57"/>
      <c r="KMF23" s="57"/>
      <c r="KMG23" s="57"/>
      <c r="KMH23" s="57"/>
      <c r="KMI23" s="57"/>
      <c r="KMJ23" s="57"/>
      <c r="KMK23" s="57"/>
      <c r="KML23" s="57"/>
      <c r="KMM23" s="57"/>
      <c r="KMN23" s="57"/>
      <c r="KMO23" s="57"/>
      <c r="KMP23" s="57"/>
      <c r="KMQ23" s="57"/>
      <c r="KMR23" s="57"/>
      <c r="KMS23" s="57"/>
      <c r="KMT23" s="57"/>
      <c r="KMU23" s="57"/>
      <c r="KMV23" s="57"/>
      <c r="KMW23" s="57"/>
      <c r="KMX23" s="57"/>
      <c r="KMY23" s="57"/>
      <c r="KMZ23" s="57"/>
      <c r="KNA23" s="57"/>
      <c r="KNB23" s="57"/>
      <c r="KNC23" s="57"/>
      <c r="KND23" s="57"/>
      <c r="KNE23" s="57"/>
      <c r="KNF23" s="57"/>
      <c r="KNG23" s="57"/>
      <c r="KNH23" s="57"/>
      <c r="KNI23" s="57"/>
      <c r="KNJ23" s="57"/>
      <c r="KNK23" s="57"/>
      <c r="KNL23" s="57"/>
      <c r="KNM23" s="57"/>
      <c r="KNN23" s="57"/>
      <c r="KNO23" s="57"/>
      <c r="KNP23" s="57"/>
      <c r="KNQ23" s="57"/>
      <c r="KNR23" s="57"/>
      <c r="KNS23" s="57"/>
      <c r="KNT23" s="57"/>
      <c r="KNU23" s="57"/>
      <c r="KNV23" s="57"/>
      <c r="KNW23" s="57"/>
      <c r="KNX23" s="57"/>
      <c r="KNY23" s="57"/>
      <c r="KNZ23" s="57"/>
      <c r="KOA23" s="57"/>
      <c r="KOB23" s="57"/>
      <c r="KOC23" s="57"/>
      <c r="KOD23" s="57"/>
      <c r="KOE23" s="57"/>
      <c r="KOF23" s="57"/>
      <c r="KOG23" s="57"/>
      <c r="KOH23" s="57"/>
      <c r="KOI23" s="57"/>
      <c r="KOJ23" s="57"/>
      <c r="KOK23" s="57"/>
      <c r="KOL23" s="57"/>
      <c r="KOM23" s="57"/>
      <c r="KON23" s="57"/>
      <c r="KOO23" s="57"/>
      <c r="KOP23" s="57"/>
      <c r="KOQ23" s="57"/>
      <c r="KOR23" s="57"/>
      <c r="KOS23" s="57"/>
      <c r="KOT23" s="57"/>
      <c r="KOU23" s="57"/>
      <c r="KOV23" s="57"/>
      <c r="KOW23" s="57"/>
      <c r="KOX23" s="57"/>
      <c r="KOY23" s="57"/>
      <c r="KOZ23" s="57"/>
      <c r="KPA23" s="57"/>
      <c r="KPB23" s="57"/>
      <c r="KPC23" s="57"/>
      <c r="KPD23" s="57"/>
      <c r="KPE23" s="57"/>
      <c r="KPF23" s="57"/>
      <c r="KPG23" s="57"/>
      <c r="KPH23" s="57"/>
      <c r="KPI23" s="57"/>
      <c r="KPJ23" s="57"/>
      <c r="KPK23" s="57"/>
      <c r="KPL23" s="57"/>
      <c r="KPM23" s="57"/>
      <c r="KPN23" s="57"/>
      <c r="KPO23" s="57"/>
      <c r="KPP23" s="57"/>
      <c r="KPQ23" s="57"/>
      <c r="KPR23" s="57"/>
      <c r="KPS23" s="57"/>
      <c r="KPT23" s="57"/>
      <c r="KPU23" s="57"/>
      <c r="KPV23" s="57"/>
      <c r="KPW23" s="57"/>
      <c r="KPX23" s="57"/>
      <c r="KPY23" s="57"/>
      <c r="KPZ23" s="57"/>
      <c r="KQA23" s="57"/>
      <c r="KQB23" s="57"/>
      <c r="KQC23" s="57"/>
      <c r="KQD23" s="57"/>
      <c r="KQE23" s="57"/>
      <c r="KQF23" s="57"/>
      <c r="KQG23" s="57"/>
      <c r="KQH23" s="57"/>
      <c r="KQI23" s="57"/>
      <c r="KQJ23" s="57"/>
      <c r="KQK23" s="57"/>
      <c r="KQL23" s="57"/>
      <c r="KQM23" s="57"/>
      <c r="KQN23" s="57"/>
      <c r="KQO23" s="57"/>
      <c r="KQP23" s="57"/>
      <c r="KQQ23" s="57"/>
      <c r="KQR23" s="57"/>
      <c r="KQS23" s="57"/>
      <c r="KQT23" s="57"/>
      <c r="KQU23" s="57"/>
      <c r="KQV23" s="57"/>
      <c r="KQW23" s="57"/>
      <c r="KQX23" s="57"/>
      <c r="KQY23" s="57"/>
      <c r="KQZ23" s="57"/>
      <c r="KRA23" s="57"/>
      <c r="KRB23" s="57"/>
      <c r="KRC23" s="57"/>
      <c r="KRD23" s="57"/>
      <c r="KRE23" s="57"/>
      <c r="KRF23" s="57"/>
      <c r="KRG23" s="57"/>
      <c r="KRH23" s="57"/>
      <c r="KRI23" s="57"/>
      <c r="KRJ23" s="57"/>
      <c r="KRK23" s="57"/>
      <c r="KRL23" s="57"/>
      <c r="KRM23" s="57"/>
      <c r="KRN23" s="57"/>
      <c r="KRO23" s="57"/>
      <c r="KRP23" s="57"/>
      <c r="KRQ23" s="57"/>
      <c r="KRR23" s="57"/>
      <c r="KRS23" s="57"/>
      <c r="KRT23" s="57"/>
      <c r="KRU23" s="57"/>
      <c r="KRV23" s="57"/>
      <c r="KRW23" s="57"/>
      <c r="KRX23" s="57"/>
      <c r="KRY23" s="57"/>
      <c r="KRZ23" s="57"/>
      <c r="KSA23" s="57"/>
      <c r="KSB23" s="57"/>
      <c r="KSC23" s="57"/>
      <c r="KSD23" s="57"/>
      <c r="KSE23" s="57"/>
      <c r="KSF23" s="57"/>
      <c r="KSG23" s="57"/>
      <c r="KSH23" s="57"/>
      <c r="KSI23" s="57"/>
      <c r="KSJ23" s="57"/>
      <c r="KSK23" s="57"/>
      <c r="KSL23" s="57"/>
      <c r="KSM23" s="57"/>
      <c r="KSN23" s="57"/>
      <c r="KSO23" s="57"/>
      <c r="KSP23" s="57"/>
      <c r="KSQ23" s="57"/>
      <c r="KSR23" s="57"/>
      <c r="KSS23" s="57"/>
      <c r="KST23" s="57"/>
      <c r="KSU23" s="57"/>
      <c r="KSV23" s="57"/>
      <c r="KSW23" s="57"/>
      <c r="KSX23" s="57"/>
      <c r="KSY23" s="57"/>
      <c r="KSZ23" s="57"/>
      <c r="KTA23" s="57"/>
      <c r="KTB23" s="57"/>
      <c r="KTC23" s="57"/>
      <c r="KTD23" s="57"/>
      <c r="KTE23" s="57"/>
      <c r="KTF23" s="57"/>
      <c r="KTG23" s="57"/>
      <c r="KTH23" s="57"/>
      <c r="KTI23" s="57"/>
      <c r="KTJ23" s="57"/>
      <c r="KTK23" s="57"/>
      <c r="KTL23" s="57"/>
      <c r="KTM23" s="57"/>
      <c r="KTN23" s="57"/>
      <c r="KTO23" s="57"/>
      <c r="KTP23" s="57"/>
      <c r="KTQ23" s="57"/>
      <c r="KTR23" s="57"/>
      <c r="KTS23" s="57"/>
      <c r="KTT23" s="57"/>
      <c r="KTU23" s="57"/>
      <c r="KTV23" s="57"/>
      <c r="KTW23" s="57"/>
      <c r="KTX23" s="57"/>
      <c r="KTY23" s="57"/>
      <c r="KTZ23" s="57"/>
      <c r="KUA23" s="57"/>
      <c r="KUB23" s="57"/>
      <c r="KUC23" s="57"/>
      <c r="KUD23" s="57"/>
      <c r="KUE23" s="57"/>
      <c r="KUF23" s="57"/>
      <c r="KUG23" s="57"/>
      <c r="KUH23" s="57"/>
      <c r="KUI23" s="57"/>
      <c r="KUJ23" s="57"/>
      <c r="KUK23" s="57"/>
      <c r="KUL23" s="57"/>
      <c r="KUM23" s="57"/>
      <c r="KUN23" s="57"/>
      <c r="KUO23" s="57"/>
      <c r="KUP23" s="57"/>
      <c r="KUQ23" s="57"/>
      <c r="KUR23" s="57"/>
      <c r="KUS23" s="57"/>
      <c r="KUT23" s="57"/>
      <c r="KUU23" s="57"/>
      <c r="KUV23" s="57"/>
      <c r="KUW23" s="57"/>
      <c r="KUX23" s="57"/>
      <c r="KUY23" s="57"/>
      <c r="KUZ23" s="57"/>
      <c r="KVA23" s="57"/>
      <c r="KVB23" s="57"/>
      <c r="KVC23" s="57"/>
      <c r="KVD23" s="57"/>
      <c r="KVE23" s="57"/>
      <c r="KVF23" s="57"/>
      <c r="KVG23" s="57"/>
      <c r="KVH23" s="57"/>
      <c r="KVI23" s="57"/>
      <c r="KVJ23" s="57"/>
      <c r="KVK23" s="57"/>
      <c r="KVL23" s="57"/>
      <c r="KVM23" s="57"/>
      <c r="KVN23" s="57"/>
      <c r="KVO23" s="57"/>
      <c r="KVP23" s="57"/>
      <c r="KVQ23" s="57"/>
      <c r="KVR23" s="57"/>
      <c r="KVS23" s="57"/>
      <c r="KVT23" s="57"/>
      <c r="KVU23" s="57"/>
      <c r="KVV23" s="57"/>
      <c r="KVW23" s="57"/>
      <c r="KVX23" s="57"/>
      <c r="KVY23" s="57"/>
      <c r="KVZ23" s="57"/>
      <c r="KWA23" s="57"/>
      <c r="KWB23" s="57"/>
      <c r="KWC23" s="57"/>
      <c r="KWD23" s="57"/>
      <c r="KWE23" s="57"/>
      <c r="KWF23" s="57"/>
      <c r="KWG23" s="57"/>
      <c r="KWH23" s="57"/>
      <c r="KWI23" s="57"/>
      <c r="KWJ23" s="57"/>
      <c r="KWK23" s="57"/>
      <c r="KWL23" s="57"/>
      <c r="KWM23" s="57"/>
      <c r="KWN23" s="57"/>
      <c r="KWO23" s="57"/>
      <c r="KWP23" s="57"/>
      <c r="KWQ23" s="57"/>
      <c r="KWR23" s="57"/>
      <c r="KWS23" s="57"/>
      <c r="KWT23" s="57"/>
      <c r="KWU23" s="57"/>
      <c r="KWV23" s="57"/>
      <c r="KWW23" s="57"/>
      <c r="KWX23" s="57"/>
      <c r="KWY23" s="57"/>
      <c r="KWZ23" s="57"/>
      <c r="KXA23" s="57"/>
      <c r="KXB23" s="57"/>
      <c r="KXC23" s="57"/>
      <c r="KXD23" s="57"/>
      <c r="KXE23" s="57"/>
      <c r="KXF23" s="57"/>
      <c r="KXG23" s="57"/>
      <c r="KXH23" s="57"/>
      <c r="KXI23" s="57"/>
      <c r="KXJ23" s="57"/>
      <c r="KXK23" s="57"/>
      <c r="KXL23" s="57"/>
      <c r="KXM23" s="57"/>
      <c r="KXN23" s="57"/>
      <c r="KXO23" s="57"/>
      <c r="KXP23" s="57"/>
      <c r="KXQ23" s="57"/>
      <c r="KXR23" s="57"/>
      <c r="KXS23" s="57"/>
      <c r="KXT23" s="57"/>
      <c r="KXU23" s="57"/>
      <c r="KXV23" s="57"/>
      <c r="KXW23" s="57"/>
      <c r="KXX23" s="57"/>
      <c r="KXY23" s="57"/>
      <c r="KXZ23" s="57"/>
      <c r="KYA23" s="57"/>
      <c r="KYB23" s="57"/>
      <c r="KYC23" s="57"/>
      <c r="KYD23" s="57"/>
      <c r="KYE23" s="57"/>
      <c r="KYF23" s="57"/>
      <c r="KYG23" s="57"/>
      <c r="KYH23" s="57"/>
      <c r="KYI23" s="57"/>
      <c r="KYJ23" s="57"/>
      <c r="KYK23" s="57"/>
      <c r="KYL23" s="57"/>
      <c r="KYM23" s="57"/>
      <c r="KYN23" s="57"/>
      <c r="KYO23" s="57"/>
      <c r="KYP23" s="57"/>
      <c r="KYQ23" s="57"/>
      <c r="KYR23" s="57"/>
      <c r="KYS23" s="57"/>
      <c r="KYT23" s="57"/>
      <c r="KYU23" s="57"/>
      <c r="KYV23" s="57"/>
      <c r="KYW23" s="57"/>
      <c r="KYX23" s="57"/>
      <c r="KYY23" s="57"/>
      <c r="KYZ23" s="57"/>
      <c r="KZA23" s="57"/>
      <c r="KZB23" s="57"/>
      <c r="KZC23" s="57"/>
      <c r="KZD23" s="57"/>
      <c r="KZE23" s="57"/>
      <c r="KZF23" s="57"/>
      <c r="KZG23" s="57"/>
      <c r="KZH23" s="57"/>
      <c r="KZI23" s="57"/>
      <c r="KZJ23" s="57"/>
      <c r="KZK23" s="57"/>
      <c r="KZL23" s="57"/>
      <c r="KZM23" s="57"/>
      <c r="KZN23" s="57"/>
      <c r="KZO23" s="57"/>
      <c r="KZP23" s="57"/>
      <c r="KZQ23" s="57"/>
      <c r="KZR23" s="57"/>
      <c r="KZS23" s="57"/>
      <c r="KZT23" s="57"/>
      <c r="KZU23" s="57"/>
      <c r="KZV23" s="57"/>
      <c r="KZW23" s="57"/>
      <c r="KZX23" s="57"/>
      <c r="KZY23" s="57"/>
      <c r="KZZ23" s="57"/>
      <c r="LAA23" s="57"/>
      <c r="LAB23" s="57"/>
      <c r="LAC23" s="57"/>
      <c r="LAD23" s="57"/>
      <c r="LAE23" s="57"/>
      <c r="LAF23" s="57"/>
      <c r="LAG23" s="57"/>
      <c r="LAH23" s="57"/>
      <c r="LAI23" s="57"/>
      <c r="LAJ23" s="57"/>
      <c r="LAK23" s="57"/>
      <c r="LAL23" s="57"/>
      <c r="LAM23" s="57"/>
      <c r="LAN23" s="57"/>
      <c r="LAO23" s="57"/>
      <c r="LAP23" s="57"/>
      <c r="LAQ23" s="57"/>
      <c r="LAR23" s="57"/>
      <c r="LAS23" s="57"/>
      <c r="LAT23" s="57"/>
      <c r="LAU23" s="57"/>
      <c r="LAV23" s="57"/>
      <c r="LAW23" s="57"/>
      <c r="LAX23" s="57"/>
      <c r="LAY23" s="57"/>
      <c r="LAZ23" s="57"/>
      <c r="LBA23" s="57"/>
      <c r="LBB23" s="57"/>
      <c r="LBC23" s="57"/>
      <c r="LBD23" s="57"/>
      <c r="LBE23" s="57"/>
      <c r="LBF23" s="57"/>
      <c r="LBG23" s="57"/>
      <c r="LBH23" s="57"/>
      <c r="LBI23" s="57"/>
      <c r="LBJ23" s="57"/>
      <c r="LBK23" s="57"/>
      <c r="LBL23" s="57"/>
      <c r="LBM23" s="57"/>
      <c r="LBN23" s="57"/>
      <c r="LBO23" s="57"/>
      <c r="LBP23" s="57"/>
      <c r="LBQ23" s="57"/>
      <c r="LBR23" s="57"/>
      <c r="LBS23" s="57"/>
      <c r="LBT23" s="57"/>
      <c r="LBU23" s="57"/>
      <c r="LBV23" s="57"/>
      <c r="LBW23" s="57"/>
      <c r="LBX23" s="57"/>
      <c r="LBY23" s="57"/>
      <c r="LBZ23" s="57"/>
      <c r="LCA23" s="57"/>
      <c r="LCB23" s="57"/>
      <c r="LCC23" s="57"/>
      <c r="LCD23" s="57"/>
      <c r="LCE23" s="57"/>
      <c r="LCF23" s="57"/>
      <c r="LCG23" s="57"/>
      <c r="LCH23" s="57"/>
      <c r="LCI23" s="57"/>
      <c r="LCJ23" s="57"/>
      <c r="LCK23" s="57"/>
      <c r="LCL23" s="57"/>
      <c r="LCM23" s="57"/>
      <c r="LCN23" s="57"/>
      <c r="LCO23" s="57"/>
      <c r="LCP23" s="57"/>
      <c r="LCQ23" s="57"/>
      <c r="LCR23" s="57"/>
      <c r="LCS23" s="57"/>
      <c r="LCT23" s="57"/>
      <c r="LCU23" s="57"/>
      <c r="LCV23" s="57"/>
      <c r="LCW23" s="57"/>
      <c r="LCX23" s="57"/>
      <c r="LCY23" s="57"/>
      <c r="LCZ23" s="57"/>
      <c r="LDA23" s="57"/>
      <c r="LDB23" s="57"/>
      <c r="LDC23" s="57"/>
      <c r="LDD23" s="57"/>
      <c r="LDE23" s="57"/>
      <c r="LDF23" s="57"/>
      <c r="LDG23" s="57"/>
      <c r="LDH23" s="57"/>
      <c r="LDI23" s="57"/>
      <c r="LDJ23" s="57"/>
      <c r="LDK23" s="57"/>
      <c r="LDL23" s="57"/>
      <c r="LDM23" s="57"/>
      <c r="LDN23" s="57"/>
      <c r="LDO23" s="57"/>
      <c r="LDP23" s="57"/>
      <c r="LDQ23" s="57"/>
      <c r="LDR23" s="57"/>
      <c r="LDS23" s="57"/>
      <c r="LDT23" s="57"/>
      <c r="LDU23" s="57"/>
      <c r="LDV23" s="57"/>
      <c r="LDW23" s="57"/>
      <c r="LDX23" s="57"/>
      <c r="LDY23" s="57"/>
      <c r="LDZ23" s="57"/>
      <c r="LEA23" s="57"/>
      <c r="LEB23" s="57"/>
      <c r="LEC23" s="57"/>
      <c r="LED23" s="57"/>
      <c r="LEE23" s="57"/>
      <c r="LEF23" s="57"/>
      <c r="LEG23" s="57"/>
      <c r="LEH23" s="57"/>
      <c r="LEI23" s="57"/>
      <c r="LEJ23" s="57"/>
      <c r="LEK23" s="57"/>
      <c r="LEL23" s="57"/>
      <c r="LEM23" s="57"/>
      <c r="LEN23" s="57"/>
      <c r="LEO23" s="57"/>
      <c r="LEP23" s="57"/>
      <c r="LEQ23" s="57"/>
      <c r="LER23" s="57"/>
      <c r="LES23" s="57"/>
      <c r="LET23" s="57"/>
      <c r="LEU23" s="57"/>
      <c r="LEV23" s="57"/>
      <c r="LEW23" s="57"/>
      <c r="LEX23" s="57"/>
      <c r="LEY23" s="57"/>
      <c r="LEZ23" s="57"/>
      <c r="LFA23" s="57"/>
      <c r="LFB23" s="57"/>
      <c r="LFC23" s="57"/>
      <c r="LFD23" s="57"/>
      <c r="LFE23" s="57"/>
      <c r="LFF23" s="57"/>
      <c r="LFG23" s="57"/>
      <c r="LFH23" s="57"/>
      <c r="LFI23" s="57"/>
      <c r="LFJ23" s="57"/>
      <c r="LFK23" s="57"/>
      <c r="LFL23" s="57"/>
      <c r="LFM23" s="57"/>
      <c r="LFN23" s="57"/>
      <c r="LFO23" s="57"/>
      <c r="LFP23" s="57"/>
      <c r="LFQ23" s="57"/>
      <c r="LFR23" s="57"/>
      <c r="LFS23" s="57"/>
      <c r="LFT23" s="57"/>
      <c r="LFU23" s="57"/>
      <c r="LFV23" s="57"/>
      <c r="LFW23" s="57"/>
      <c r="LFX23" s="57"/>
      <c r="LFY23" s="57"/>
      <c r="LFZ23" s="57"/>
      <c r="LGA23" s="57"/>
      <c r="LGB23" s="57"/>
      <c r="LGC23" s="57"/>
      <c r="LGD23" s="57"/>
      <c r="LGE23" s="57"/>
      <c r="LGF23" s="57"/>
      <c r="LGG23" s="57"/>
      <c r="LGH23" s="57"/>
      <c r="LGI23" s="57"/>
      <c r="LGJ23" s="57"/>
      <c r="LGK23" s="57"/>
      <c r="LGL23" s="57"/>
      <c r="LGM23" s="57"/>
      <c r="LGN23" s="57"/>
      <c r="LGO23" s="57"/>
      <c r="LGP23" s="57"/>
      <c r="LGQ23" s="57"/>
      <c r="LGR23" s="57"/>
      <c r="LGS23" s="57"/>
      <c r="LGT23" s="57"/>
      <c r="LGU23" s="57"/>
      <c r="LGV23" s="57"/>
      <c r="LGW23" s="57"/>
      <c r="LGX23" s="57"/>
      <c r="LGY23" s="57"/>
      <c r="LGZ23" s="57"/>
      <c r="LHA23" s="57"/>
      <c r="LHB23" s="57"/>
      <c r="LHC23" s="57"/>
      <c r="LHD23" s="57"/>
      <c r="LHE23" s="57"/>
      <c r="LHF23" s="57"/>
      <c r="LHG23" s="57"/>
      <c r="LHH23" s="57"/>
      <c r="LHI23" s="57"/>
      <c r="LHJ23" s="57"/>
      <c r="LHK23" s="57"/>
      <c r="LHL23" s="57"/>
      <c r="LHM23" s="57"/>
      <c r="LHN23" s="57"/>
      <c r="LHO23" s="57"/>
      <c r="LHP23" s="57"/>
      <c r="LHQ23" s="57"/>
      <c r="LHR23" s="57"/>
      <c r="LHS23" s="57"/>
      <c r="LHT23" s="57"/>
      <c r="LHU23" s="57"/>
      <c r="LHV23" s="57"/>
      <c r="LHW23" s="57"/>
      <c r="LHX23" s="57"/>
      <c r="LHY23" s="57"/>
      <c r="LHZ23" s="57"/>
      <c r="LIA23" s="57"/>
      <c r="LIB23" s="57"/>
      <c r="LIC23" s="57"/>
      <c r="LID23" s="57"/>
      <c r="LIE23" s="57"/>
      <c r="LIF23" s="57"/>
      <c r="LIG23" s="57"/>
      <c r="LIH23" s="57"/>
      <c r="LII23" s="57"/>
      <c r="LIJ23" s="57"/>
      <c r="LIK23" s="57"/>
      <c r="LIL23" s="57"/>
      <c r="LIM23" s="57"/>
      <c r="LIN23" s="57"/>
      <c r="LIO23" s="57"/>
      <c r="LIP23" s="57"/>
      <c r="LIQ23" s="57"/>
      <c r="LIR23" s="57"/>
      <c r="LIS23" s="57"/>
      <c r="LIT23" s="57"/>
      <c r="LIU23" s="57"/>
      <c r="LIV23" s="57"/>
      <c r="LIW23" s="57"/>
      <c r="LIX23" s="57"/>
      <c r="LIY23" s="57"/>
      <c r="LIZ23" s="57"/>
      <c r="LJA23" s="57"/>
      <c r="LJB23" s="57"/>
      <c r="LJC23" s="57"/>
      <c r="LJD23" s="57"/>
      <c r="LJE23" s="57"/>
      <c r="LJF23" s="57"/>
      <c r="LJG23" s="57"/>
      <c r="LJH23" s="57"/>
      <c r="LJI23" s="57"/>
      <c r="LJJ23" s="57"/>
      <c r="LJK23" s="57"/>
      <c r="LJL23" s="57"/>
      <c r="LJM23" s="57"/>
      <c r="LJN23" s="57"/>
      <c r="LJO23" s="57"/>
      <c r="LJP23" s="57"/>
      <c r="LJQ23" s="57"/>
      <c r="LJR23" s="57"/>
      <c r="LJS23" s="57"/>
      <c r="LJT23" s="57"/>
      <c r="LJU23" s="57"/>
      <c r="LJV23" s="57"/>
      <c r="LJW23" s="57"/>
      <c r="LJX23" s="57"/>
      <c r="LJY23" s="57"/>
      <c r="LJZ23" s="57"/>
      <c r="LKA23" s="57"/>
      <c r="LKB23" s="57"/>
      <c r="LKC23" s="57"/>
      <c r="LKD23" s="57"/>
      <c r="LKE23" s="57"/>
      <c r="LKF23" s="57"/>
      <c r="LKG23" s="57"/>
      <c r="LKH23" s="57"/>
      <c r="LKI23" s="57"/>
      <c r="LKJ23" s="57"/>
      <c r="LKK23" s="57"/>
      <c r="LKL23" s="57"/>
      <c r="LKM23" s="57"/>
      <c r="LKN23" s="57"/>
      <c r="LKO23" s="57"/>
      <c r="LKP23" s="57"/>
      <c r="LKQ23" s="57"/>
      <c r="LKR23" s="57"/>
      <c r="LKS23" s="57"/>
      <c r="LKT23" s="57"/>
      <c r="LKU23" s="57"/>
      <c r="LKV23" s="57"/>
      <c r="LKW23" s="57"/>
      <c r="LKX23" s="57"/>
      <c r="LKY23" s="57"/>
      <c r="LKZ23" s="57"/>
      <c r="LLA23" s="57"/>
      <c r="LLB23" s="57"/>
      <c r="LLC23" s="57"/>
      <c r="LLD23" s="57"/>
      <c r="LLE23" s="57"/>
      <c r="LLF23" s="57"/>
      <c r="LLG23" s="57"/>
      <c r="LLH23" s="57"/>
      <c r="LLI23" s="57"/>
      <c r="LLJ23" s="57"/>
      <c r="LLK23" s="57"/>
      <c r="LLL23" s="57"/>
      <c r="LLM23" s="57"/>
      <c r="LLN23" s="57"/>
      <c r="LLO23" s="57"/>
      <c r="LLP23" s="57"/>
      <c r="LLQ23" s="57"/>
      <c r="LLR23" s="57"/>
      <c r="LLS23" s="57"/>
      <c r="LLT23" s="57"/>
      <c r="LLU23" s="57"/>
      <c r="LLV23" s="57"/>
      <c r="LLW23" s="57"/>
      <c r="LLX23" s="57"/>
      <c r="LLY23" s="57"/>
      <c r="LLZ23" s="57"/>
      <c r="LMA23" s="57"/>
      <c r="LMB23" s="57"/>
      <c r="LMC23" s="57"/>
      <c r="LMD23" s="57"/>
      <c r="LME23" s="57"/>
      <c r="LMF23" s="57"/>
      <c r="LMG23" s="57"/>
      <c r="LMH23" s="57"/>
      <c r="LMI23" s="57"/>
      <c r="LMJ23" s="57"/>
      <c r="LMK23" s="57"/>
      <c r="LML23" s="57"/>
      <c r="LMM23" s="57"/>
      <c r="LMN23" s="57"/>
      <c r="LMO23" s="57"/>
      <c r="LMP23" s="57"/>
      <c r="LMQ23" s="57"/>
      <c r="LMR23" s="57"/>
      <c r="LMS23" s="57"/>
      <c r="LMT23" s="57"/>
      <c r="LMU23" s="57"/>
      <c r="LMV23" s="57"/>
      <c r="LMW23" s="57"/>
      <c r="LMX23" s="57"/>
      <c r="LMY23" s="57"/>
      <c r="LMZ23" s="57"/>
      <c r="LNA23" s="57"/>
      <c r="LNB23" s="57"/>
      <c r="LNC23" s="57"/>
      <c r="LND23" s="57"/>
      <c r="LNE23" s="57"/>
      <c r="LNF23" s="57"/>
      <c r="LNG23" s="57"/>
      <c r="LNH23" s="57"/>
      <c r="LNI23" s="57"/>
      <c r="LNJ23" s="57"/>
      <c r="LNK23" s="57"/>
      <c r="LNL23" s="57"/>
      <c r="LNM23" s="57"/>
      <c r="LNN23" s="57"/>
      <c r="LNO23" s="57"/>
      <c r="LNP23" s="57"/>
      <c r="LNQ23" s="57"/>
      <c r="LNR23" s="57"/>
      <c r="LNS23" s="57"/>
      <c r="LNT23" s="57"/>
      <c r="LNU23" s="57"/>
      <c r="LNV23" s="57"/>
      <c r="LNW23" s="57"/>
      <c r="LNX23" s="57"/>
      <c r="LNY23" s="57"/>
      <c r="LNZ23" s="57"/>
      <c r="LOA23" s="57"/>
      <c r="LOB23" s="57"/>
      <c r="LOC23" s="57"/>
      <c r="LOD23" s="57"/>
      <c r="LOE23" s="57"/>
      <c r="LOF23" s="57"/>
      <c r="LOG23" s="57"/>
      <c r="LOH23" s="57"/>
      <c r="LOI23" s="57"/>
      <c r="LOJ23" s="57"/>
      <c r="LOK23" s="57"/>
      <c r="LOL23" s="57"/>
      <c r="LOM23" s="57"/>
      <c r="LON23" s="57"/>
      <c r="LOO23" s="57"/>
      <c r="LOP23" s="57"/>
      <c r="LOQ23" s="57"/>
      <c r="LOR23" s="57"/>
      <c r="LOS23" s="57"/>
      <c r="LOT23" s="57"/>
      <c r="LOU23" s="57"/>
      <c r="LOV23" s="57"/>
      <c r="LOW23" s="57"/>
      <c r="LOX23" s="57"/>
      <c r="LOY23" s="57"/>
      <c r="LOZ23" s="57"/>
      <c r="LPA23" s="57"/>
      <c r="LPB23" s="57"/>
      <c r="LPC23" s="57"/>
      <c r="LPD23" s="57"/>
      <c r="LPE23" s="57"/>
      <c r="LPF23" s="57"/>
      <c r="LPG23" s="57"/>
      <c r="LPH23" s="57"/>
      <c r="LPI23" s="57"/>
      <c r="LPJ23" s="57"/>
      <c r="LPK23" s="57"/>
      <c r="LPL23" s="57"/>
      <c r="LPM23" s="57"/>
      <c r="LPN23" s="57"/>
      <c r="LPO23" s="57"/>
      <c r="LPP23" s="57"/>
      <c r="LPQ23" s="57"/>
      <c r="LPR23" s="57"/>
      <c r="LPS23" s="57"/>
      <c r="LPT23" s="57"/>
      <c r="LPU23" s="57"/>
      <c r="LPV23" s="57"/>
      <c r="LPW23" s="57"/>
      <c r="LPX23" s="57"/>
      <c r="LPY23" s="57"/>
      <c r="LPZ23" s="57"/>
      <c r="LQA23" s="57"/>
      <c r="LQB23" s="57"/>
      <c r="LQC23" s="57"/>
      <c r="LQD23" s="57"/>
      <c r="LQE23" s="57"/>
      <c r="LQF23" s="57"/>
      <c r="LQG23" s="57"/>
      <c r="LQH23" s="57"/>
      <c r="LQI23" s="57"/>
      <c r="LQJ23" s="57"/>
      <c r="LQK23" s="57"/>
      <c r="LQL23" s="57"/>
      <c r="LQM23" s="57"/>
      <c r="LQN23" s="57"/>
      <c r="LQO23" s="57"/>
      <c r="LQP23" s="57"/>
      <c r="LQQ23" s="57"/>
      <c r="LQR23" s="57"/>
      <c r="LQS23" s="57"/>
      <c r="LQT23" s="57"/>
      <c r="LQU23" s="57"/>
      <c r="LQV23" s="57"/>
      <c r="LQW23" s="57"/>
      <c r="LQX23" s="57"/>
      <c r="LQY23" s="57"/>
      <c r="LQZ23" s="57"/>
      <c r="LRA23" s="57"/>
      <c r="LRB23" s="57"/>
      <c r="LRC23" s="57"/>
      <c r="LRD23" s="57"/>
      <c r="LRE23" s="57"/>
      <c r="LRF23" s="57"/>
      <c r="LRG23" s="57"/>
      <c r="LRH23" s="57"/>
      <c r="LRI23" s="57"/>
      <c r="LRJ23" s="57"/>
      <c r="LRK23" s="57"/>
      <c r="LRL23" s="57"/>
      <c r="LRM23" s="57"/>
      <c r="LRN23" s="57"/>
      <c r="LRO23" s="57"/>
      <c r="LRP23" s="57"/>
      <c r="LRQ23" s="57"/>
      <c r="LRR23" s="57"/>
      <c r="LRS23" s="57"/>
      <c r="LRT23" s="57"/>
      <c r="LRU23" s="57"/>
      <c r="LRV23" s="57"/>
      <c r="LRW23" s="57"/>
      <c r="LRX23" s="57"/>
      <c r="LRY23" s="57"/>
      <c r="LRZ23" s="57"/>
      <c r="LSA23" s="57"/>
      <c r="LSB23" s="57"/>
      <c r="LSC23" s="57"/>
      <c r="LSD23" s="57"/>
      <c r="LSE23" s="57"/>
      <c r="LSF23" s="57"/>
      <c r="LSG23" s="57"/>
      <c r="LSH23" s="57"/>
      <c r="LSI23" s="57"/>
      <c r="LSJ23" s="57"/>
      <c r="LSK23" s="57"/>
      <c r="LSL23" s="57"/>
      <c r="LSM23" s="57"/>
      <c r="LSN23" s="57"/>
      <c r="LSO23" s="57"/>
      <c r="LSP23" s="57"/>
      <c r="LSQ23" s="57"/>
      <c r="LSR23" s="57"/>
      <c r="LSS23" s="57"/>
      <c r="LST23" s="57"/>
      <c r="LSU23" s="57"/>
      <c r="LSV23" s="57"/>
      <c r="LSW23" s="57"/>
      <c r="LSX23" s="57"/>
      <c r="LSY23" s="57"/>
      <c r="LSZ23" s="57"/>
      <c r="LTA23" s="57"/>
      <c r="LTB23" s="57"/>
      <c r="LTC23" s="57"/>
      <c r="LTD23" s="57"/>
      <c r="LTE23" s="57"/>
      <c r="LTF23" s="57"/>
      <c r="LTG23" s="57"/>
      <c r="LTH23" s="57"/>
      <c r="LTI23" s="57"/>
      <c r="LTJ23" s="57"/>
      <c r="LTK23" s="57"/>
      <c r="LTL23" s="57"/>
      <c r="LTM23" s="57"/>
      <c r="LTN23" s="57"/>
      <c r="LTO23" s="57"/>
      <c r="LTP23" s="57"/>
      <c r="LTQ23" s="57"/>
      <c r="LTR23" s="57"/>
      <c r="LTS23" s="57"/>
      <c r="LTT23" s="57"/>
      <c r="LTU23" s="57"/>
      <c r="LTV23" s="57"/>
      <c r="LTW23" s="57"/>
      <c r="LTX23" s="57"/>
      <c r="LTY23" s="57"/>
      <c r="LTZ23" s="57"/>
      <c r="LUA23" s="57"/>
      <c r="LUB23" s="57"/>
      <c r="LUC23" s="57"/>
      <c r="LUD23" s="57"/>
      <c r="LUE23" s="57"/>
      <c r="LUF23" s="57"/>
      <c r="LUG23" s="57"/>
      <c r="LUH23" s="57"/>
      <c r="LUI23" s="57"/>
      <c r="LUJ23" s="57"/>
      <c r="LUK23" s="57"/>
      <c r="LUL23" s="57"/>
      <c r="LUM23" s="57"/>
      <c r="LUN23" s="57"/>
      <c r="LUO23" s="57"/>
      <c r="LUP23" s="57"/>
      <c r="LUQ23" s="57"/>
      <c r="LUR23" s="57"/>
      <c r="LUS23" s="57"/>
      <c r="LUT23" s="57"/>
      <c r="LUU23" s="57"/>
      <c r="LUV23" s="57"/>
      <c r="LUW23" s="57"/>
      <c r="LUX23" s="57"/>
      <c r="LUY23" s="57"/>
      <c r="LUZ23" s="57"/>
      <c r="LVA23" s="57"/>
      <c r="LVB23" s="57"/>
      <c r="LVC23" s="57"/>
      <c r="LVD23" s="57"/>
      <c r="LVE23" s="57"/>
      <c r="LVF23" s="57"/>
      <c r="LVG23" s="57"/>
      <c r="LVH23" s="57"/>
      <c r="LVI23" s="57"/>
      <c r="LVJ23" s="57"/>
      <c r="LVK23" s="57"/>
      <c r="LVL23" s="57"/>
      <c r="LVM23" s="57"/>
      <c r="LVN23" s="57"/>
      <c r="LVO23" s="57"/>
      <c r="LVP23" s="57"/>
      <c r="LVQ23" s="57"/>
      <c r="LVR23" s="57"/>
      <c r="LVS23" s="57"/>
      <c r="LVT23" s="57"/>
      <c r="LVU23" s="57"/>
      <c r="LVV23" s="57"/>
      <c r="LVW23" s="57"/>
      <c r="LVX23" s="57"/>
      <c r="LVY23" s="57"/>
      <c r="LVZ23" s="57"/>
      <c r="LWA23" s="57"/>
      <c r="LWB23" s="57"/>
      <c r="LWC23" s="57"/>
      <c r="LWD23" s="57"/>
      <c r="LWE23" s="57"/>
      <c r="LWF23" s="57"/>
      <c r="LWG23" s="57"/>
      <c r="LWH23" s="57"/>
      <c r="LWI23" s="57"/>
      <c r="LWJ23" s="57"/>
      <c r="LWK23" s="57"/>
      <c r="LWL23" s="57"/>
      <c r="LWM23" s="57"/>
      <c r="LWN23" s="57"/>
      <c r="LWO23" s="57"/>
      <c r="LWP23" s="57"/>
      <c r="LWQ23" s="57"/>
      <c r="LWR23" s="57"/>
      <c r="LWS23" s="57"/>
      <c r="LWT23" s="57"/>
      <c r="LWU23" s="57"/>
      <c r="LWV23" s="57"/>
      <c r="LWW23" s="57"/>
      <c r="LWX23" s="57"/>
      <c r="LWY23" s="57"/>
      <c r="LWZ23" s="57"/>
      <c r="LXA23" s="57"/>
      <c r="LXB23" s="57"/>
      <c r="LXC23" s="57"/>
      <c r="LXD23" s="57"/>
      <c r="LXE23" s="57"/>
      <c r="LXF23" s="57"/>
      <c r="LXG23" s="57"/>
      <c r="LXH23" s="57"/>
      <c r="LXI23" s="57"/>
      <c r="LXJ23" s="57"/>
      <c r="LXK23" s="57"/>
      <c r="LXL23" s="57"/>
      <c r="LXM23" s="57"/>
      <c r="LXN23" s="57"/>
      <c r="LXO23" s="57"/>
      <c r="LXP23" s="57"/>
      <c r="LXQ23" s="57"/>
      <c r="LXR23" s="57"/>
      <c r="LXS23" s="57"/>
      <c r="LXT23" s="57"/>
      <c r="LXU23" s="57"/>
      <c r="LXV23" s="57"/>
      <c r="LXW23" s="57"/>
      <c r="LXX23" s="57"/>
      <c r="LXY23" s="57"/>
      <c r="LXZ23" s="57"/>
      <c r="LYA23" s="57"/>
      <c r="LYB23" s="57"/>
      <c r="LYC23" s="57"/>
      <c r="LYD23" s="57"/>
      <c r="LYE23" s="57"/>
      <c r="LYF23" s="57"/>
      <c r="LYG23" s="57"/>
      <c r="LYH23" s="57"/>
      <c r="LYI23" s="57"/>
      <c r="LYJ23" s="57"/>
      <c r="LYK23" s="57"/>
      <c r="LYL23" s="57"/>
      <c r="LYM23" s="57"/>
      <c r="LYN23" s="57"/>
      <c r="LYO23" s="57"/>
      <c r="LYP23" s="57"/>
      <c r="LYQ23" s="57"/>
      <c r="LYR23" s="57"/>
      <c r="LYS23" s="57"/>
      <c r="LYT23" s="57"/>
      <c r="LYU23" s="57"/>
      <c r="LYV23" s="57"/>
      <c r="LYW23" s="57"/>
      <c r="LYX23" s="57"/>
      <c r="LYY23" s="57"/>
      <c r="LYZ23" s="57"/>
      <c r="LZA23" s="57"/>
      <c r="LZB23" s="57"/>
      <c r="LZC23" s="57"/>
      <c r="LZD23" s="57"/>
      <c r="LZE23" s="57"/>
      <c r="LZF23" s="57"/>
      <c r="LZG23" s="57"/>
      <c r="LZH23" s="57"/>
      <c r="LZI23" s="57"/>
      <c r="LZJ23" s="57"/>
      <c r="LZK23" s="57"/>
      <c r="LZL23" s="57"/>
      <c r="LZM23" s="57"/>
      <c r="LZN23" s="57"/>
      <c r="LZO23" s="57"/>
      <c r="LZP23" s="57"/>
      <c r="LZQ23" s="57"/>
      <c r="LZR23" s="57"/>
      <c r="LZS23" s="57"/>
      <c r="LZT23" s="57"/>
      <c r="LZU23" s="57"/>
      <c r="LZV23" s="57"/>
      <c r="LZW23" s="57"/>
      <c r="LZX23" s="57"/>
      <c r="LZY23" s="57"/>
      <c r="LZZ23" s="57"/>
      <c r="MAA23" s="57"/>
      <c r="MAB23" s="57"/>
      <c r="MAC23" s="57"/>
      <c r="MAD23" s="57"/>
      <c r="MAE23" s="57"/>
      <c r="MAF23" s="57"/>
      <c r="MAG23" s="57"/>
      <c r="MAH23" s="57"/>
      <c r="MAI23" s="57"/>
      <c r="MAJ23" s="57"/>
      <c r="MAK23" s="57"/>
      <c r="MAL23" s="57"/>
      <c r="MAM23" s="57"/>
      <c r="MAN23" s="57"/>
      <c r="MAO23" s="57"/>
      <c r="MAP23" s="57"/>
      <c r="MAQ23" s="57"/>
      <c r="MAR23" s="57"/>
      <c r="MAS23" s="57"/>
      <c r="MAT23" s="57"/>
      <c r="MAU23" s="57"/>
      <c r="MAV23" s="57"/>
      <c r="MAW23" s="57"/>
      <c r="MAX23" s="57"/>
      <c r="MAY23" s="57"/>
      <c r="MAZ23" s="57"/>
      <c r="MBA23" s="57"/>
      <c r="MBB23" s="57"/>
      <c r="MBC23" s="57"/>
      <c r="MBD23" s="57"/>
      <c r="MBE23" s="57"/>
      <c r="MBF23" s="57"/>
      <c r="MBG23" s="57"/>
      <c r="MBH23" s="57"/>
      <c r="MBI23" s="57"/>
      <c r="MBJ23" s="57"/>
      <c r="MBK23" s="57"/>
      <c r="MBL23" s="57"/>
      <c r="MBM23" s="57"/>
      <c r="MBN23" s="57"/>
      <c r="MBO23" s="57"/>
      <c r="MBP23" s="57"/>
      <c r="MBQ23" s="57"/>
      <c r="MBR23" s="57"/>
      <c r="MBS23" s="57"/>
      <c r="MBT23" s="57"/>
      <c r="MBU23" s="57"/>
      <c r="MBV23" s="57"/>
      <c r="MBW23" s="57"/>
      <c r="MBX23" s="57"/>
      <c r="MBY23" s="57"/>
      <c r="MBZ23" s="57"/>
      <c r="MCA23" s="57"/>
      <c r="MCB23" s="57"/>
      <c r="MCC23" s="57"/>
      <c r="MCD23" s="57"/>
      <c r="MCE23" s="57"/>
      <c r="MCF23" s="57"/>
      <c r="MCG23" s="57"/>
      <c r="MCH23" s="57"/>
      <c r="MCI23" s="57"/>
      <c r="MCJ23" s="57"/>
      <c r="MCK23" s="57"/>
      <c r="MCL23" s="57"/>
      <c r="MCM23" s="57"/>
      <c r="MCN23" s="57"/>
      <c r="MCO23" s="57"/>
      <c r="MCP23" s="57"/>
      <c r="MCQ23" s="57"/>
      <c r="MCR23" s="57"/>
      <c r="MCS23" s="57"/>
      <c r="MCT23" s="57"/>
      <c r="MCU23" s="57"/>
      <c r="MCV23" s="57"/>
      <c r="MCW23" s="57"/>
      <c r="MCX23" s="57"/>
      <c r="MCY23" s="57"/>
      <c r="MCZ23" s="57"/>
      <c r="MDA23" s="57"/>
      <c r="MDB23" s="57"/>
      <c r="MDC23" s="57"/>
      <c r="MDD23" s="57"/>
      <c r="MDE23" s="57"/>
      <c r="MDF23" s="57"/>
      <c r="MDG23" s="57"/>
      <c r="MDH23" s="57"/>
      <c r="MDI23" s="57"/>
      <c r="MDJ23" s="57"/>
      <c r="MDK23" s="57"/>
      <c r="MDL23" s="57"/>
      <c r="MDM23" s="57"/>
      <c r="MDN23" s="57"/>
      <c r="MDO23" s="57"/>
      <c r="MDP23" s="57"/>
      <c r="MDQ23" s="57"/>
      <c r="MDR23" s="57"/>
      <c r="MDS23" s="57"/>
      <c r="MDT23" s="57"/>
      <c r="MDU23" s="57"/>
      <c r="MDV23" s="57"/>
      <c r="MDW23" s="57"/>
      <c r="MDX23" s="57"/>
      <c r="MDY23" s="57"/>
      <c r="MDZ23" s="57"/>
      <c r="MEA23" s="57"/>
      <c r="MEB23" s="57"/>
      <c r="MEC23" s="57"/>
      <c r="MED23" s="57"/>
      <c r="MEE23" s="57"/>
      <c r="MEF23" s="57"/>
      <c r="MEG23" s="57"/>
      <c r="MEH23" s="57"/>
      <c r="MEI23" s="57"/>
      <c r="MEJ23" s="57"/>
      <c r="MEK23" s="57"/>
      <c r="MEL23" s="57"/>
      <c r="MEM23" s="57"/>
      <c r="MEN23" s="57"/>
      <c r="MEO23" s="57"/>
      <c r="MEP23" s="57"/>
      <c r="MEQ23" s="57"/>
      <c r="MER23" s="57"/>
      <c r="MES23" s="57"/>
      <c r="MET23" s="57"/>
      <c r="MEU23" s="57"/>
      <c r="MEV23" s="57"/>
      <c r="MEW23" s="57"/>
      <c r="MEX23" s="57"/>
      <c r="MEY23" s="57"/>
      <c r="MEZ23" s="57"/>
      <c r="MFA23" s="57"/>
      <c r="MFB23" s="57"/>
      <c r="MFC23" s="57"/>
      <c r="MFD23" s="57"/>
      <c r="MFE23" s="57"/>
      <c r="MFF23" s="57"/>
      <c r="MFG23" s="57"/>
      <c r="MFH23" s="57"/>
      <c r="MFI23" s="57"/>
      <c r="MFJ23" s="57"/>
      <c r="MFK23" s="57"/>
      <c r="MFL23" s="57"/>
      <c r="MFM23" s="57"/>
      <c r="MFN23" s="57"/>
      <c r="MFO23" s="57"/>
      <c r="MFP23" s="57"/>
      <c r="MFQ23" s="57"/>
      <c r="MFR23" s="57"/>
      <c r="MFS23" s="57"/>
      <c r="MFT23" s="57"/>
      <c r="MFU23" s="57"/>
      <c r="MFV23" s="57"/>
      <c r="MFW23" s="57"/>
      <c r="MFX23" s="57"/>
      <c r="MFY23" s="57"/>
      <c r="MFZ23" s="57"/>
      <c r="MGA23" s="57"/>
      <c r="MGB23" s="57"/>
      <c r="MGC23" s="57"/>
      <c r="MGD23" s="57"/>
      <c r="MGE23" s="57"/>
      <c r="MGF23" s="57"/>
      <c r="MGG23" s="57"/>
      <c r="MGH23" s="57"/>
      <c r="MGI23" s="57"/>
      <c r="MGJ23" s="57"/>
      <c r="MGK23" s="57"/>
      <c r="MGL23" s="57"/>
      <c r="MGM23" s="57"/>
      <c r="MGN23" s="57"/>
      <c r="MGO23" s="57"/>
      <c r="MGP23" s="57"/>
      <c r="MGQ23" s="57"/>
      <c r="MGR23" s="57"/>
      <c r="MGS23" s="57"/>
      <c r="MGT23" s="57"/>
      <c r="MGU23" s="57"/>
      <c r="MGV23" s="57"/>
      <c r="MGW23" s="57"/>
      <c r="MGX23" s="57"/>
      <c r="MGY23" s="57"/>
      <c r="MGZ23" s="57"/>
      <c r="MHA23" s="57"/>
      <c r="MHB23" s="57"/>
      <c r="MHC23" s="57"/>
      <c r="MHD23" s="57"/>
      <c r="MHE23" s="57"/>
      <c r="MHF23" s="57"/>
      <c r="MHG23" s="57"/>
      <c r="MHH23" s="57"/>
      <c r="MHI23" s="57"/>
      <c r="MHJ23" s="57"/>
      <c r="MHK23" s="57"/>
      <c r="MHL23" s="57"/>
      <c r="MHM23" s="57"/>
      <c r="MHN23" s="57"/>
      <c r="MHO23" s="57"/>
      <c r="MHP23" s="57"/>
      <c r="MHQ23" s="57"/>
      <c r="MHR23" s="57"/>
      <c r="MHS23" s="57"/>
      <c r="MHT23" s="57"/>
      <c r="MHU23" s="57"/>
      <c r="MHV23" s="57"/>
      <c r="MHW23" s="57"/>
      <c r="MHX23" s="57"/>
      <c r="MHY23" s="57"/>
      <c r="MHZ23" s="57"/>
      <c r="MIA23" s="57"/>
      <c r="MIB23" s="57"/>
      <c r="MIC23" s="57"/>
      <c r="MID23" s="57"/>
      <c r="MIE23" s="57"/>
      <c r="MIF23" s="57"/>
      <c r="MIG23" s="57"/>
      <c r="MIH23" s="57"/>
      <c r="MII23" s="57"/>
      <c r="MIJ23" s="57"/>
      <c r="MIK23" s="57"/>
      <c r="MIL23" s="57"/>
      <c r="MIM23" s="57"/>
      <c r="MIN23" s="57"/>
      <c r="MIO23" s="57"/>
      <c r="MIP23" s="57"/>
      <c r="MIQ23" s="57"/>
      <c r="MIR23" s="57"/>
      <c r="MIS23" s="57"/>
      <c r="MIT23" s="57"/>
      <c r="MIU23" s="57"/>
      <c r="MIV23" s="57"/>
      <c r="MIW23" s="57"/>
      <c r="MIX23" s="57"/>
      <c r="MIY23" s="57"/>
      <c r="MIZ23" s="57"/>
      <c r="MJA23" s="57"/>
      <c r="MJB23" s="57"/>
      <c r="MJC23" s="57"/>
      <c r="MJD23" s="57"/>
      <c r="MJE23" s="57"/>
      <c r="MJF23" s="57"/>
      <c r="MJG23" s="57"/>
      <c r="MJH23" s="57"/>
      <c r="MJI23" s="57"/>
      <c r="MJJ23" s="57"/>
      <c r="MJK23" s="57"/>
      <c r="MJL23" s="57"/>
      <c r="MJM23" s="57"/>
      <c r="MJN23" s="57"/>
      <c r="MJO23" s="57"/>
      <c r="MJP23" s="57"/>
      <c r="MJQ23" s="57"/>
      <c r="MJR23" s="57"/>
      <c r="MJS23" s="57"/>
      <c r="MJT23" s="57"/>
      <c r="MJU23" s="57"/>
      <c r="MJV23" s="57"/>
      <c r="MJW23" s="57"/>
      <c r="MJX23" s="57"/>
      <c r="MJY23" s="57"/>
      <c r="MJZ23" s="57"/>
      <c r="MKA23" s="57"/>
      <c r="MKB23" s="57"/>
      <c r="MKC23" s="57"/>
      <c r="MKD23" s="57"/>
      <c r="MKE23" s="57"/>
      <c r="MKF23" s="57"/>
      <c r="MKG23" s="57"/>
      <c r="MKH23" s="57"/>
      <c r="MKI23" s="57"/>
      <c r="MKJ23" s="57"/>
      <c r="MKK23" s="57"/>
      <c r="MKL23" s="57"/>
      <c r="MKM23" s="57"/>
      <c r="MKN23" s="57"/>
      <c r="MKO23" s="57"/>
      <c r="MKP23" s="57"/>
      <c r="MKQ23" s="57"/>
      <c r="MKR23" s="57"/>
      <c r="MKS23" s="57"/>
      <c r="MKT23" s="57"/>
      <c r="MKU23" s="57"/>
      <c r="MKV23" s="57"/>
      <c r="MKW23" s="57"/>
      <c r="MKX23" s="57"/>
      <c r="MKY23" s="57"/>
      <c r="MKZ23" s="57"/>
      <c r="MLA23" s="57"/>
      <c r="MLB23" s="57"/>
      <c r="MLC23" s="57"/>
      <c r="MLD23" s="57"/>
      <c r="MLE23" s="57"/>
      <c r="MLF23" s="57"/>
      <c r="MLG23" s="57"/>
      <c r="MLH23" s="57"/>
      <c r="MLI23" s="57"/>
      <c r="MLJ23" s="57"/>
      <c r="MLK23" s="57"/>
      <c r="MLL23" s="57"/>
      <c r="MLM23" s="57"/>
      <c r="MLN23" s="57"/>
      <c r="MLO23" s="57"/>
      <c r="MLP23" s="57"/>
      <c r="MLQ23" s="57"/>
      <c r="MLR23" s="57"/>
      <c r="MLS23" s="57"/>
      <c r="MLT23" s="57"/>
      <c r="MLU23" s="57"/>
      <c r="MLV23" s="57"/>
      <c r="MLW23" s="57"/>
      <c r="MLX23" s="57"/>
      <c r="MLY23" s="57"/>
      <c r="MLZ23" s="57"/>
      <c r="MMA23" s="57"/>
      <c r="MMB23" s="57"/>
      <c r="MMC23" s="57"/>
      <c r="MMD23" s="57"/>
      <c r="MME23" s="57"/>
      <c r="MMF23" s="57"/>
      <c r="MMG23" s="57"/>
      <c r="MMH23" s="57"/>
      <c r="MMI23" s="57"/>
      <c r="MMJ23" s="57"/>
      <c r="MMK23" s="57"/>
      <c r="MML23" s="57"/>
      <c r="MMM23" s="57"/>
      <c r="MMN23" s="57"/>
      <c r="MMO23" s="57"/>
      <c r="MMP23" s="57"/>
      <c r="MMQ23" s="57"/>
      <c r="MMR23" s="57"/>
      <c r="MMS23" s="57"/>
      <c r="MMT23" s="57"/>
      <c r="MMU23" s="57"/>
      <c r="MMV23" s="57"/>
      <c r="MMW23" s="57"/>
      <c r="MMX23" s="57"/>
      <c r="MMY23" s="57"/>
      <c r="MMZ23" s="57"/>
      <c r="MNA23" s="57"/>
      <c r="MNB23" s="57"/>
      <c r="MNC23" s="57"/>
      <c r="MND23" s="57"/>
      <c r="MNE23" s="57"/>
      <c r="MNF23" s="57"/>
      <c r="MNG23" s="57"/>
      <c r="MNH23" s="57"/>
      <c r="MNI23" s="57"/>
      <c r="MNJ23" s="57"/>
      <c r="MNK23" s="57"/>
      <c r="MNL23" s="57"/>
      <c r="MNM23" s="57"/>
      <c r="MNN23" s="57"/>
      <c r="MNO23" s="57"/>
      <c r="MNP23" s="57"/>
      <c r="MNQ23" s="57"/>
      <c r="MNR23" s="57"/>
      <c r="MNS23" s="57"/>
      <c r="MNT23" s="57"/>
      <c r="MNU23" s="57"/>
      <c r="MNV23" s="57"/>
      <c r="MNW23" s="57"/>
      <c r="MNX23" s="57"/>
      <c r="MNY23" s="57"/>
      <c r="MNZ23" s="57"/>
      <c r="MOA23" s="57"/>
      <c r="MOB23" s="57"/>
      <c r="MOC23" s="57"/>
      <c r="MOD23" s="57"/>
      <c r="MOE23" s="57"/>
      <c r="MOF23" s="57"/>
      <c r="MOG23" s="57"/>
      <c r="MOH23" s="57"/>
      <c r="MOI23" s="57"/>
      <c r="MOJ23" s="57"/>
      <c r="MOK23" s="57"/>
      <c r="MOL23" s="57"/>
      <c r="MOM23" s="57"/>
      <c r="MON23" s="57"/>
      <c r="MOO23" s="57"/>
      <c r="MOP23" s="57"/>
      <c r="MOQ23" s="57"/>
      <c r="MOR23" s="57"/>
      <c r="MOS23" s="57"/>
      <c r="MOT23" s="57"/>
      <c r="MOU23" s="57"/>
      <c r="MOV23" s="57"/>
      <c r="MOW23" s="57"/>
      <c r="MOX23" s="57"/>
      <c r="MOY23" s="57"/>
      <c r="MOZ23" s="57"/>
      <c r="MPA23" s="57"/>
      <c r="MPB23" s="57"/>
      <c r="MPC23" s="57"/>
      <c r="MPD23" s="57"/>
      <c r="MPE23" s="57"/>
      <c r="MPF23" s="57"/>
      <c r="MPG23" s="57"/>
      <c r="MPH23" s="57"/>
      <c r="MPI23" s="57"/>
      <c r="MPJ23" s="57"/>
      <c r="MPK23" s="57"/>
      <c r="MPL23" s="57"/>
      <c r="MPM23" s="57"/>
      <c r="MPN23" s="57"/>
      <c r="MPO23" s="57"/>
      <c r="MPP23" s="57"/>
      <c r="MPQ23" s="57"/>
      <c r="MPR23" s="57"/>
      <c r="MPS23" s="57"/>
      <c r="MPT23" s="57"/>
      <c r="MPU23" s="57"/>
      <c r="MPV23" s="57"/>
      <c r="MPW23" s="57"/>
      <c r="MPX23" s="57"/>
      <c r="MPY23" s="57"/>
      <c r="MPZ23" s="57"/>
      <c r="MQA23" s="57"/>
      <c r="MQB23" s="57"/>
      <c r="MQC23" s="57"/>
      <c r="MQD23" s="57"/>
      <c r="MQE23" s="57"/>
      <c r="MQF23" s="57"/>
      <c r="MQG23" s="57"/>
      <c r="MQH23" s="57"/>
      <c r="MQI23" s="57"/>
      <c r="MQJ23" s="57"/>
      <c r="MQK23" s="57"/>
      <c r="MQL23" s="57"/>
      <c r="MQM23" s="57"/>
      <c r="MQN23" s="57"/>
      <c r="MQO23" s="57"/>
      <c r="MQP23" s="57"/>
      <c r="MQQ23" s="57"/>
      <c r="MQR23" s="57"/>
      <c r="MQS23" s="57"/>
      <c r="MQT23" s="57"/>
      <c r="MQU23" s="57"/>
      <c r="MQV23" s="57"/>
      <c r="MQW23" s="57"/>
      <c r="MQX23" s="57"/>
      <c r="MQY23" s="57"/>
      <c r="MQZ23" s="57"/>
      <c r="MRA23" s="57"/>
      <c r="MRB23" s="57"/>
      <c r="MRC23" s="57"/>
      <c r="MRD23" s="57"/>
      <c r="MRE23" s="57"/>
      <c r="MRF23" s="57"/>
      <c r="MRG23" s="57"/>
      <c r="MRH23" s="57"/>
      <c r="MRI23" s="57"/>
      <c r="MRJ23" s="57"/>
      <c r="MRK23" s="57"/>
      <c r="MRL23" s="57"/>
      <c r="MRM23" s="57"/>
      <c r="MRN23" s="57"/>
      <c r="MRO23" s="57"/>
      <c r="MRP23" s="57"/>
      <c r="MRQ23" s="57"/>
      <c r="MRR23" s="57"/>
      <c r="MRS23" s="57"/>
      <c r="MRT23" s="57"/>
      <c r="MRU23" s="57"/>
      <c r="MRV23" s="57"/>
      <c r="MRW23" s="57"/>
      <c r="MRX23" s="57"/>
      <c r="MRY23" s="57"/>
      <c r="MRZ23" s="57"/>
      <c r="MSA23" s="57"/>
      <c r="MSB23" s="57"/>
      <c r="MSC23" s="57"/>
      <c r="MSD23" s="57"/>
      <c r="MSE23" s="57"/>
      <c r="MSF23" s="57"/>
      <c r="MSG23" s="57"/>
      <c r="MSH23" s="57"/>
      <c r="MSI23" s="57"/>
      <c r="MSJ23" s="57"/>
      <c r="MSK23" s="57"/>
      <c r="MSL23" s="57"/>
      <c r="MSM23" s="57"/>
      <c r="MSN23" s="57"/>
      <c r="MSO23" s="57"/>
      <c r="MSP23" s="57"/>
      <c r="MSQ23" s="57"/>
      <c r="MSR23" s="57"/>
      <c r="MSS23" s="57"/>
      <c r="MST23" s="57"/>
      <c r="MSU23" s="57"/>
      <c r="MSV23" s="57"/>
      <c r="MSW23" s="57"/>
      <c r="MSX23" s="57"/>
      <c r="MSY23" s="57"/>
      <c r="MSZ23" s="57"/>
      <c r="MTA23" s="57"/>
      <c r="MTB23" s="57"/>
      <c r="MTC23" s="57"/>
      <c r="MTD23" s="57"/>
      <c r="MTE23" s="57"/>
      <c r="MTF23" s="57"/>
      <c r="MTG23" s="57"/>
      <c r="MTH23" s="57"/>
      <c r="MTI23" s="57"/>
      <c r="MTJ23" s="57"/>
      <c r="MTK23" s="57"/>
      <c r="MTL23" s="57"/>
      <c r="MTM23" s="57"/>
      <c r="MTN23" s="57"/>
      <c r="MTO23" s="57"/>
      <c r="MTP23" s="57"/>
      <c r="MTQ23" s="57"/>
      <c r="MTR23" s="57"/>
      <c r="MTS23" s="57"/>
      <c r="MTT23" s="57"/>
      <c r="MTU23" s="57"/>
      <c r="MTV23" s="57"/>
      <c r="MTW23" s="57"/>
      <c r="MTX23" s="57"/>
      <c r="MTY23" s="57"/>
      <c r="MTZ23" s="57"/>
      <c r="MUA23" s="57"/>
      <c r="MUB23" s="57"/>
      <c r="MUC23" s="57"/>
      <c r="MUD23" s="57"/>
      <c r="MUE23" s="57"/>
      <c r="MUF23" s="57"/>
      <c r="MUG23" s="57"/>
      <c r="MUH23" s="57"/>
      <c r="MUI23" s="57"/>
      <c r="MUJ23" s="57"/>
      <c r="MUK23" s="57"/>
      <c r="MUL23" s="57"/>
      <c r="MUM23" s="57"/>
      <c r="MUN23" s="57"/>
      <c r="MUO23" s="57"/>
      <c r="MUP23" s="57"/>
      <c r="MUQ23" s="57"/>
      <c r="MUR23" s="57"/>
      <c r="MUS23" s="57"/>
      <c r="MUT23" s="57"/>
      <c r="MUU23" s="57"/>
      <c r="MUV23" s="57"/>
      <c r="MUW23" s="57"/>
      <c r="MUX23" s="57"/>
      <c r="MUY23" s="57"/>
      <c r="MUZ23" s="57"/>
      <c r="MVA23" s="57"/>
      <c r="MVB23" s="57"/>
      <c r="MVC23" s="57"/>
      <c r="MVD23" s="57"/>
      <c r="MVE23" s="57"/>
      <c r="MVF23" s="57"/>
      <c r="MVG23" s="57"/>
      <c r="MVH23" s="57"/>
      <c r="MVI23" s="57"/>
      <c r="MVJ23" s="57"/>
      <c r="MVK23" s="57"/>
      <c r="MVL23" s="57"/>
      <c r="MVM23" s="57"/>
      <c r="MVN23" s="57"/>
      <c r="MVO23" s="57"/>
      <c r="MVP23" s="57"/>
      <c r="MVQ23" s="57"/>
      <c r="MVR23" s="57"/>
      <c r="MVS23" s="57"/>
      <c r="MVT23" s="57"/>
      <c r="MVU23" s="57"/>
      <c r="MVV23" s="57"/>
      <c r="MVW23" s="57"/>
      <c r="MVX23" s="57"/>
      <c r="MVY23" s="57"/>
      <c r="MVZ23" s="57"/>
      <c r="MWA23" s="57"/>
      <c r="MWB23" s="57"/>
      <c r="MWC23" s="57"/>
      <c r="MWD23" s="57"/>
      <c r="MWE23" s="57"/>
      <c r="MWF23" s="57"/>
      <c r="MWG23" s="57"/>
      <c r="MWH23" s="57"/>
      <c r="MWI23" s="57"/>
      <c r="MWJ23" s="57"/>
      <c r="MWK23" s="57"/>
      <c r="MWL23" s="57"/>
      <c r="MWM23" s="57"/>
      <c r="MWN23" s="57"/>
      <c r="MWO23" s="57"/>
      <c r="MWP23" s="57"/>
      <c r="MWQ23" s="57"/>
      <c r="MWR23" s="57"/>
      <c r="MWS23" s="57"/>
      <c r="MWT23" s="57"/>
      <c r="MWU23" s="57"/>
      <c r="MWV23" s="57"/>
      <c r="MWW23" s="57"/>
      <c r="MWX23" s="57"/>
      <c r="MWY23" s="57"/>
      <c r="MWZ23" s="57"/>
      <c r="MXA23" s="57"/>
      <c r="MXB23" s="57"/>
      <c r="MXC23" s="57"/>
      <c r="MXD23" s="57"/>
      <c r="MXE23" s="57"/>
      <c r="MXF23" s="57"/>
      <c r="MXG23" s="57"/>
      <c r="MXH23" s="57"/>
      <c r="MXI23" s="57"/>
      <c r="MXJ23" s="57"/>
      <c r="MXK23" s="57"/>
      <c r="MXL23" s="57"/>
      <c r="MXM23" s="57"/>
      <c r="MXN23" s="57"/>
      <c r="MXO23" s="57"/>
      <c r="MXP23" s="57"/>
      <c r="MXQ23" s="57"/>
      <c r="MXR23" s="57"/>
      <c r="MXS23" s="57"/>
      <c r="MXT23" s="57"/>
      <c r="MXU23" s="57"/>
      <c r="MXV23" s="57"/>
      <c r="MXW23" s="57"/>
      <c r="MXX23" s="57"/>
      <c r="MXY23" s="57"/>
      <c r="MXZ23" s="57"/>
      <c r="MYA23" s="57"/>
      <c r="MYB23" s="57"/>
      <c r="MYC23" s="57"/>
      <c r="MYD23" s="57"/>
      <c r="MYE23" s="57"/>
      <c r="MYF23" s="57"/>
      <c r="MYG23" s="57"/>
      <c r="MYH23" s="57"/>
      <c r="MYI23" s="57"/>
      <c r="MYJ23" s="57"/>
      <c r="MYK23" s="57"/>
      <c r="MYL23" s="57"/>
      <c r="MYM23" s="57"/>
      <c r="MYN23" s="57"/>
      <c r="MYO23" s="57"/>
      <c r="MYP23" s="57"/>
      <c r="MYQ23" s="57"/>
      <c r="MYR23" s="57"/>
      <c r="MYS23" s="57"/>
      <c r="MYT23" s="57"/>
      <c r="MYU23" s="57"/>
      <c r="MYV23" s="57"/>
      <c r="MYW23" s="57"/>
      <c r="MYX23" s="57"/>
      <c r="MYY23" s="57"/>
      <c r="MYZ23" s="57"/>
      <c r="MZA23" s="57"/>
      <c r="MZB23" s="57"/>
      <c r="MZC23" s="57"/>
      <c r="MZD23" s="57"/>
      <c r="MZE23" s="57"/>
      <c r="MZF23" s="57"/>
      <c r="MZG23" s="57"/>
      <c r="MZH23" s="57"/>
      <c r="MZI23" s="57"/>
      <c r="MZJ23" s="57"/>
      <c r="MZK23" s="57"/>
      <c r="MZL23" s="57"/>
      <c r="MZM23" s="57"/>
      <c r="MZN23" s="57"/>
      <c r="MZO23" s="57"/>
      <c r="MZP23" s="57"/>
      <c r="MZQ23" s="57"/>
      <c r="MZR23" s="57"/>
      <c r="MZS23" s="57"/>
      <c r="MZT23" s="57"/>
      <c r="MZU23" s="57"/>
      <c r="MZV23" s="57"/>
      <c r="MZW23" s="57"/>
      <c r="MZX23" s="57"/>
      <c r="MZY23" s="57"/>
      <c r="MZZ23" s="57"/>
      <c r="NAA23" s="57"/>
      <c r="NAB23" s="57"/>
      <c r="NAC23" s="57"/>
      <c r="NAD23" s="57"/>
      <c r="NAE23" s="57"/>
      <c r="NAF23" s="57"/>
      <c r="NAG23" s="57"/>
      <c r="NAH23" s="57"/>
      <c r="NAI23" s="57"/>
      <c r="NAJ23" s="57"/>
      <c r="NAK23" s="57"/>
      <c r="NAL23" s="57"/>
      <c r="NAM23" s="57"/>
      <c r="NAN23" s="57"/>
      <c r="NAO23" s="57"/>
      <c r="NAP23" s="57"/>
      <c r="NAQ23" s="57"/>
      <c r="NAR23" s="57"/>
      <c r="NAS23" s="57"/>
      <c r="NAT23" s="57"/>
      <c r="NAU23" s="57"/>
      <c r="NAV23" s="57"/>
      <c r="NAW23" s="57"/>
      <c r="NAX23" s="57"/>
      <c r="NAY23" s="57"/>
      <c r="NAZ23" s="57"/>
      <c r="NBA23" s="57"/>
      <c r="NBB23" s="57"/>
      <c r="NBC23" s="57"/>
      <c r="NBD23" s="57"/>
      <c r="NBE23" s="57"/>
      <c r="NBF23" s="57"/>
      <c r="NBG23" s="57"/>
      <c r="NBH23" s="57"/>
      <c r="NBI23" s="57"/>
      <c r="NBJ23" s="57"/>
      <c r="NBK23" s="57"/>
      <c r="NBL23" s="57"/>
      <c r="NBM23" s="57"/>
      <c r="NBN23" s="57"/>
      <c r="NBO23" s="57"/>
      <c r="NBP23" s="57"/>
      <c r="NBQ23" s="57"/>
      <c r="NBR23" s="57"/>
      <c r="NBS23" s="57"/>
      <c r="NBT23" s="57"/>
      <c r="NBU23" s="57"/>
      <c r="NBV23" s="57"/>
      <c r="NBW23" s="57"/>
      <c r="NBX23" s="57"/>
      <c r="NBY23" s="57"/>
      <c r="NBZ23" s="57"/>
      <c r="NCA23" s="57"/>
      <c r="NCB23" s="57"/>
      <c r="NCC23" s="57"/>
      <c r="NCD23" s="57"/>
      <c r="NCE23" s="57"/>
      <c r="NCF23" s="57"/>
      <c r="NCG23" s="57"/>
      <c r="NCH23" s="57"/>
      <c r="NCI23" s="57"/>
      <c r="NCJ23" s="57"/>
      <c r="NCK23" s="57"/>
      <c r="NCL23" s="57"/>
      <c r="NCM23" s="57"/>
      <c r="NCN23" s="57"/>
      <c r="NCO23" s="57"/>
      <c r="NCP23" s="57"/>
      <c r="NCQ23" s="57"/>
      <c r="NCR23" s="57"/>
      <c r="NCS23" s="57"/>
      <c r="NCT23" s="57"/>
      <c r="NCU23" s="57"/>
      <c r="NCV23" s="57"/>
      <c r="NCW23" s="57"/>
      <c r="NCX23" s="57"/>
      <c r="NCY23" s="57"/>
      <c r="NCZ23" s="57"/>
      <c r="NDA23" s="57"/>
      <c r="NDB23" s="57"/>
      <c r="NDC23" s="57"/>
      <c r="NDD23" s="57"/>
      <c r="NDE23" s="57"/>
      <c r="NDF23" s="57"/>
      <c r="NDG23" s="57"/>
      <c r="NDH23" s="57"/>
      <c r="NDI23" s="57"/>
      <c r="NDJ23" s="57"/>
      <c r="NDK23" s="57"/>
      <c r="NDL23" s="57"/>
      <c r="NDM23" s="57"/>
      <c r="NDN23" s="57"/>
      <c r="NDO23" s="57"/>
      <c r="NDP23" s="57"/>
      <c r="NDQ23" s="57"/>
      <c r="NDR23" s="57"/>
      <c r="NDS23" s="57"/>
      <c r="NDT23" s="57"/>
      <c r="NDU23" s="57"/>
      <c r="NDV23" s="57"/>
      <c r="NDW23" s="57"/>
      <c r="NDX23" s="57"/>
      <c r="NDY23" s="57"/>
      <c r="NDZ23" s="57"/>
      <c r="NEA23" s="57"/>
      <c r="NEB23" s="57"/>
      <c r="NEC23" s="57"/>
      <c r="NED23" s="57"/>
      <c r="NEE23" s="57"/>
      <c r="NEF23" s="57"/>
      <c r="NEG23" s="57"/>
      <c r="NEH23" s="57"/>
      <c r="NEI23" s="57"/>
      <c r="NEJ23" s="57"/>
      <c r="NEK23" s="57"/>
      <c r="NEL23" s="57"/>
      <c r="NEM23" s="57"/>
      <c r="NEN23" s="57"/>
      <c r="NEO23" s="57"/>
      <c r="NEP23" s="57"/>
      <c r="NEQ23" s="57"/>
      <c r="NER23" s="57"/>
      <c r="NES23" s="57"/>
      <c r="NET23" s="57"/>
      <c r="NEU23" s="57"/>
      <c r="NEV23" s="57"/>
      <c r="NEW23" s="57"/>
      <c r="NEX23" s="57"/>
      <c r="NEY23" s="57"/>
      <c r="NEZ23" s="57"/>
      <c r="NFA23" s="57"/>
      <c r="NFB23" s="57"/>
      <c r="NFC23" s="57"/>
      <c r="NFD23" s="57"/>
      <c r="NFE23" s="57"/>
      <c r="NFF23" s="57"/>
      <c r="NFG23" s="57"/>
      <c r="NFH23" s="57"/>
      <c r="NFI23" s="57"/>
      <c r="NFJ23" s="57"/>
      <c r="NFK23" s="57"/>
      <c r="NFL23" s="57"/>
      <c r="NFM23" s="57"/>
      <c r="NFN23" s="57"/>
      <c r="NFO23" s="57"/>
      <c r="NFP23" s="57"/>
      <c r="NFQ23" s="57"/>
      <c r="NFR23" s="57"/>
      <c r="NFS23" s="57"/>
      <c r="NFT23" s="57"/>
      <c r="NFU23" s="57"/>
      <c r="NFV23" s="57"/>
      <c r="NFW23" s="57"/>
      <c r="NFX23" s="57"/>
      <c r="NFY23" s="57"/>
      <c r="NFZ23" s="57"/>
      <c r="NGA23" s="57"/>
      <c r="NGB23" s="57"/>
      <c r="NGC23" s="57"/>
      <c r="NGD23" s="57"/>
      <c r="NGE23" s="57"/>
      <c r="NGF23" s="57"/>
      <c r="NGG23" s="57"/>
      <c r="NGH23" s="57"/>
      <c r="NGI23" s="57"/>
      <c r="NGJ23" s="57"/>
      <c r="NGK23" s="57"/>
      <c r="NGL23" s="57"/>
      <c r="NGM23" s="57"/>
      <c r="NGN23" s="57"/>
      <c r="NGO23" s="57"/>
      <c r="NGP23" s="57"/>
      <c r="NGQ23" s="57"/>
      <c r="NGR23" s="57"/>
      <c r="NGS23" s="57"/>
      <c r="NGT23" s="57"/>
      <c r="NGU23" s="57"/>
      <c r="NGV23" s="57"/>
      <c r="NGW23" s="57"/>
      <c r="NGX23" s="57"/>
      <c r="NGY23" s="57"/>
      <c r="NGZ23" s="57"/>
      <c r="NHA23" s="57"/>
      <c r="NHB23" s="57"/>
      <c r="NHC23" s="57"/>
      <c r="NHD23" s="57"/>
      <c r="NHE23" s="57"/>
      <c r="NHF23" s="57"/>
      <c r="NHG23" s="57"/>
      <c r="NHH23" s="57"/>
      <c r="NHI23" s="57"/>
      <c r="NHJ23" s="57"/>
      <c r="NHK23" s="57"/>
      <c r="NHL23" s="57"/>
      <c r="NHM23" s="57"/>
      <c r="NHN23" s="57"/>
      <c r="NHO23" s="57"/>
      <c r="NHP23" s="57"/>
      <c r="NHQ23" s="57"/>
      <c r="NHR23" s="57"/>
      <c r="NHS23" s="57"/>
      <c r="NHT23" s="57"/>
      <c r="NHU23" s="57"/>
      <c r="NHV23" s="57"/>
      <c r="NHW23" s="57"/>
      <c r="NHX23" s="57"/>
      <c r="NHY23" s="57"/>
      <c r="NHZ23" s="57"/>
      <c r="NIA23" s="57"/>
      <c r="NIB23" s="57"/>
      <c r="NIC23" s="57"/>
      <c r="NID23" s="57"/>
      <c r="NIE23" s="57"/>
      <c r="NIF23" s="57"/>
      <c r="NIG23" s="57"/>
      <c r="NIH23" s="57"/>
      <c r="NII23" s="57"/>
      <c r="NIJ23" s="57"/>
      <c r="NIK23" s="57"/>
      <c r="NIL23" s="57"/>
      <c r="NIM23" s="57"/>
      <c r="NIN23" s="57"/>
      <c r="NIO23" s="57"/>
      <c r="NIP23" s="57"/>
      <c r="NIQ23" s="57"/>
      <c r="NIR23" s="57"/>
      <c r="NIS23" s="57"/>
      <c r="NIT23" s="57"/>
      <c r="NIU23" s="57"/>
      <c r="NIV23" s="57"/>
      <c r="NIW23" s="57"/>
      <c r="NIX23" s="57"/>
      <c r="NIY23" s="57"/>
      <c r="NIZ23" s="57"/>
      <c r="NJA23" s="57"/>
      <c r="NJB23" s="57"/>
      <c r="NJC23" s="57"/>
      <c r="NJD23" s="57"/>
      <c r="NJE23" s="57"/>
      <c r="NJF23" s="57"/>
      <c r="NJG23" s="57"/>
      <c r="NJH23" s="57"/>
      <c r="NJI23" s="57"/>
      <c r="NJJ23" s="57"/>
      <c r="NJK23" s="57"/>
      <c r="NJL23" s="57"/>
      <c r="NJM23" s="57"/>
      <c r="NJN23" s="57"/>
      <c r="NJO23" s="57"/>
      <c r="NJP23" s="57"/>
      <c r="NJQ23" s="57"/>
      <c r="NJR23" s="57"/>
      <c r="NJS23" s="57"/>
      <c r="NJT23" s="57"/>
      <c r="NJU23" s="57"/>
      <c r="NJV23" s="57"/>
      <c r="NJW23" s="57"/>
      <c r="NJX23" s="57"/>
      <c r="NJY23" s="57"/>
      <c r="NJZ23" s="57"/>
      <c r="NKA23" s="57"/>
      <c r="NKB23" s="57"/>
      <c r="NKC23" s="57"/>
      <c r="NKD23" s="57"/>
      <c r="NKE23" s="57"/>
      <c r="NKF23" s="57"/>
      <c r="NKG23" s="57"/>
      <c r="NKH23" s="57"/>
      <c r="NKI23" s="57"/>
      <c r="NKJ23" s="57"/>
      <c r="NKK23" s="57"/>
      <c r="NKL23" s="57"/>
      <c r="NKM23" s="57"/>
      <c r="NKN23" s="57"/>
      <c r="NKO23" s="57"/>
      <c r="NKP23" s="57"/>
      <c r="NKQ23" s="57"/>
      <c r="NKR23" s="57"/>
      <c r="NKS23" s="57"/>
      <c r="NKT23" s="57"/>
      <c r="NKU23" s="57"/>
      <c r="NKV23" s="57"/>
      <c r="NKW23" s="57"/>
      <c r="NKX23" s="57"/>
      <c r="NKY23" s="57"/>
      <c r="NKZ23" s="57"/>
      <c r="NLA23" s="57"/>
      <c r="NLB23" s="57"/>
      <c r="NLC23" s="57"/>
      <c r="NLD23" s="57"/>
      <c r="NLE23" s="57"/>
      <c r="NLF23" s="57"/>
      <c r="NLG23" s="57"/>
      <c r="NLH23" s="57"/>
      <c r="NLI23" s="57"/>
      <c r="NLJ23" s="57"/>
      <c r="NLK23" s="57"/>
      <c r="NLL23" s="57"/>
      <c r="NLM23" s="57"/>
      <c r="NLN23" s="57"/>
      <c r="NLO23" s="57"/>
      <c r="NLP23" s="57"/>
      <c r="NLQ23" s="57"/>
      <c r="NLR23" s="57"/>
      <c r="NLS23" s="57"/>
      <c r="NLT23" s="57"/>
      <c r="NLU23" s="57"/>
      <c r="NLV23" s="57"/>
      <c r="NLW23" s="57"/>
      <c r="NLX23" s="57"/>
      <c r="NLY23" s="57"/>
      <c r="NLZ23" s="57"/>
      <c r="NMA23" s="57"/>
      <c r="NMB23" s="57"/>
      <c r="NMC23" s="57"/>
      <c r="NMD23" s="57"/>
      <c r="NME23" s="57"/>
      <c r="NMF23" s="57"/>
      <c r="NMG23" s="57"/>
      <c r="NMH23" s="57"/>
      <c r="NMI23" s="57"/>
      <c r="NMJ23" s="57"/>
      <c r="NMK23" s="57"/>
      <c r="NML23" s="57"/>
      <c r="NMM23" s="57"/>
      <c r="NMN23" s="57"/>
      <c r="NMO23" s="57"/>
      <c r="NMP23" s="57"/>
      <c r="NMQ23" s="57"/>
      <c r="NMR23" s="57"/>
      <c r="NMS23" s="57"/>
      <c r="NMT23" s="57"/>
      <c r="NMU23" s="57"/>
      <c r="NMV23" s="57"/>
      <c r="NMW23" s="57"/>
      <c r="NMX23" s="57"/>
      <c r="NMY23" s="57"/>
      <c r="NMZ23" s="57"/>
      <c r="NNA23" s="57"/>
      <c r="NNB23" s="57"/>
      <c r="NNC23" s="57"/>
      <c r="NND23" s="57"/>
      <c r="NNE23" s="57"/>
      <c r="NNF23" s="57"/>
      <c r="NNG23" s="57"/>
      <c r="NNH23" s="57"/>
      <c r="NNI23" s="57"/>
      <c r="NNJ23" s="57"/>
      <c r="NNK23" s="57"/>
      <c r="NNL23" s="57"/>
      <c r="NNM23" s="57"/>
      <c r="NNN23" s="57"/>
      <c r="NNO23" s="57"/>
      <c r="NNP23" s="57"/>
      <c r="NNQ23" s="57"/>
      <c r="NNR23" s="57"/>
      <c r="NNS23" s="57"/>
      <c r="NNT23" s="57"/>
      <c r="NNU23" s="57"/>
      <c r="NNV23" s="57"/>
      <c r="NNW23" s="57"/>
      <c r="NNX23" s="57"/>
      <c r="NNY23" s="57"/>
      <c r="NNZ23" s="57"/>
      <c r="NOA23" s="57"/>
      <c r="NOB23" s="57"/>
      <c r="NOC23" s="57"/>
      <c r="NOD23" s="57"/>
      <c r="NOE23" s="57"/>
      <c r="NOF23" s="57"/>
      <c r="NOG23" s="57"/>
      <c r="NOH23" s="57"/>
      <c r="NOI23" s="57"/>
      <c r="NOJ23" s="57"/>
      <c r="NOK23" s="57"/>
      <c r="NOL23" s="57"/>
      <c r="NOM23" s="57"/>
      <c r="NON23" s="57"/>
      <c r="NOO23" s="57"/>
      <c r="NOP23" s="57"/>
      <c r="NOQ23" s="57"/>
      <c r="NOR23" s="57"/>
      <c r="NOS23" s="57"/>
      <c r="NOT23" s="57"/>
      <c r="NOU23" s="57"/>
      <c r="NOV23" s="57"/>
      <c r="NOW23" s="57"/>
      <c r="NOX23" s="57"/>
      <c r="NOY23" s="57"/>
      <c r="NOZ23" s="57"/>
      <c r="NPA23" s="57"/>
      <c r="NPB23" s="57"/>
      <c r="NPC23" s="57"/>
      <c r="NPD23" s="57"/>
      <c r="NPE23" s="57"/>
      <c r="NPF23" s="57"/>
      <c r="NPG23" s="57"/>
      <c r="NPH23" s="57"/>
      <c r="NPI23" s="57"/>
      <c r="NPJ23" s="57"/>
      <c r="NPK23" s="57"/>
      <c r="NPL23" s="57"/>
      <c r="NPM23" s="57"/>
      <c r="NPN23" s="57"/>
      <c r="NPO23" s="57"/>
      <c r="NPP23" s="57"/>
      <c r="NPQ23" s="57"/>
      <c r="NPR23" s="57"/>
      <c r="NPS23" s="57"/>
      <c r="NPT23" s="57"/>
      <c r="NPU23" s="57"/>
      <c r="NPV23" s="57"/>
      <c r="NPW23" s="57"/>
      <c r="NPX23" s="57"/>
      <c r="NPY23" s="57"/>
      <c r="NPZ23" s="57"/>
      <c r="NQA23" s="57"/>
      <c r="NQB23" s="57"/>
      <c r="NQC23" s="57"/>
      <c r="NQD23" s="57"/>
      <c r="NQE23" s="57"/>
      <c r="NQF23" s="57"/>
      <c r="NQG23" s="57"/>
      <c r="NQH23" s="57"/>
      <c r="NQI23" s="57"/>
      <c r="NQJ23" s="57"/>
      <c r="NQK23" s="57"/>
      <c r="NQL23" s="57"/>
      <c r="NQM23" s="57"/>
      <c r="NQN23" s="57"/>
      <c r="NQO23" s="57"/>
      <c r="NQP23" s="57"/>
      <c r="NQQ23" s="57"/>
      <c r="NQR23" s="57"/>
      <c r="NQS23" s="57"/>
      <c r="NQT23" s="57"/>
      <c r="NQU23" s="57"/>
      <c r="NQV23" s="57"/>
      <c r="NQW23" s="57"/>
      <c r="NQX23" s="57"/>
      <c r="NQY23" s="57"/>
      <c r="NQZ23" s="57"/>
      <c r="NRA23" s="57"/>
      <c r="NRB23" s="57"/>
      <c r="NRC23" s="57"/>
      <c r="NRD23" s="57"/>
      <c r="NRE23" s="57"/>
      <c r="NRF23" s="57"/>
      <c r="NRG23" s="57"/>
      <c r="NRH23" s="57"/>
      <c r="NRI23" s="57"/>
      <c r="NRJ23" s="57"/>
      <c r="NRK23" s="57"/>
      <c r="NRL23" s="57"/>
      <c r="NRM23" s="57"/>
      <c r="NRN23" s="57"/>
      <c r="NRO23" s="57"/>
      <c r="NRP23" s="57"/>
      <c r="NRQ23" s="57"/>
      <c r="NRR23" s="57"/>
      <c r="NRS23" s="57"/>
      <c r="NRT23" s="57"/>
      <c r="NRU23" s="57"/>
      <c r="NRV23" s="57"/>
      <c r="NRW23" s="57"/>
      <c r="NRX23" s="57"/>
      <c r="NRY23" s="57"/>
      <c r="NRZ23" s="57"/>
      <c r="NSA23" s="57"/>
      <c r="NSB23" s="57"/>
      <c r="NSC23" s="57"/>
      <c r="NSD23" s="57"/>
      <c r="NSE23" s="57"/>
      <c r="NSF23" s="57"/>
      <c r="NSG23" s="57"/>
      <c r="NSH23" s="57"/>
      <c r="NSI23" s="57"/>
      <c r="NSJ23" s="57"/>
      <c r="NSK23" s="57"/>
      <c r="NSL23" s="57"/>
      <c r="NSM23" s="57"/>
      <c r="NSN23" s="57"/>
      <c r="NSO23" s="57"/>
      <c r="NSP23" s="57"/>
      <c r="NSQ23" s="57"/>
      <c r="NSR23" s="57"/>
      <c r="NSS23" s="57"/>
      <c r="NST23" s="57"/>
      <c r="NSU23" s="57"/>
      <c r="NSV23" s="57"/>
      <c r="NSW23" s="57"/>
      <c r="NSX23" s="57"/>
      <c r="NSY23" s="57"/>
      <c r="NSZ23" s="57"/>
      <c r="NTA23" s="57"/>
      <c r="NTB23" s="57"/>
      <c r="NTC23" s="57"/>
      <c r="NTD23" s="57"/>
      <c r="NTE23" s="57"/>
      <c r="NTF23" s="57"/>
      <c r="NTG23" s="57"/>
      <c r="NTH23" s="57"/>
      <c r="NTI23" s="57"/>
      <c r="NTJ23" s="57"/>
      <c r="NTK23" s="57"/>
      <c r="NTL23" s="57"/>
      <c r="NTM23" s="57"/>
      <c r="NTN23" s="57"/>
      <c r="NTO23" s="57"/>
      <c r="NTP23" s="57"/>
      <c r="NTQ23" s="57"/>
      <c r="NTR23" s="57"/>
      <c r="NTS23" s="57"/>
      <c r="NTT23" s="57"/>
      <c r="NTU23" s="57"/>
      <c r="NTV23" s="57"/>
      <c r="NTW23" s="57"/>
      <c r="NTX23" s="57"/>
      <c r="NTY23" s="57"/>
      <c r="NTZ23" s="57"/>
      <c r="NUA23" s="57"/>
      <c r="NUB23" s="57"/>
      <c r="NUC23" s="57"/>
      <c r="NUD23" s="57"/>
      <c r="NUE23" s="57"/>
      <c r="NUF23" s="57"/>
      <c r="NUG23" s="57"/>
      <c r="NUH23" s="57"/>
      <c r="NUI23" s="57"/>
      <c r="NUJ23" s="57"/>
      <c r="NUK23" s="57"/>
      <c r="NUL23" s="57"/>
      <c r="NUM23" s="57"/>
      <c r="NUN23" s="57"/>
      <c r="NUO23" s="57"/>
      <c r="NUP23" s="57"/>
      <c r="NUQ23" s="57"/>
      <c r="NUR23" s="57"/>
      <c r="NUS23" s="57"/>
      <c r="NUT23" s="57"/>
      <c r="NUU23" s="57"/>
      <c r="NUV23" s="57"/>
      <c r="NUW23" s="57"/>
      <c r="NUX23" s="57"/>
      <c r="NUY23" s="57"/>
      <c r="NUZ23" s="57"/>
      <c r="NVA23" s="57"/>
      <c r="NVB23" s="57"/>
      <c r="NVC23" s="57"/>
      <c r="NVD23" s="57"/>
      <c r="NVE23" s="57"/>
      <c r="NVF23" s="57"/>
      <c r="NVG23" s="57"/>
      <c r="NVH23" s="57"/>
      <c r="NVI23" s="57"/>
      <c r="NVJ23" s="57"/>
      <c r="NVK23" s="57"/>
      <c r="NVL23" s="57"/>
      <c r="NVM23" s="57"/>
      <c r="NVN23" s="57"/>
      <c r="NVO23" s="57"/>
      <c r="NVP23" s="57"/>
      <c r="NVQ23" s="57"/>
      <c r="NVR23" s="57"/>
      <c r="NVS23" s="57"/>
      <c r="NVT23" s="57"/>
      <c r="NVU23" s="57"/>
      <c r="NVV23" s="57"/>
      <c r="NVW23" s="57"/>
      <c r="NVX23" s="57"/>
      <c r="NVY23" s="57"/>
      <c r="NVZ23" s="57"/>
      <c r="NWA23" s="57"/>
      <c r="NWB23" s="57"/>
      <c r="NWC23" s="57"/>
      <c r="NWD23" s="57"/>
      <c r="NWE23" s="57"/>
      <c r="NWF23" s="57"/>
      <c r="NWG23" s="57"/>
      <c r="NWH23" s="57"/>
      <c r="NWI23" s="57"/>
      <c r="NWJ23" s="57"/>
      <c r="NWK23" s="57"/>
      <c r="NWL23" s="57"/>
      <c r="NWM23" s="57"/>
      <c r="NWN23" s="57"/>
      <c r="NWO23" s="57"/>
      <c r="NWP23" s="57"/>
      <c r="NWQ23" s="57"/>
      <c r="NWR23" s="57"/>
      <c r="NWS23" s="57"/>
      <c r="NWT23" s="57"/>
      <c r="NWU23" s="57"/>
      <c r="NWV23" s="57"/>
      <c r="NWW23" s="57"/>
      <c r="NWX23" s="57"/>
      <c r="NWY23" s="57"/>
      <c r="NWZ23" s="57"/>
      <c r="NXA23" s="57"/>
      <c r="NXB23" s="57"/>
      <c r="NXC23" s="57"/>
      <c r="NXD23" s="57"/>
      <c r="NXE23" s="57"/>
      <c r="NXF23" s="57"/>
      <c r="NXG23" s="57"/>
      <c r="NXH23" s="57"/>
      <c r="NXI23" s="57"/>
      <c r="NXJ23" s="57"/>
      <c r="NXK23" s="57"/>
      <c r="NXL23" s="57"/>
      <c r="NXM23" s="57"/>
      <c r="NXN23" s="57"/>
      <c r="NXO23" s="57"/>
      <c r="NXP23" s="57"/>
      <c r="NXQ23" s="57"/>
      <c r="NXR23" s="57"/>
      <c r="NXS23" s="57"/>
      <c r="NXT23" s="57"/>
      <c r="NXU23" s="57"/>
      <c r="NXV23" s="57"/>
      <c r="NXW23" s="57"/>
      <c r="NXX23" s="57"/>
      <c r="NXY23" s="57"/>
      <c r="NXZ23" s="57"/>
      <c r="NYA23" s="57"/>
      <c r="NYB23" s="57"/>
      <c r="NYC23" s="57"/>
      <c r="NYD23" s="57"/>
      <c r="NYE23" s="57"/>
      <c r="NYF23" s="57"/>
      <c r="NYG23" s="57"/>
      <c r="NYH23" s="57"/>
      <c r="NYI23" s="57"/>
      <c r="NYJ23" s="57"/>
      <c r="NYK23" s="57"/>
      <c r="NYL23" s="57"/>
      <c r="NYM23" s="57"/>
      <c r="NYN23" s="57"/>
      <c r="NYO23" s="57"/>
      <c r="NYP23" s="57"/>
      <c r="NYQ23" s="57"/>
      <c r="NYR23" s="57"/>
      <c r="NYS23" s="57"/>
      <c r="NYT23" s="57"/>
      <c r="NYU23" s="57"/>
      <c r="NYV23" s="57"/>
      <c r="NYW23" s="57"/>
      <c r="NYX23" s="57"/>
      <c r="NYY23" s="57"/>
      <c r="NYZ23" s="57"/>
      <c r="NZA23" s="57"/>
      <c r="NZB23" s="57"/>
      <c r="NZC23" s="57"/>
      <c r="NZD23" s="57"/>
      <c r="NZE23" s="57"/>
      <c r="NZF23" s="57"/>
      <c r="NZG23" s="57"/>
      <c r="NZH23" s="57"/>
      <c r="NZI23" s="57"/>
      <c r="NZJ23" s="57"/>
      <c r="NZK23" s="57"/>
      <c r="NZL23" s="57"/>
      <c r="NZM23" s="57"/>
      <c r="NZN23" s="57"/>
      <c r="NZO23" s="57"/>
      <c r="NZP23" s="57"/>
      <c r="NZQ23" s="57"/>
      <c r="NZR23" s="57"/>
      <c r="NZS23" s="57"/>
      <c r="NZT23" s="57"/>
      <c r="NZU23" s="57"/>
      <c r="NZV23" s="57"/>
      <c r="NZW23" s="57"/>
      <c r="NZX23" s="57"/>
      <c r="NZY23" s="57"/>
      <c r="NZZ23" s="57"/>
      <c r="OAA23" s="57"/>
      <c r="OAB23" s="57"/>
      <c r="OAC23" s="57"/>
      <c r="OAD23" s="57"/>
      <c r="OAE23" s="57"/>
      <c r="OAF23" s="57"/>
      <c r="OAG23" s="57"/>
      <c r="OAH23" s="57"/>
      <c r="OAI23" s="57"/>
      <c r="OAJ23" s="57"/>
      <c r="OAK23" s="57"/>
      <c r="OAL23" s="57"/>
      <c r="OAM23" s="57"/>
      <c r="OAN23" s="57"/>
      <c r="OAO23" s="57"/>
      <c r="OAP23" s="57"/>
      <c r="OAQ23" s="57"/>
      <c r="OAR23" s="57"/>
      <c r="OAS23" s="57"/>
      <c r="OAT23" s="57"/>
      <c r="OAU23" s="57"/>
      <c r="OAV23" s="57"/>
      <c r="OAW23" s="57"/>
      <c r="OAX23" s="57"/>
      <c r="OAY23" s="57"/>
      <c r="OAZ23" s="57"/>
      <c r="OBA23" s="57"/>
      <c r="OBB23" s="57"/>
      <c r="OBC23" s="57"/>
      <c r="OBD23" s="57"/>
      <c r="OBE23" s="57"/>
      <c r="OBF23" s="57"/>
      <c r="OBG23" s="57"/>
      <c r="OBH23" s="57"/>
      <c r="OBI23" s="57"/>
      <c r="OBJ23" s="57"/>
      <c r="OBK23" s="57"/>
      <c r="OBL23" s="57"/>
      <c r="OBM23" s="57"/>
      <c r="OBN23" s="57"/>
      <c r="OBO23" s="57"/>
      <c r="OBP23" s="57"/>
      <c r="OBQ23" s="57"/>
      <c r="OBR23" s="57"/>
      <c r="OBS23" s="57"/>
      <c r="OBT23" s="57"/>
      <c r="OBU23" s="57"/>
      <c r="OBV23" s="57"/>
      <c r="OBW23" s="57"/>
      <c r="OBX23" s="57"/>
      <c r="OBY23" s="57"/>
      <c r="OBZ23" s="57"/>
      <c r="OCA23" s="57"/>
      <c r="OCB23" s="57"/>
      <c r="OCC23" s="57"/>
      <c r="OCD23" s="57"/>
      <c r="OCE23" s="57"/>
      <c r="OCF23" s="57"/>
      <c r="OCG23" s="57"/>
      <c r="OCH23" s="57"/>
      <c r="OCI23" s="57"/>
      <c r="OCJ23" s="57"/>
      <c r="OCK23" s="57"/>
      <c r="OCL23" s="57"/>
      <c r="OCM23" s="57"/>
      <c r="OCN23" s="57"/>
      <c r="OCO23" s="57"/>
      <c r="OCP23" s="57"/>
      <c r="OCQ23" s="57"/>
      <c r="OCR23" s="57"/>
      <c r="OCS23" s="57"/>
      <c r="OCT23" s="57"/>
      <c r="OCU23" s="57"/>
      <c r="OCV23" s="57"/>
      <c r="OCW23" s="57"/>
      <c r="OCX23" s="57"/>
      <c r="OCY23" s="57"/>
      <c r="OCZ23" s="57"/>
      <c r="ODA23" s="57"/>
      <c r="ODB23" s="57"/>
      <c r="ODC23" s="57"/>
      <c r="ODD23" s="57"/>
      <c r="ODE23" s="57"/>
      <c r="ODF23" s="57"/>
      <c r="ODG23" s="57"/>
      <c r="ODH23" s="57"/>
      <c r="ODI23" s="57"/>
      <c r="ODJ23" s="57"/>
      <c r="ODK23" s="57"/>
      <c r="ODL23" s="57"/>
      <c r="ODM23" s="57"/>
      <c r="ODN23" s="57"/>
      <c r="ODO23" s="57"/>
      <c r="ODP23" s="57"/>
      <c r="ODQ23" s="57"/>
      <c r="ODR23" s="57"/>
      <c r="ODS23" s="57"/>
      <c r="ODT23" s="57"/>
      <c r="ODU23" s="57"/>
      <c r="ODV23" s="57"/>
      <c r="ODW23" s="57"/>
      <c r="ODX23" s="57"/>
      <c r="ODY23" s="57"/>
      <c r="ODZ23" s="57"/>
      <c r="OEA23" s="57"/>
      <c r="OEB23" s="57"/>
      <c r="OEC23" s="57"/>
      <c r="OED23" s="57"/>
      <c r="OEE23" s="57"/>
      <c r="OEF23" s="57"/>
      <c r="OEG23" s="57"/>
      <c r="OEH23" s="57"/>
      <c r="OEI23" s="57"/>
      <c r="OEJ23" s="57"/>
      <c r="OEK23" s="57"/>
      <c r="OEL23" s="57"/>
      <c r="OEM23" s="57"/>
      <c r="OEN23" s="57"/>
      <c r="OEO23" s="57"/>
      <c r="OEP23" s="57"/>
      <c r="OEQ23" s="57"/>
      <c r="OER23" s="57"/>
      <c r="OES23" s="57"/>
      <c r="OET23" s="57"/>
      <c r="OEU23" s="57"/>
      <c r="OEV23" s="57"/>
      <c r="OEW23" s="57"/>
      <c r="OEX23" s="57"/>
      <c r="OEY23" s="57"/>
      <c r="OEZ23" s="57"/>
      <c r="OFA23" s="57"/>
      <c r="OFB23" s="57"/>
      <c r="OFC23" s="57"/>
      <c r="OFD23" s="57"/>
      <c r="OFE23" s="57"/>
      <c r="OFF23" s="57"/>
      <c r="OFG23" s="57"/>
      <c r="OFH23" s="57"/>
      <c r="OFI23" s="57"/>
      <c r="OFJ23" s="57"/>
      <c r="OFK23" s="57"/>
      <c r="OFL23" s="57"/>
      <c r="OFM23" s="57"/>
      <c r="OFN23" s="57"/>
      <c r="OFO23" s="57"/>
      <c r="OFP23" s="57"/>
      <c r="OFQ23" s="57"/>
      <c r="OFR23" s="57"/>
      <c r="OFS23" s="57"/>
      <c r="OFT23" s="57"/>
      <c r="OFU23" s="57"/>
      <c r="OFV23" s="57"/>
      <c r="OFW23" s="57"/>
      <c r="OFX23" s="57"/>
      <c r="OFY23" s="57"/>
      <c r="OFZ23" s="57"/>
      <c r="OGA23" s="57"/>
      <c r="OGB23" s="57"/>
      <c r="OGC23" s="57"/>
      <c r="OGD23" s="57"/>
      <c r="OGE23" s="57"/>
      <c r="OGF23" s="57"/>
      <c r="OGG23" s="57"/>
      <c r="OGH23" s="57"/>
      <c r="OGI23" s="57"/>
      <c r="OGJ23" s="57"/>
      <c r="OGK23" s="57"/>
      <c r="OGL23" s="57"/>
      <c r="OGM23" s="57"/>
      <c r="OGN23" s="57"/>
      <c r="OGO23" s="57"/>
      <c r="OGP23" s="57"/>
      <c r="OGQ23" s="57"/>
      <c r="OGR23" s="57"/>
      <c r="OGS23" s="57"/>
      <c r="OGT23" s="57"/>
      <c r="OGU23" s="57"/>
      <c r="OGV23" s="57"/>
      <c r="OGW23" s="57"/>
      <c r="OGX23" s="57"/>
      <c r="OGY23" s="57"/>
      <c r="OGZ23" s="57"/>
      <c r="OHA23" s="57"/>
      <c r="OHB23" s="57"/>
      <c r="OHC23" s="57"/>
      <c r="OHD23" s="57"/>
      <c r="OHE23" s="57"/>
      <c r="OHF23" s="57"/>
      <c r="OHG23" s="57"/>
      <c r="OHH23" s="57"/>
      <c r="OHI23" s="57"/>
      <c r="OHJ23" s="57"/>
      <c r="OHK23" s="57"/>
      <c r="OHL23" s="57"/>
      <c r="OHM23" s="57"/>
      <c r="OHN23" s="57"/>
      <c r="OHO23" s="57"/>
      <c r="OHP23" s="57"/>
      <c r="OHQ23" s="57"/>
      <c r="OHR23" s="57"/>
      <c r="OHS23" s="57"/>
      <c r="OHT23" s="57"/>
      <c r="OHU23" s="57"/>
      <c r="OHV23" s="57"/>
      <c r="OHW23" s="57"/>
      <c r="OHX23" s="57"/>
      <c r="OHY23" s="57"/>
      <c r="OHZ23" s="57"/>
      <c r="OIA23" s="57"/>
      <c r="OIB23" s="57"/>
      <c r="OIC23" s="57"/>
      <c r="OID23" s="57"/>
      <c r="OIE23" s="57"/>
      <c r="OIF23" s="57"/>
      <c r="OIG23" s="57"/>
      <c r="OIH23" s="57"/>
      <c r="OII23" s="57"/>
      <c r="OIJ23" s="57"/>
      <c r="OIK23" s="57"/>
      <c r="OIL23" s="57"/>
      <c r="OIM23" s="57"/>
      <c r="OIN23" s="57"/>
      <c r="OIO23" s="57"/>
      <c r="OIP23" s="57"/>
      <c r="OIQ23" s="57"/>
      <c r="OIR23" s="57"/>
      <c r="OIS23" s="57"/>
      <c r="OIT23" s="57"/>
      <c r="OIU23" s="57"/>
      <c r="OIV23" s="57"/>
      <c r="OIW23" s="57"/>
      <c r="OIX23" s="57"/>
      <c r="OIY23" s="57"/>
      <c r="OIZ23" s="57"/>
      <c r="OJA23" s="57"/>
      <c r="OJB23" s="57"/>
      <c r="OJC23" s="57"/>
      <c r="OJD23" s="57"/>
      <c r="OJE23" s="57"/>
      <c r="OJF23" s="57"/>
      <c r="OJG23" s="57"/>
      <c r="OJH23" s="57"/>
      <c r="OJI23" s="57"/>
      <c r="OJJ23" s="57"/>
      <c r="OJK23" s="57"/>
      <c r="OJL23" s="57"/>
      <c r="OJM23" s="57"/>
      <c r="OJN23" s="57"/>
      <c r="OJO23" s="57"/>
      <c r="OJP23" s="57"/>
      <c r="OJQ23" s="57"/>
      <c r="OJR23" s="57"/>
      <c r="OJS23" s="57"/>
      <c r="OJT23" s="57"/>
      <c r="OJU23" s="57"/>
      <c r="OJV23" s="57"/>
      <c r="OJW23" s="57"/>
      <c r="OJX23" s="57"/>
      <c r="OJY23" s="57"/>
      <c r="OJZ23" s="57"/>
      <c r="OKA23" s="57"/>
      <c r="OKB23" s="57"/>
      <c r="OKC23" s="57"/>
      <c r="OKD23" s="57"/>
      <c r="OKE23" s="57"/>
      <c r="OKF23" s="57"/>
      <c r="OKG23" s="57"/>
      <c r="OKH23" s="57"/>
      <c r="OKI23" s="57"/>
      <c r="OKJ23" s="57"/>
      <c r="OKK23" s="57"/>
      <c r="OKL23" s="57"/>
      <c r="OKM23" s="57"/>
      <c r="OKN23" s="57"/>
      <c r="OKO23" s="57"/>
      <c r="OKP23" s="57"/>
      <c r="OKQ23" s="57"/>
      <c r="OKR23" s="57"/>
      <c r="OKS23" s="57"/>
      <c r="OKT23" s="57"/>
      <c r="OKU23" s="57"/>
      <c r="OKV23" s="57"/>
      <c r="OKW23" s="57"/>
      <c r="OKX23" s="57"/>
      <c r="OKY23" s="57"/>
      <c r="OKZ23" s="57"/>
      <c r="OLA23" s="57"/>
      <c r="OLB23" s="57"/>
      <c r="OLC23" s="57"/>
      <c r="OLD23" s="57"/>
      <c r="OLE23" s="57"/>
      <c r="OLF23" s="57"/>
      <c r="OLG23" s="57"/>
      <c r="OLH23" s="57"/>
      <c r="OLI23" s="57"/>
      <c r="OLJ23" s="57"/>
      <c r="OLK23" s="57"/>
      <c r="OLL23" s="57"/>
      <c r="OLM23" s="57"/>
      <c r="OLN23" s="57"/>
      <c r="OLO23" s="57"/>
      <c r="OLP23" s="57"/>
      <c r="OLQ23" s="57"/>
      <c r="OLR23" s="57"/>
      <c r="OLS23" s="57"/>
      <c r="OLT23" s="57"/>
      <c r="OLU23" s="57"/>
      <c r="OLV23" s="57"/>
      <c r="OLW23" s="57"/>
      <c r="OLX23" s="57"/>
      <c r="OLY23" s="57"/>
      <c r="OLZ23" s="57"/>
      <c r="OMA23" s="57"/>
      <c r="OMB23" s="57"/>
      <c r="OMC23" s="57"/>
      <c r="OMD23" s="57"/>
      <c r="OME23" s="57"/>
      <c r="OMF23" s="57"/>
      <c r="OMG23" s="57"/>
      <c r="OMH23" s="57"/>
      <c r="OMI23" s="57"/>
      <c r="OMJ23" s="57"/>
      <c r="OMK23" s="57"/>
      <c r="OML23" s="57"/>
      <c r="OMM23" s="57"/>
      <c r="OMN23" s="57"/>
      <c r="OMO23" s="57"/>
      <c r="OMP23" s="57"/>
      <c r="OMQ23" s="57"/>
      <c r="OMR23" s="57"/>
      <c r="OMS23" s="57"/>
      <c r="OMT23" s="57"/>
      <c r="OMU23" s="57"/>
      <c r="OMV23" s="57"/>
      <c r="OMW23" s="57"/>
      <c r="OMX23" s="57"/>
      <c r="OMY23" s="57"/>
      <c r="OMZ23" s="57"/>
      <c r="ONA23" s="57"/>
      <c r="ONB23" s="57"/>
      <c r="ONC23" s="57"/>
      <c r="OND23" s="57"/>
      <c r="ONE23" s="57"/>
      <c r="ONF23" s="57"/>
      <c r="ONG23" s="57"/>
      <c r="ONH23" s="57"/>
      <c r="ONI23" s="57"/>
      <c r="ONJ23" s="57"/>
      <c r="ONK23" s="57"/>
      <c r="ONL23" s="57"/>
      <c r="ONM23" s="57"/>
      <c r="ONN23" s="57"/>
      <c r="ONO23" s="57"/>
      <c r="ONP23" s="57"/>
      <c r="ONQ23" s="57"/>
      <c r="ONR23" s="57"/>
      <c r="ONS23" s="57"/>
      <c r="ONT23" s="57"/>
      <c r="ONU23" s="57"/>
      <c r="ONV23" s="57"/>
      <c r="ONW23" s="57"/>
      <c r="ONX23" s="57"/>
      <c r="ONY23" s="57"/>
      <c r="ONZ23" s="57"/>
      <c r="OOA23" s="57"/>
      <c r="OOB23" s="57"/>
      <c r="OOC23" s="57"/>
      <c r="OOD23" s="57"/>
      <c r="OOE23" s="57"/>
      <c r="OOF23" s="57"/>
      <c r="OOG23" s="57"/>
      <c r="OOH23" s="57"/>
      <c r="OOI23" s="57"/>
      <c r="OOJ23" s="57"/>
      <c r="OOK23" s="57"/>
      <c r="OOL23" s="57"/>
      <c r="OOM23" s="57"/>
      <c r="OON23" s="57"/>
      <c r="OOO23" s="57"/>
      <c r="OOP23" s="57"/>
      <c r="OOQ23" s="57"/>
      <c r="OOR23" s="57"/>
      <c r="OOS23" s="57"/>
      <c r="OOT23" s="57"/>
      <c r="OOU23" s="57"/>
      <c r="OOV23" s="57"/>
      <c r="OOW23" s="57"/>
      <c r="OOX23" s="57"/>
      <c r="OOY23" s="57"/>
      <c r="OOZ23" s="57"/>
      <c r="OPA23" s="57"/>
      <c r="OPB23" s="57"/>
      <c r="OPC23" s="57"/>
      <c r="OPD23" s="57"/>
      <c r="OPE23" s="57"/>
      <c r="OPF23" s="57"/>
      <c r="OPG23" s="57"/>
      <c r="OPH23" s="57"/>
      <c r="OPI23" s="57"/>
      <c r="OPJ23" s="57"/>
      <c r="OPK23" s="57"/>
      <c r="OPL23" s="57"/>
      <c r="OPM23" s="57"/>
      <c r="OPN23" s="57"/>
      <c r="OPO23" s="57"/>
      <c r="OPP23" s="57"/>
      <c r="OPQ23" s="57"/>
      <c r="OPR23" s="57"/>
      <c r="OPS23" s="57"/>
      <c r="OPT23" s="57"/>
      <c r="OPU23" s="57"/>
      <c r="OPV23" s="57"/>
      <c r="OPW23" s="57"/>
      <c r="OPX23" s="57"/>
      <c r="OPY23" s="57"/>
      <c r="OPZ23" s="57"/>
      <c r="OQA23" s="57"/>
      <c r="OQB23" s="57"/>
      <c r="OQC23" s="57"/>
      <c r="OQD23" s="57"/>
      <c r="OQE23" s="57"/>
      <c r="OQF23" s="57"/>
      <c r="OQG23" s="57"/>
      <c r="OQH23" s="57"/>
      <c r="OQI23" s="57"/>
      <c r="OQJ23" s="57"/>
      <c r="OQK23" s="57"/>
      <c r="OQL23" s="57"/>
      <c r="OQM23" s="57"/>
      <c r="OQN23" s="57"/>
      <c r="OQO23" s="57"/>
      <c r="OQP23" s="57"/>
      <c r="OQQ23" s="57"/>
      <c r="OQR23" s="57"/>
      <c r="OQS23" s="57"/>
      <c r="OQT23" s="57"/>
      <c r="OQU23" s="57"/>
      <c r="OQV23" s="57"/>
      <c r="OQW23" s="57"/>
      <c r="OQX23" s="57"/>
      <c r="OQY23" s="57"/>
      <c r="OQZ23" s="57"/>
      <c r="ORA23" s="57"/>
      <c r="ORB23" s="57"/>
      <c r="ORC23" s="57"/>
      <c r="ORD23" s="57"/>
      <c r="ORE23" s="57"/>
      <c r="ORF23" s="57"/>
      <c r="ORG23" s="57"/>
      <c r="ORH23" s="57"/>
      <c r="ORI23" s="57"/>
      <c r="ORJ23" s="57"/>
      <c r="ORK23" s="57"/>
      <c r="ORL23" s="57"/>
      <c r="ORM23" s="57"/>
      <c r="ORN23" s="57"/>
      <c r="ORO23" s="57"/>
      <c r="ORP23" s="57"/>
      <c r="ORQ23" s="57"/>
      <c r="ORR23" s="57"/>
      <c r="ORS23" s="57"/>
      <c r="ORT23" s="57"/>
      <c r="ORU23" s="57"/>
      <c r="ORV23" s="57"/>
      <c r="ORW23" s="57"/>
      <c r="ORX23" s="57"/>
      <c r="ORY23" s="57"/>
      <c r="ORZ23" s="57"/>
      <c r="OSA23" s="57"/>
      <c r="OSB23" s="57"/>
      <c r="OSC23" s="57"/>
      <c r="OSD23" s="57"/>
      <c r="OSE23" s="57"/>
      <c r="OSF23" s="57"/>
      <c r="OSG23" s="57"/>
      <c r="OSH23" s="57"/>
      <c r="OSI23" s="57"/>
      <c r="OSJ23" s="57"/>
      <c r="OSK23" s="57"/>
      <c r="OSL23" s="57"/>
      <c r="OSM23" s="57"/>
      <c r="OSN23" s="57"/>
      <c r="OSO23" s="57"/>
      <c r="OSP23" s="57"/>
      <c r="OSQ23" s="57"/>
      <c r="OSR23" s="57"/>
      <c r="OSS23" s="57"/>
      <c r="OST23" s="57"/>
      <c r="OSU23" s="57"/>
      <c r="OSV23" s="57"/>
      <c r="OSW23" s="57"/>
      <c r="OSX23" s="57"/>
      <c r="OSY23" s="57"/>
      <c r="OSZ23" s="57"/>
      <c r="OTA23" s="57"/>
      <c r="OTB23" s="57"/>
      <c r="OTC23" s="57"/>
      <c r="OTD23" s="57"/>
      <c r="OTE23" s="57"/>
      <c r="OTF23" s="57"/>
      <c r="OTG23" s="57"/>
      <c r="OTH23" s="57"/>
      <c r="OTI23" s="57"/>
      <c r="OTJ23" s="57"/>
      <c r="OTK23" s="57"/>
      <c r="OTL23" s="57"/>
      <c r="OTM23" s="57"/>
      <c r="OTN23" s="57"/>
      <c r="OTO23" s="57"/>
      <c r="OTP23" s="57"/>
      <c r="OTQ23" s="57"/>
      <c r="OTR23" s="57"/>
      <c r="OTS23" s="57"/>
      <c r="OTT23" s="57"/>
      <c r="OTU23" s="57"/>
      <c r="OTV23" s="57"/>
      <c r="OTW23" s="57"/>
      <c r="OTX23" s="57"/>
      <c r="OTY23" s="57"/>
      <c r="OTZ23" s="57"/>
      <c r="OUA23" s="57"/>
      <c r="OUB23" s="57"/>
      <c r="OUC23" s="57"/>
      <c r="OUD23" s="57"/>
      <c r="OUE23" s="57"/>
      <c r="OUF23" s="57"/>
      <c r="OUG23" s="57"/>
      <c r="OUH23" s="57"/>
      <c r="OUI23" s="57"/>
      <c r="OUJ23" s="57"/>
      <c r="OUK23" s="57"/>
      <c r="OUL23" s="57"/>
      <c r="OUM23" s="57"/>
      <c r="OUN23" s="57"/>
      <c r="OUO23" s="57"/>
      <c r="OUP23" s="57"/>
      <c r="OUQ23" s="57"/>
      <c r="OUR23" s="57"/>
      <c r="OUS23" s="57"/>
      <c r="OUT23" s="57"/>
      <c r="OUU23" s="57"/>
      <c r="OUV23" s="57"/>
      <c r="OUW23" s="57"/>
      <c r="OUX23" s="57"/>
      <c r="OUY23" s="57"/>
      <c r="OUZ23" s="57"/>
      <c r="OVA23" s="57"/>
      <c r="OVB23" s="57"/>
      <c r="OVC23" s="57"/>
      <c r="OVD23" s="57"/>
      <c r="OVE23" s="57"/>
      <c r="OVF23" s="57"/>
      <c r="OVG23" s="57"/>
      <c r="OVH23" s="57"/>
      <c r="OVI23" s="57"/>
      <c r="OVJ23" s="57"/>
      <c r="OVK23" s="57"/>
      <c r="OVL23" s="57"/>
      <c r="OVM23" s="57"/>
      <c r="OVN23" s="57"/>
      <c r="OVO23" s="57"/>
      <c r="OVP23" s="57"/>
      <c r="OVQ23" s="57"/>
      <c r="OVR23" s="57"/>
      <c r="OVS23" s="57"/>
      <c r="OVT23" s="57"/>
      <c r="OVU23" s="57"/>
      <c r="OVV23" s="57"/>
      <c r="OVW23" s="57"/>
      <c r="OVX23" s="57"/>
      <c r="OVY23" s="57"/>
      <c r="OVZ23" s="57"/>
      <c r="OWA23" s="57"/>
      <c r="OWB23" s="57"/>
      <c r="OWC23" s="57"/>
      <c r="OWD23" s="57"/>
      <c r="OWE23" s="57"/>
      <c r="OWF23" s="57"/>
      <c r="OWG23" s="57"/>
      <c r="OWH23" s="57"/>
      <c r="OWI23" s="57"/>
      <c r="OWJ23" s="57"/>
      <c r="OWK23" s="57"/>
      <c r="OWL23" s="57"/>
      <c r="OWM23" s="57"/>
      <c r="OWN23" s="57"/>
      <c r="OWO23" s="57"/>
      <c r="OWP23" s="57"/>
      <c r="OWQ23" s="57"/>
      <c r="OWR23" s="57"/>
      <c r="OWS23" s="57"/>
      <c r="OWT23" s="57"/>
      <c r="OWU23" s="57"/>
      <c r="OWV23" s="57"/>
      <c r="OWW23" s="57"/>
      <c r="OWX23" s="57"/>
      <c r="OWY23" s="57"/>
      <c r="OWZ23" s="57"/>
      <c r="OXA23" s="57"/>
      <c r="OXB23" s="57"/>
      <c r="OXC23" s="57"/>
      <c r="OXD23" s="57"/>
      <c r="OXE23" s="57"/>
      <c r="OXF23" s="57"/>
      <c r="OXG23" s="57"/>
      <c r="OXH23" s="57"/>
      <c r="OXI23" s="57"/>
      <c r="OXJ23" s="57"/>
      <c r="OXK23" s="57"/>
      <c r="OXL23" s="57"/>
      <c r="OXM23" s="57"/>
      <c r="OXN23" s="57"/>
      <c r="OXO23" s="57"/>
      <c r="OXP23" s="57"/>
      <c r="OXQ23" s="57"/>
      <c r="OXR23" s="57"/>
      <c r="OXS23" s="57"/>
      <c r="OXT23" s="57"/>
      <c r="OXU23" s="57"/>
      <c r="OXV23" s="57"/>
      <c r="OXW23" s="57"/>
      <c r="OXX23" s="57"/>
      <c r="OXY23" s="57"/>
      <c r="OXZ23" s="57"/>
      <c r="OYA23" s="57"/>
      <c r="OYB23" s="57"/>
      <c r="OYC23" s="57"/>
      <c r="OYD23" s="57"/>
      <c r="OYE23" s="57"/>
      <c r="OYF23" s="57"/>
      <c r="OYG23" s="57"/>
      <c r="OYH23" s="57"/>
      <c r="OYI23" s="57"/>
      <c r="OYJ23" s="57"/>
      <c r="OYK23" s="57"/>
      <c r="OYL23" s="57"/>
      <c r="OYM23" s="57"/>
      <c r="OYN23" s="57"/>
      <c r="OYO23" s="57"/>
      <c r="OYP23" s="57"/>
      <c r="OYQ23" s="57"/>
      <c r="OYR23" s="57"/>
      <c r="OYS23" s="57"/>
      <c r="OYT23" s="57"/>
      <c r="OYU23" s="57"/>
      <c r="OYV23" s="57"/>
      <c r="OYW23" s="57"/>
      <c r="OYX23" s="57"/>
      <c r="OYY23" s="57"/>
      <c r="OYZ23" s="57"/>
      <c r="OZA23" s="57"/>
      <c r="OZB23" s="57"/>
      <c r="OZC23" s="57"/>
      <c r="OZD23" s="57"/>
      <c r="OZE23" s="57"/>
      <c r="OZF23" s="57"/>
      <c r="OZG23" s="57"/>
      <c r="OZH23" s="57"/>
      <c r="OZI23" s="57"/>
      <c r="OZJ23" s="57"/>
      <c r="OZK23" s="57"/>
      <c r="OZL23" s="57"/>
      <c r="OZM23" s="57"/>
      <c r="OZN23" s="57"/>
      <c r="OZO23" s="57"/>
      <c r="OZP23" s="57"/>
      <c r="OZQ23" s="57"/>
      <c r="OZR23" s="57"/>
      <c r="OZS23" s="57"/>
      <c r="OZT23" s="57"/>
      <c r="OZU23" s="57"/>
      <c r="OZV23" s="57"/>
      <c r="OZW23" s="57"/>
      <c r="OZX23" s="57"/>
      <c r="OZY23" s="57"/>
      <c r="OZZ23" s="57"/>
      <c r="PAA23" s="57"/>
      <c r="PAB23" s="57"/>
      <c r="PAC23" s="57"/>
      <c r="PAD23" s="57"/>
      <c r="PAE23" s="57"/>
      <c r="PAF23" s="57"/>
      <c r="PAG23" s="57"/>
      <c r="PAH23" s="57"/>
      <c r="PAI23" s="57"/>
      <c r="PAJ23" s="57"/>
      <c r="PAK23" s="57"/>
      <c r="PAL23" s="57"/>
      <c r="PAM23" s="57"/>
      <c r="PAN23" s="57"/>
      <c r="PAO23" s="57"/>
      <c r="PAP23" s="57"/>
      <c r="PAQ23" s="57"/>
      <c r="PAR23" s="57"/>
      <c r="PAS23" s="57"/>
      <c r="PAT23" s="57"/>
      <c r="PAU23" s="57"/>
      <c r="PAV23" s="57"/>
      <c r="PAW23" s="57"/>
      <c r="PAX23" s="57"/>
      <c r="PAY23" s="57"/>
      <c r="PAZ23" s="57"/>
      <c r="PBA23" s="57"/>
      <c r="PBB23" s="57"/>
      <c r="PBC23" s="57"/>
      <c r="PBD23" s="57"/>
      <c r="PBE23" s="57"/>
      <c r="PBF23" s="57"/>
      <c r="PBG23" s="57"/>
      <c r="PBH23" s="57"/>
      <c r="PBI23" s="57"/>
      <c r="PBJ23" s="57"/>
      <c r="PBK23" s="57"/>
      <c r="PBL23" s="57"/>
      <c r="PBM23" s="57"/>
      <c r="PBN23" s="57"/>
      <c r="PBO23" s="57"/>
      <c r="PBP23" s="57"/>
      <c r="PBQ23" s="57"/>
      <c r="PBR23" s="57"/>
      <c r="PBS23" s="57"/>
      <c r="PBT23" s="57"/>
      <c r="PBU23" s="57"/>
      <c r="PBV23" s="57"/>
      <c r="PBW23" s="57"/>
      <c r="PBX23" s="57"/>
      <c r="PBY23" s="57"/>
      <c r="PBZ23" s="57"/>
      <c r="PCA23" s="57"/>
      <c r="PCB23" s="57"/>
      <c r="PCC23" s="57"/>
      <c r="PCD23" s="57"/>
      <c r="PCE23" s="57"/>
      <c r="PCF23" s="57"/>
      <c r="PCG23" s="57"/>
      <c r="PCH23" s="57"/>
      <c r="PCI23" s="57"/>
      <c r="PCJ23" s="57"/>
      <c r="PCK23" s="57"/>
      <c r="PCL23" s="57"/>
      <c r="PCM23" s="57"/>
      <c r="PCN23" s="57"/>
      <c r="PCO23" s="57"/>
      <c r="PCP23" s="57"/>
      <c r="PCQ23" s="57"/>
      <c r="PCR23" s="57"/>
      <c r="PCS23" s="57"/>
      <c r="PCT23" s="57"/>
      <c r="PCU23" s="57"/>
      <c r="PCV23" s="57"/>
      <c r="PCW23" s="57"/>
      <c r="PCX23" s="57"/>
      <c r="PCY23" s="57"/>
      <c r="PCZ23" s="57"/>
      <c r="PDA23" s="57"/>
      <c r="PDB23" s="57"/>
      <c r="PDC23" s="57"/>
      <c r="PDD23" s="57"/>
      <c r="PDE23" s="57"/>
      <c r="PDF23" s="57"/>
      <c r="PDG23" s="57"/>
      <c r="PDH23" s="57"/>
      <c r="PDI23" s="57"/>
      <c r="PDJ23" s="57"/>
      <c r="PDK23" s="57"/>
      <c r="PDL23" s="57"/>
      <c r="PDM23" s="57"/>
      <c r="PDN23" s="57"/>
      <c r="PDO23" s="57"/>
      <c r="PDP23" s="57"/>
      <c r="PDQ23" s="57"/>
      <c r="PDR23" s="57"/>
      <c r="PDS23" s="57"/>
      <c r="PDT23" s="57"/>
      <c r="PDU23" s="57"/>
      <c r="PDV23" s="57"/>
      <c r="PDW23" s="57"/>
      <c r="PDX23" s="57"/>
      <c r="PDY23" s="57"/>
      <c r="PDZ23" s="57"/>
      <c r="PEA23" s="57"/>
      <c r="PEB23" s="57"/>
      <c r="PEC23" s="57"/>
      <c r="PED23" s="57"/>
      <c r="PEE23" s="57"/>
      <c r="PEF23" s="57"/>
      <c r="PEG23" s="57"/>
      <c r="PEH23" s="57"/>
      <c r="PEI23" s="57"/>
      <c r="PEJ23" s="57"/>
      <c r="PEK23" s="57"/>
      <c r="PEL23" s="57"/>
      <c r="PEM23" s="57"/>
      <c r="PEN23" s="57"/>
      <c r="PEO23" s="57"/>
      <c r="PEP23" s="57"/>
      <c r="PEQ23" s="57"/>
      <c r="PER23" s="57"/>
      <c r="PES23" s="57"/>
      <c r="PET23" s="57"/>
      <c r="PEU23" s="57"/>
      <c r="PEV23" s="57"/>
      <c r="PEW23" s="57"/>
      <c r="PEX23" s="57"/>
      <c r="PEY23" s="57"/>
      <c r="PEZ23" s="57"/>
      <c r="PFA23" s="57"/>
      <c r="PFB23" s="57"/>
      <c r="PFC23" s="57"/>
      <c r="PFD23" s="57"/>
      <c r="PFE23" s="57"/>
      <c r="PFF23" s="57"/>
      <c r="PFG23" s="57"/>
      <c r="PFH23" s="57"/>
      <c r="PFI23" s="57"/>
      <c r="PFJ23" s="57"/>
      <c r="PFK23" s="57"/>
      <c r="PFL23" s="57"/>
      <c r="PFM23" s="57"/>
      <c r="PFN23" s="57"/>
      <c r="PFO23" s="57"/>
      <c r="PFP23" s="57"/>
      <c r="PFQ23" s="57"/>
      <c r="PFR23" s="57"/>
      <c r="PFS23" s="57"/>
      <c r="PFT23" s="57"/>
      <c r="PFU23" s="57"/>
      <c r="PFV23" s="57"/>
      <c r="PFW23" s="57"/>
      <c r="PFX23" s="57"/>
      <c r="PFY23" s="57"/>
      <c r="PFZ23" s="57"/>
      <c r="PGA23" s="57"/>
      <c r="PGB23" s="57"/>
      <c r="PGC23" s="57"/>
      <c r="PGD23" s="57"/>
      <c r="PGE23" s="57"/>
      <c r="PGF23" s="57"/>
      <c r="PGG23" s="57"/>
      <c r="PGH23" s="57"/>
      <c r="PGI23" s="57"/>
      <c r="PGJ23" s="57"/>
      <c r="PGK23" s="57"/>
      <c r="PGL23" s="57"/>
      <c r="PGM23" s="57"/>
      <c r="PGN23" s="57"/>
      <c r="PGO23" s="57"/>
      <c r="PGP23" s="57"/>
      <c r="PGQ23" s="57"/>
      <c r="PGR23" s="57"/>
      <c r="PGS23" s="57"/>
      <c r="PGT23" s="57"/>
      <c r="PGU23" s="57"/>
      <c r="PGV23" s="57"/>
      <c r="PGW23" s="57"/>
      <c r="PGX23" s="57"/>
      <c r="PGY23" s="57"/>
      <c r="PGZ23" s="57"/>
      <c r="PHA23" s="57"/>
      <c r="PHB23" s="57"/>
      <c r="PHC23" s="57"/>
      <c r="PHD23" s="57"/>
      <c r="PHE23" s="57"/>
      <c r="PHF23" s="57"/>
      <c r="PHG23" s="57"/>
      <c r="PHH23" s="57"/>
      <c r="PHI23" s="57"/>
      <c r="PHJ23" s="57"/>
      <c r="PHK23" s="57"/>
      <c r="PHL23" s="57"/>
      <c r="PHM23" s="57"/>
      <c r="PHN23" s="57"/>
      <c r="PHO23" s="57"/>
      <c r="PHP23" s="57"/>
      <c r="PHQ23" s="57"/>
      <c r="PHR23" s="57"/>
      <c r="PHS23" s="57"/>
      <c r="PHT23" s="57"/>
      <c r="PHU23" s="57"/>
      <c r="PHV23" s="57"/>
      <c r="PHW23" s="57"/>
      <c r="PHX23" s="57"/>
      <c r="PHY23" s="57"/>
      <c r="PHZ23" s="57"/>
      <c r="PIA23" s="57"/>
      <c r="PIB23" s="57"/>
      <c r="PIC23" s="57"/>
      <c r="PID23" s="57"/>
      <c r="PIE23" s="57"/>
      <c r="PIF23" s="57"/>
      <c r="PIG23" s="57"/>
      <c r="PIH23" s="57"/>
      <c r="PII23" s="57"/>
      <c r="PIJ23" s="57"/>
      <c r="PIK23" s="57"/>
      <c r="PIL23" s="57"/>
      <c r="PIM23" s="57"/>
      <c r="PIN23" s="57"/>
      <c r="PIO23" s="57"/>
      <c r="PIP23" s="57"/>
      <c r="PIQ23" s="57"/>
      <c r="PIR23" s="57"/>
      <c r="PIS23" s="57"/>
      <c r="PIT23" s="57"/>
      <c r="PIU23" s="57"/>
      <c r="PIV23" s="57"/>
      <c r="PIW23" s="57"/>
      <c r="PIX23" s="57"/>
      <c r="PIY23" s="57"/>
      <c r="PIZ23" s="57"/>
      <c r="PJA23" s="57"/>
      <c r="PJB23" s="57"/>
      <c r="PJC23" s="57"/>
      <c r="PJD23" s="57"/>
      <c r="PJE23" s="57"/>
      <c r="PJF23" s="57"/>
      <c r="PJG23" s="57"/>
      <c r="PJH23" s="57"/>
      <c r="PJI23" s="57"/>
      <c r="PJJ23" s="57"/>
      <c r="PJK23" s="57"/>
      <c r="PJL23" s="57"/>
      <c r="PJM23" s="57"/>
      <c r="PJN23" s="57"/>
      <c r="PJO23" s="57"/>
      <c r="PJP23" s="57"/>
      <c r="PJQ23" s="57"/>
      <c r="PJR23" s="57"/>
      <c r="PJS23" s="57"/>
      <c r="PJT23" s="57"/>
      <c r="PJU23" s="57"/>
      <c r="PJV23" s="57"/>
      <c r="PJW23" s="57"/>
      <c r="PJX23" s="57"/>
      <c r="PJY23" s="57"/>
      <c r="PJZ23" s="57"/>
      <c r="PKA23" s="57"/>
      <c r="PKB23" s="57"/>
      <c r="PKC23" s="57"/>
      <c r="PKD23" s="57"/>
      <c r="PKE23" s="57"/>
      <c r="PKF23" s="57"/>
      <c r="PKG23" s="57"/>
      <c r="PKH23" s="57"/>
      <c r="PKI23" s="57"/>
      <c r="PKJ23" s="57"/>
      <c r="PKK23" s="57"/>
      <c r="PKL23" s="57"/>
      <c r="PKM23" s="57"/>
      <c r="PKN23" s="57"/>
      <c r="PKO23" s="57"/>
      <c r="PKP23" s="57"/>
      <c r="PKQ23" s="57"/>
      <c r="PKR23" s="57"/>
      <c r="PKS23" s="57"/>
      <c r="PKT23" s="57"/>
      <c r="PKU23" s="57"/>
      <c r="PKV23" s="57"/>
      <c r="PKW23" s="57"/>
      <c r="PKX23" s="57"/>
      <c r="PKY23" s="57"/>
      <c r="PKZ23" s="57"/>
      <c r="PLA23" s="57"/>
      <c r="PLB23" s="57"/>
      <c r="PLC23" s="57"/>
      <c r="PLD23" s="57"/>
      <c r="PLE23" s="57"/>
      <c r="PLF23" s="57"/>
      <c r="PLG23" s="57"/>
      <c r="PLH23" s="57"/>
      <c r="PLI23" s="57"/>
      <c r="PLJ23" s="57"/>
      <c r="PLK23" s="57"/>
      <c r="PLL23" s="57"/>
      <c r="PLM23" s="57"/>
      <c r="PLN23" s="57"/>
      <c r="PLO23" s="57"/>
      <c r="PLP23" s="57"/>
      <c r="PLQ23" s="57"/>
      <c r="PLR23" s="57"/>
      <c r="PLS23" s="57"/>
      <c r="PLT23" s="57"/>
      <c r="PLU23" s="57"/>
      <c r="PLV23" s="57"/>
      <c r="PLW23" s="57"/>
      <c r="PLX23" s="57"/>
      <c r="PLY23" s="57"/>
      <c r="PLZ23" s="57"/>
      <c r="PMA23" s="57"/>
      <c r="PMB23" s="57"/>
      <c r="PMC23" s="57"/>
      <c r="PMD23" s="57"/>
      <c r="PME23" s="57"/>
      <c r="PMF23" s="57"/>
      <c r="PMG23" s="57"/>
      <c r="PMH23" s="57"/>
      <c r="PMI23" s="57"/>
      <c r="PMJ23" s="57"/>
      <c r="PMK23" s="57"/>
      <c r="PML23" s="57"/>
      <c r="PMM23" s="57"/>
      <c r="PMN23" s="57"/>
      <c r="PMO23" s="57"/>
      <c r="PMP23" s="57"/>
      <c r="PMQ23" s="57"/>
      <c r="PMR23" s="57"/>
      <c r="PMS23" s="57"/>
      <c r="PMT23" s="57"/>
      <c r="PMU23" s="57"/>
      <c r="PMV23" s="57"/>
      <c r="PMW23" s="57"/>
      <c r="PMX23" s="57"/>
      <c r="PMY23" s="57"/>
      <c r="PMZ23" s="57"/>
      <c r="PNA23" s="57"/>
      <c r="PNB23" s="57"/>
      <c r="PNC23" s="57"/>
      <c r="PND23" s="57"/>
      <c r="PNE23" s="57"/>
      <c r="PNF23" s="57"/>
      <c r="PNG23" s="57"/>
      <c r="PNH23" s="57"/>
      <c r="PNI23" s="57"/>
      <c r="PNJ23" s="57"/>
      <c r="PNK23" s="57"/>
      <c r="PNL23" s="57"/>
      <c r="PNM23" s="57"/>
      <c r="PNN23" s="57"/>
      <c r="PNO23" s="57"/>
      <c r="PNP23" s="57"/>
      <c r="PNQ23" s="57"/>
      <c r="PNR23" s="57"/>
      <c r="PNS23" s="57"/>
      <c r="PNT23" s="57"/>
      <c r="PNU23" s="57"/>
      <c r="PNV23" s="57"/>
      <c r="PNW23" s="57"/>
      <c r="PNX23" s="57"/>
      <c r="PNY23" s="57"/>
      <c r="PNZ23" s="57"/>
      <c r="POA23" s="57"/>
      <c r="POB23" s="57"/>
      <c r="POC23" s="57"/>
      <c r="POD23" s="57"/>
      <c r="POE23" s="57"/>
      <c r="POF23" s="57"/>
      <c r="POG23" s="57"/>
      <c r="POH23" s="57"/>
      <c r="POI23" s="57"/>
      <c r="POJ23" s="57"/>
      <c r="POK23" s="57"/>
      <c r="POL23" s="57"/>
      <c r="POM23" s="57"/>
      <c r="PON23" s="57"/>
      <c r="POO23" s="57"/>
      <c r="POP23" s="57"/>
      <c r="POQ23" s="57"/>
      <c r="POR23" s="57"/>
      <c r="POS23" s="57"/>
      <c r="POT23" s="57"/>
      <c r="POU23" s="57"/>
      <c r="POV23" s="57"/>
      <c r="POW23" s="57"/>
      <c r="POX23" s="57"/>
      <c r="POY23" s="57"/>
      <c r="POZ23" s="57"/>
      <c r="PPA23" s="57"/>
      <c r="PPB23" s="57"/>
      <c r="PPC23" s="57"/>
      <c r="PPD23" s="57"/>
      <c r="PPE23" s="57"/>
      <c r="PPF23" s="57"/>
      <c r="PPG23" s="57"/>
      <c r="PPH23" s="57"/>
      <c r="PPI23" s="57"/>
      <c r="PPJ23" s="57"/>
      <c r="PPK23" s="57"/>
      <c r="PPL23" s="57"/>
      <c r="PPM23" s="57"/>
      <c r="PPN23" s="57"/>
      <c r="PPO23" s="57"/>
      <c r="PPP23" s="57"/>
      <c r="PPQ23" s="57"/>
      <c r="PPR23" s="57"/>
      <c r="PPS23" s="57"/>
      <c r="PPT23" s="57"/>
      <c r="PPU23" s="57"/>
      <c r="PPV23" s="57"/>
      <c r="PPW23" s="57"/>
      <c r="PPX23" s="57"/>
      <c r="PPY23" s="57"/>
      <c r="PPZ23" s="57"/>
      <c r="PQA23" s="57"/>
      <c r="PQB23" s="57"/>
      <c r="PQC23" s="57"/>
      <c r="PQD23" s="57"/>
      <c r="PQE23" s="57"/>
      <c r="PQF23" s="57"/>
      <c r="PQG23" s="57"/>
      <c r="PQH23" s="57"/>
      <c r="PQI23" s="57"/>
      <c r="PQJ23" s="57"/>
      <c r="PQK23" s="57"/>
      <c r="PQL23" s="57"/>
      <c r="PQM23" s="57"/>
      <c r="PQN23" s="57"/>
      <c r="PQO23" s="57"/>
      <c r="PQP23" s="57"/>
      <c r="PQQ23" s="57"/>
      <c r="PQR23" s="57"/>
      <c r="PQS23" s="57"/>
      <c r="PQT23" s="57"/>
      <c r="PQU23" s="57"/>
      <c r="PQV23" s="57"/>
      <c r="PQW23" s="57"/>
      <c r="PQX23" s="57"/>
      <c r="PQY23" s="57"/>
      <c r="PQZ23" s="57"/>
      <c r="PRA23" s="57"/>
      <c r="PRB23" s="57"/>
      <c r="PRC23" s="57"/>
      <c r="PRD23" s="57"/>
      <c r="PRE23" s="57"/>
      <c r="PRF23" s="57"/>
      <c r="PRG23" s="57"/>
      <c r="PRH23" s="57"/>
      <c r="PRI23" s="57"/>
      <c r="PRJ23" s="57"/>
      <c r="PRK23" s="57"/>
      <c r="PRL23" s="57"/>
      <c r="PRM23" s="57"/>
      <c r="PRN23" s="57"/>
      <c r="PRO23" s="57"/>
      <c r="PRP23" s="57"/>
      <c r="PRQ23" s="57"/>
      <c r="PRR23" s="57"/>
      <c r="PRS23" s="57"/>
      <c r="PRT23" s="57"/>
      <c r="PRU23" s="57"/>
      <c r="PRV23" s="57"/>
      <c r="PRW23" s="57"/>
      <c r="PRX23" s="57"/>
      <c r="PRY23" s="57"/>
      <c r="PRZ23" s="57"/>
      <c r="PSA23" s="57"/>
      <c r="PSB23" s="57"/>
      <c r="PSC23" s="57"/>
      <c r="PSD23" s="57"/>
      <c r="PSE23" s="57"/>
      <c r="PSF23" s="57"/>
      <c r="PSG23" s="57"/>
      <c r="PSH23" s="57"/>
      <c r="PSI23" s="57"/>
      <c r="PSJ23" s="57"/>
      <c r="PSK23" s="57"/>
      <c r="PSL23" s="57"/>
      <c r="PSM23" s="57"/>
      <c r="PSN23" s="57"/>
      <c r="PSO23" s="57"/>
      <c r="PSP23" s="57"/>
      <c r="PSQ23" s="57"/>
      <c r="PSR23" s="57"/>
      <c r="PSS23" s="57"/>
      <c r="PST23" s="57"/>
      <c r="PSU23" s="57"/>
      <c r="PSV23" s="57"/>
      <c r="PSW23" s="57"/>
      <c r="PSX23" s="57"/>
      <c r="PSY23" s="57"/>
      <c r="PSZ23" s="57"/>
      <c r="PTA23" s="57"/>
      <c r="PTB23" s="57"/>
      <c r="PTC23" s="57"/>
      <c r="PTD23" s="57"/>
      <c r="PTE23" s="57"/>
      <c r="PTF23" s="57"/>
      <c r="PTG23" s="57"/>
      <c r="PTH23" s="57"/>
      <c r="PTI23" s="57"/>
      <c r="PTJ23" s="57"/>
      <c r="PTK23" s="57"/>
      <c r="PTL23" s="57"/>
      <c r="PTM23" s="57"/>
      <c r="PTN23" s="57"/>
      <c r="PTO23" s="57"/>
      <c r="PTP23" s="57"/>
      <c r="PTQ23" s="57"/>
      <c r="PTR23" s="57"/>
      <c r="PTS23" s="57"/>
      <c r="PTT23" s="57"/>
      <c r="PTU23" s="57"/>
      <c r="PTV23" s="57"/>
      <c r="PTW23" s="57"/>
      <c r="PTX23" s="57"/>
      <c r="PTY23" s="57"/>
      <c r="PTZ23" s="57"/>
      <c r="PUA23" s="57"/>
      <c r="PUB23" s="57"/>
      <c r="PUC23" s="57"/>
      <c r="PUD23" s="57"/>
      <c r="PUE23" s="57"/>
      <c r="PUF23" s="57"/>
      <c r="PUG23" s="57"/>
      <c r="PUH23" s="57"/>
      <c r="PUI23" s="57"/>
      <c r="PUJ23" s="57"/>
      <c r="PUK23" s="57"/>
      <c r="PUL23" s="57"/>
      <c r="PUM23" s="57"/>
      <c r="PUN23" s="57"/>
      <c r="PUO23" s="57"/>
      <c r="PUP23" s="57"/>
      <c r="PUQ23" s="57"/>
      <c r="PUR23" s="57"/>
      <c r="PUS23" s="57"/>
      <c r="PUT23" s="57"/>
      <c r="PUU23" s="57"/>
      <c r="PUV23" s="57"/>
      <c r="PUW23" s="57"/>
      <c r="PUX23" s="57"/>
      <c r="PUY23" s="57"/>
      <c r="PUZ23" s="57"/>
      <c r="PVA23" s="57"/>
      <c r="PVB23" s="57"/>
      <c r="PVC23" s="57"/>
      <c r="PVD23" s="57"/>
      <c r="PVE23" s="57"/>
      <c r="PVF23" s="57"/>
      <c r="PVG23" s="57"/>
      <c r="PVH23" s="57"/>
      <c r="PVI23" s="57"/>
      <c r="PVJ23" s="57"/>
      <c r="PVK23" s="57"/>
      <c r="PVL23" s="57"/>
      <c r="PVM23" s="57"/>
      <c r="PVN23" s="57"/>
      <c r="PVO23" s="57"/>
      <c r="PVP23" s="57"/>
      <c r="PVQ23" s="57"/>
      <c r="PVR23" s="57"/>
      <c r="PVS23" s="57"/>
      <c r="PVT23" s="57"/>
      <c r="PVU23" s="57"/>
      <c r="PVV23" s="57"/>
      <c r="PVW23" s="57"/>
      <c r="PVX23" s="57"/>
      <c r="PVY23" s="57"/>
      <c r="PVZ23" s="57"/>
      <c r="PWA23" s="57"/>
      <c r="PWB23" s="57"/>
      <c r="PWC23" s="57"/>
      <c r="PWD23" s="57"/>
      <c r="PWE23" s="57"/>
      <c r="PWF23" s="57"/>
      <c r="PWG23" s="57"/>
      <c r="PWH23" s="57"/>
      <c r="PWI23" s="57"/>
      <c r="PWJ23" s="57"/>
      <c r="PWK23" s="57"/>
      <c r="PWL23" s="57"/>
      <c r="PWM23" s="57"/>
      <c r="PWN23" s="57"/>
      <c r="PWO23" s="57"/>
      <c r="PWP23" s="57"/>
      <c r="PWQ23" s="57"/>
      <c r="PWR23" s="57"/>
      <c r="PWS23" s="57"/>
      <c r="PWT23" s="57"/>
      <c r="PWU23" s="57"/>
      <c r="PWV23" s="57"/>
      <c r="PWW23" s="57"/>
      <c r="PWX23" s="57"/>
      <c r="PWY23" s="57"/>
      <c r="PWZ23" s="57"/>
      <c r="PXA23" s="57"/>
      <c r="PXB23" s="57"/>
      <c r="PXC23" s="57"/>
      <c r="PXD23" s="57"/>
      <c r="PXE23" s="57"/>
      <c r="PXF23" s="57"/>
      <c r="PXG23" s="57"/>
      <c r="PXH23" s="57"/>
      <c r="PXI23" s="57"/>
      <c r="PXJ23" s="57"/>
      <c r="PXK23" s="57"/>
      <c r="PXL23" s="57"/>
      <c r="PXM23" s="57"/>
      <c r="PXN23" s="57"/>
      <c r="PXO23" s="57"/>
      <c r="PXP23" s="57"/>
      <c r="PXQ23" s="57"/>
      <c r="PXR23" s="57"/>
      <c r="PXS23" s="57"/>
      <c r="PXT23" s="57"/>
      <c r="PXU23" s="57"/>
      <c r="PXV23" s="57"/>
      <c r="PXW23" s="57"/>
      <c r="PXX23" s="57"/>
      <c r="PXY23" s="57"/>
      <c r="PXZ23" s="57"/>
      <c r="PYA23" s="57"/>
      <c r="PYB23" s="57"/>
      <c r="PYC23" s="57"/>
      <c r="PYD23" s="57"/>
      <c r="PYE23" s="57"/>
      <c r="PYF23" s="57"/>
      <c r="PYG23" s="57"/>
      <c r="PYH23" s="57"/>
      <c r="PYI23" s="57"/>
      <c r="PYJ23" s="57"/>
      <c r="PYK23" s="57"/>
      <c r="PYL23" s="57"/>
      <c r="PYM23" s="57"/>
      <c r="PYN23" s="57"/>
      <c r="PYO23" s="57"/>
      <c r="PYP23" s="57"/>
      <c r="PYQ23" s="57"/>
      <c r="PYR23" s="57"/>
      <c r="PYS23" s="57"/>
      <c r="PYT23" s="57"/>
      <c r="PYU23" s="57"/>
      <c r="PYV23" s="57"/>
      <c r="PYW23" s="57"/>
      <c r="PYX23" s="57"/>
      <c r="PYY23" s="57"/>
      <c r="PYZ23" s="57"/>
      <c r="PZA23" s="57"/>
      <c r="PZB23" s="57"/>
      <c r="PZC23" s="57"/>
      <c r="PZD23" s="57"/>
      <c r="PZE23" s="57"/>
      <c r="PZF23" s="57"/>
      <c r="PZG23" s="57"/>
      <c r="PZH23" s="57"/>
      <c r="PZI23" s="57"/>
      <c r="PZJ23" s="57"/>
      <c r="PZK23" s="57"/>
      <c r="PZL23" s="57"/>
      <c r="PZM23" s="57"/>
      <c r="PZN23" s="57"/>
      <c r="PZO23" s="57"/>
      <c r="PZP23" s="57"/>
      <c r="PZQ23" s="57"/>
      <c r="PZR23" s="57"/>
      <c r="PZS23" s="57"/>
      <c r="PZT23" s="57"/>
      <c r="PZU23" s="57"/>
      <c r="PZV23" s="57"/>
      <c r="PZW23" s="57"/>
      <c r="PZX23" s="57"/>
      <c r="PZY23" s="57"/>
      <c r="PZZ23" s="57"/>
      <c r="QAA23" s="57"/>
      <c r="QAB23" s="57"/>
      <c r="QAC23" s="57"/>
      <c r="QAD23" s="57"/>
      <c r="QAE23" s="57"/>
      <c r="QAF23" s="57"/>
      <c r="QAG23" s="57"/>
      <c r="QAH23" s="57"/>
      <c r="QAI23" s="57"/>
      <c r="QAJ23" s="57"/>
      <c r="QAK23" s="57"/>
      <c r="QAL23" s="57"/>
      <c r="QAM23" s="57"/>
      <c r="QAN23" s="57"/>
      <c r="QAO23" s="57"/>
      <c r="QAP23" s="57"/>
      <c r="QAQ23" s="57"/>
      <c r="QAR23" s="57"/>
      <c r="QAS23" s="57"/>
      <c r="QAT23" s="57"/>
      <c r="QAU23" s="57"/>
      <c r="QAV23" s="57"/>
      <c r="QAW23" s="57"/>
      <c r="QAX23" s="57"/>
      <c r="QAY23" s="57"/>
      <c r="QAZ23" s="57"/>
      <c r="QBA23" s="57"/>
      <c r="QBB23" s="57"/>
      <c r="QBC23" s="57"/>
      <c r="QBD23" s="57"/>
      <c r="QBE23" s="57"/>
      <c r="QBF23" s="57"/>
      <c r="QBG23" s="57"/>
      <c r="QBH23" s="57"/>
      <c r="QBI23" s="57"/>
      <c r="QBJ23" s="57"/>
      <c r="QBK23" s="57"/>
      <c r="QBL23" s="57"/>
      <c r="QBM23" s="57"/>
      <c r="QBN23" s="57"/>
      <c r="QBO23" s="57"/>
      <c r="QBP23" s="57"/>
      <c r="QBQ23" s="57"/>
      <c r="QBR23" s="57"/>
      <c r="QBS23" s="57"/>
      <c r="QBT23" s="57"/>
      <c r="QBU23" s="57"/>
      <c r="QBV23" s="57"/>
      <c r="QBW23" s="57"/>
      <c r="QBX23" s="57"/>
      <c r="QBY23" s="57"/>
      <c r="QBZ23" s="57"/>
      <c r="QCA23" s="57"/>
      <c r="QCB23" s="57"/>
      <c r="QCC23" s="57"/>
      <c r="QCD23" s="57"/>
      <c r="QCE23" s="57"/>
      <c r="QCF23" s="57"/>
      <c r="QCG23" s="57"/>
      <c r="QCH23" s="57"/>
      <c r="QCI23" s="57"/>
      <c r="QCJ23" s="57"/>
      <c r="QCK23" s="57"/>
      <c r="QCL23" s="57"/>
      <c r="QCM23" s="57"/>
      <c r="QCN23" s="57"/>
      <c r="QCO23" s="57"/>
      <c r="QCP23" s="57"/>
      <c r="QCQ23" s="57"/>
      <c r="QCR23" s="57"/>
      <c r="QCS23" s="57"/>
      <c r="QCT23" s="57"/>
      <c r="QCU23" s="57"/>
      <c r="QCV23" s="57"/>
      <c r="QCW23" s="57"/>
      <c r="QCX23" s="57"/>
      <c r="QCY23" s="57"/>
      <c r="QCZ23" s="57"/>
      <c r="QDA23" s="57"/>
      <c r="QDB23" s="57"/>
      <c r="QDC23" s="57"/>
      <c r="QDD23" s="57"/>
      <c r="QDE23" s="57"/>
      <c r="QDF23" s="57"/>
      <c r="QDG23" s="57"/>
      <c r="QDH23" s="57"/>
      <c r="QDI23" s="57"/>
      <c r="QDJ23" s="57"/>
      <c r="QDK23" s="57"/>
      <c r="QDL23" s="57"/>
      <c r="QDM23" s="57"/>
      <c r="QDN23" s="57"/>
      <c r="QDO23" s="57"/>
      <c r="QDP23" s="57"/>
      <c r="QDQ23" s="57"/>
      <c r="QDR23" s="57"/>
      <c r="QDS23" s="57"/>
      <c r="QDT23" s="57"/>
      <c r="QDU23" s="57"/>
      <c r="QDV23" s="57"/>
      <c r="QDW23" s="57"/>
      <c r="QDX23" s="57"/>
      <c r="QDY23" s="57"/>
      <c r="QDZ23" s="57"/>
      <c r="QEA23" s="57"/>
      <c r="QEB23" s="57"/>
      <c r="QEC23" s="57"/>
      <c r="QED23" s="57"/>
      <c r="QEE23" s="57"/>
      <c r="QEF23" s="57"/>
      <c r="QEG23" s="57"/>
      <c r="QEH23" s="57"/>
      <c r="QEI23" s="57"/>
      <c r="QEJ23" s="57"/>
      <c r="QEK23" s="57"/>
      <c r="QEL23" s="57"/>
      <c r="QEM23" s="57"/>
      <c r="QEN23" s="57"/>
      <c r="QEO23" s="57"/>
      <c r="QEP23" s="57"/>
      <c r="QEQ23" s="57"/>
      <c r="QER23" s="57"/>
      <c r="QES23" s="57"/>
      <c r="QET23" s="57"/>
      <c r="QEU23" s="57"/>
      <c r="QEV23" s="57"/>
      <c r="QEW23" s="57"/>
      <c r="QEX23" s="57"/>
      <c r="QEY23" s="57"/>
      <c r="QEZ23" s="57"/>
      <c r="QFA23" s="57"/>
      <c r="QFB23" s="57"/>
      <c r="QFC23" s="57"/>
      <c r="QFD23" s="57"/>
      <c r="QFE23" s="57"/>
      <c r="QFF23" s="57"/>
      <c r="QFG23" s="57"/>
      <c r="QFH23" s="57"/>
      <c r="QFI23" s="57"/>
      <c r="QFJ23" s="57"/>
      <c r="QFK23" s="57"/>
      <c r="QFL23" s="57"/>
      <c r="QFM23" s="57"/>
      <c r="QFN23" s="57"/>
      <c r="QFO23" s="57"/>
      <c r="QFP23" s="57"/>
      <c r="QFQ23" s="57"/>
      <c r="QFR23" s="57"/>
      <c r="QFS23" s="57"/>
      <c r="QFT23" s="57"/>
      <c r="QFU23" s="57"/>
      <c r="QFV23" s="57"/>
      <c r="QFW23" s="57"/>
      <c r="QFX23" s="57"/>
      <c r="QFY23" s="57"/>
      <c r="QFZ23" s="57"/>
      <c r="QGA23" s="57"/>
      <c r="QGB23" s="57"/>
      <c r="QGC23" s="57"/>
      <c r="QGD23" s="57"/>
      <c r="QGE23" s="57"/>
      <c r="QGF23" s="57"/>
      <c r="QGG23" s="57"/>
      <c r="QGH23" s="57"/>
      <c r="QGI23" s="57"/>
      <c r="QGJ23" s="57"/>
      <c r="QGK23" s="57"/>
      <c r="QGL23" s="57"/>
      <c r="QGM23" s="57"/>
      <c r="QGN23" s="57"/>
      <c r="QGO23" s="57"/>
      <c r="QGP23" s="57"/>
      <c r="QGQ23" s="57"/>
      <c r="QGR23" s="57"/>
      <c r="QGS23" s="57"/>
      <c r="QGT23" s="57"/>
      <c r="QGU23" s="57"/>
      <c r="QGV23" s="57"/>
      <c r="QGW23" s="57"/>
      <c r="QGX23" s="57"/>
      <c r="QGY23" s="57"/>
      <c r="QGZ23" s="57"/>
      <c r="QHA23" s="57"/>
      <c r="QHB23" s="57"/>
      <c r="QHC23" s="57"/>
      <c r="QHD23" s="57"/>
      <c r="QHE23" s="57"/>
      <c r="QHF23" s="57"/>
      <c r="QHG23" s="57"/>
      <c r="QHH23" s="57"/>
      <c r="QHI23" s="57"/>
      <c r="QHJ23" s="57"/>
      <c r="QHK23" s="57"/>
      <c r="QHL23" s="57"/>
      <c r="QHM23" s="57"/>
      <c r="QHN23" s="57"/>
      <c r="QHO23" s="57"/>
      <c r="QHP23" s="57"/>
      <c r="QHQ23" s="57"/>
      <c r="QHR23" s="57"/>
      <c r="QHS23" s="57"/>
      <c r="QHT23" s="57"/>
      <c r="QHU23" s="57"/>
      <c r="QHV23" s="57"/>
      <c r="QHW23" s="57"/>
      <c r="QHX23" s="57"/>
      <c r="QHY23" s="57"/>
      <c r="QHZ23" s="57"/>
      <c r="QIA23" s="57"/>
      <c r="QIB23" s="57"/>
      <c r="QIC23" s="57"/>
      <c r="QID23" s="57"/>
      <c r="QIE23" s="57"/>
      <c r="QIF23" s="57"/>
      <c r="QIG23" s="57"/>
      <c r="QIH23" s="57"/>
      <c r="QII23" s="57"/>
      <c r="QIJ23" s="57"/>
      <c r="QIK23" s="57"/>
      <c r="QIL23" s="57"/>
      <c r="QIM23" s="57"/>
      <c r="QIN23" s="57"/>
      <c r="QIO23" s="57"/>
      <c r="QIP23" s="57"/>
      <c r="QIQ23" s="57"/>
      <c r="QIR23" s="57"/>
      <c r="QIS23" s="57"/>
      <c r="QIT23" s="57"/>
      <c r="QIU23" s="57"/>
      <c r="QIV23" s="57"/>
      <c r="QIW23" s="57"/>
      <c r="QIX23" s="57"/>
      <c r="QIY23" s="57"/>
      <c r="QIZ23" s="57"/>
      <c r="QJA23" s="57"/>
      <c r="QJB23" s="57"/>
      <c r="QJC23" s="57"/>
      <c r="QJD23" s="57"/>
      <c r="QJE23" s="57"/>
      <c r="QJF23" s="57"/>
      <c r="QJG23" s="57"/>
      <c r="QJH23" s="57"/>
      <c r="QJI23" s="57"/>
      <c r="QJJ23" s="57"/>
      <c r="QJK23" s="57"/>
      <c r="QJL23" s="57"/>
      <c r="QJM23" s="57"/>
      <c r="QJN23" s="57"/>
      <c r="QJO23" s="57"/>
      <c r="QJP23" s="57"/>
      <c r="QJQ23" s="57"/>
      <c r="QJR23" s="57"/>
      <c r="QJS23" s="57"/>
      <c r="QJT23" s="57"/>
      <c r="QJU23" s="57"/>
      <c r="QJV23" s="57"/>
      <c r="QJW23" s="57"/>
      <c r="QJX23" s="57"/>
      <c r="QJY23" s="57"/>
      <c r="QJZ23" s="57"/>
      <c r="QKA23" s="57"/>
      <c r="QKB23" s="57"/>
      <c r="QKC23" s="57"/>
      <c r="QKD23" s="57"/>
      <c r="QKE23" s="57"/>
      <c r="QKF23" s="57"/>
      <c r="QKG23" s="57"/>
      <c r="QKH23" s="57"/>
      <c r="QKI23" s="57"/>
      <c r="QKJ23" s="57"/>
      <c r="QKK23" s="57"/>
      <c r="QKL23" s="57"/>
      <c r="QKM23" s="57"/>
      <c r="QKN23" s="57"/>
      <c r="QKO23" s="57"/>
      <c r="QKP23" s="57"/>
      <c r="QKQ23" s="57"/>
      <c r="QKR23" s="57"/>
      <c r="QKS23" s="57"/>
      <c r="QKT23" s="57"/>
      <c r="QKU23" s="57"/>
      <c r="QKV23" s="57"/>
      <c r="QKW23" s="57"/>
      <c r="QKX23" s="57"/>
      <c r="QKY23" s="57"/>
      <c r="QKZ23" s="57"/>
      <c r="QLA23" s="57"/>
      <c r="QLB23" s="57"/>
      <c r="QLC23" s="57"/>
      <c r="QLD23" s="57"/>
      <c r="QLE23" s="57"/>
      <c r="QLF23" s="57"/>
      <c r="QLG23" s="57"/>
      <c r="QLH23" s="57"/>
      <c r="QLI23" s="57"/>
      <c r="QLJ23" s="57"/>
      <c r="QLK23" s="57"/>
      <c r="QLL23" s="57"/>
      <c r="QLM23" s="57"/>
      <c r="QLN23" s="57"/>
      <c r="QLO23" s="57"/>
      <c r="QLP23" s="57"/>
      <c r="QLQ23" s="57"/>
      <c r="QLR23" s="57"/>
      <c r="QLS23" s="57"/>
      <c r="QLT23" s="57"/>
      <c r="QLU23" s="57"/>
      <c r="QLV23" s="57"/>
      <c r="QLW23" s="57"/>
      <c r="QLX23" s="57"/>
      <c r="QLY23" s="57"/>
      <c r="QLZ23" s="57"/>
      <c r="QMA23" s="57"/>
      <c r="QMB23" s="57"/>
      <c r="QMC23" s="57"/>
      <c r="QMD23" s="57"/>
      <c r="QME23" s="57"/>
      <c r="QMF23" s="57"/>
      <c r="QMG23" s="57"/>
      <c r="QMH23" s="57"/>
      <c r="QMI23" s="57"/>
      <c r="QMJ23" s="57"/>
      <c r="QMK23" s="57"/>
      <c r="QML23" s="57"/>
      <c r="QMM23" s="57"/>
      <c r="QMN23" s="57"/>
      <c r="QMO23" s="57"/>
      <c r="QMP23" s="57"/>
      <c r="QMQ23" s="57"/>
      <c r="QMR23" s="57"/>
      <c r="QMS23" s="57"/>
      <c r="QMT23" s="57"/>
      <c r="QMU23" s="57"/>
      <c r="QMV23" s="57"/>
      <c r="QMW23" s="57"/>
      <c r="QMX23" s="57"/>
      <c r="QMY23" s="57"/>
      <c r="QMZ23" s="57"/>
      <c r="QNA23" s="57"/>
      <c r="QNB23" s="57"/>
      <c r="QNC23" s="57"/>
      <c r="QND23" s="57"/>
      <c r="QNE23" s="57"/>
      <c r="QNF23" s="57"/>
      <c r="QNG23" s="57"/>
      <c r="QNH23" s="57"/>
      <c r="QNI23" s="57"/>
      <c r="QNJ23" s="57"/>
      <c r="QNK23" s="57"/>
      <c r="QNL23" s="57"/>
      <c r="QNM23" s="57"/>
      <c r="QNN23" s="57"/>
      <c r="QNO23" s="57"/>
      <c r="QNP23" s="57"/>
      <c r="QNQ23" s="57"/>
      <c r="QNR23" s="57"/>
      <c r="QNS23" s="57"/>
      <c r="QNT23" s="57"/>
      <c r="QNU23" s="57"/>
      <c r="QNV23" s="57"/>
      <c r="QNW23" s="57"/>
      <c r="QNX23" s="57"/>
      <c r="QNY23" s="57"/>
      <c r="QNZ23" s="57"/>
      <c r="QOA23" s="57"/>
      <c r="QOB23" s="57"/>
      <c r="QOC23" s="57"/>
      <c r="QOD23" s="57"/>
      <c r="QOE23" s="57"/>
      <c r="QOF23" s="57"/>
      <c r="QOG23" s="57"/>
      <c r="QOH23" s="57"/>
      <c r="QOI23" s="57"/>
      <c r="QOJ23" s="57"/>
      <c r="QOK23" s="57"/>
      <c r="QOL23" s="57"/>
      <c r="QOM23" s="57"/>
      <c r="QON23" s="57"/>
      <c r="QOO23" s="57"/>
      <c r="QOP23" s="57"/>
      <c r="QOQ23" s="57"/>
      <c r="QOR23" s="57"/>
      <c r="QOS23" s="57"/>
      <c r="QOT23" s="57"/>
      <c r="QOU23" s="57"/>
      <c r="QOV23" s="57"/>
      <c r="QOW23" s="57"/>
      <c r="QOX23" s="57"/>
      <c r="QOY23" s="57"/>
      <c r="QOZ23" s="57"/>
      <c r="QPA23" s="57"/>
      <c r="QPB23" s="57"/>
      <c r="QPC23" s="57"/>
      <c r="QPD23" s="57"/>
      <c r="QPE23" s="57"/>
      <c r="QPF23" s="57"/>
      <c r="QPG23" s="57"/>
      <c r="QPH23" s="57"/>
      <c r="QPI23" s="57"/>
      <c r="QPJ23" s="57"/>
      <c r="QPK23" s="57"/>
      <c r="QPL23" s="57"/>
      <c r="QPM23" s="57"/>
      <c r="QPN23" s="57"/>
      <c r="QPO23" s="57"/>
      <c r="QPP23" s="57"/>
      <c r="QPQ23" s="57"/>
      <c r="QPR23" s="57"/>
      <c r="QPS23" s="57"/>
      <c r="QPT23" s="57"/>
      <c r="QPU23" s="57"/>
      <c r="QPV23" s="57"/>
      <c r="QPW23" s="57"/>
      <c r="QPX23" s="57"/>
      <c r="QPY23" s="57"/>
      <c r="QPZ23" s="57"/>
      <c r="QQA23" s="57"/>
      <c r="QQB23" s="57"/>
      <c r="QQC23" s="57"/>
      <c r="QQD23" s="57"/>
      <c r="QQE23" s="57"/>
      <c r="QQF23" s="57"/>
      <c r="QQG23" s="57"/>
      <c r="QQH23" s="57"/>
      <c r="QQI23" s="57"/>
      <c r="QQJ23" s="57"/>
      <c r="QQK23" s="57"/>
      <c r="QQL23" s="57"/>
      <c r="QQM23" s="57"/>
      <c r="QQN23" s="57"/>
      <c r="QQO23" s="57"/>
      <c r="QQP23" s="57"/>
      <c r="QQQ23" s="57"/>
      <c r="QQR23" s="57"/>
      <c r="QQS23" s="57"/>
      <c r="QQT23" s="57"/>
      <c r="QQU23" s="57"/>
      <c r="QQV23" s="57"/>
      <c r="QQW23" s="57"/>
      <c r="QQX23" s="57"/>
      <c r="QQY23" s="57"/>
      <c r="QQZ23" s="57"/>
      <c r="QRA23" s="57"/>
      <c r="QRB23" s="57"/>
      <c r="QRC23" s="57"/>
      <c r="QRD23" s="57"/>
      <c r="QRE23" s="57"/>
      <c r="QRF23" s="57"/>
      <c r="QRG23" s="57"/>
      <c r="QRH23" s="57"/>
      <c r="QRI23" s="57"/>
      <c r="QRJ23" s="57"/>
      <c r="QRK23" s="57"/>
      <c r="QRL23" s="57"/>
      <c r="QRM23" s="57"/>
      <c r="QRN23" s="57"/>
      <c r="QRO23" s="57"/>
      <c r="QRP23" s="57"/>
      <c r="QRQ23" s="57"/>
      <c r="QRR23" s="57"/>
      <c r="QRS23" s="57"/>
      <c r="QRT23" s="57"/>
      <c r="QRU23" s="57"/>
      <c r="QRV23" s="57"/>
      <c r="QRW23" s="57"/>
      <c r="QRX23" s="57"/>
      <c r="QRY23" s="57"/>
      <c r="QRZ23" s="57"/>
      <c r="QSA23" s="57"/>
      <c r="QSB23" s="57"/>
      <c r="QSC23" s="57"/>
      <c r="QSD23" s="57"/>
      <c r="QSE23" s="57"/>
      <c r="QSF23" s="57"/>
      <c r="QSG23" s="57"/>
      <c r="QSH23" s="57"/>
      <c r="QSI23" s="57"/>
      <c r="QSJ23" s="57"/>
      <c r="QSK23" s="57"/>
      <c r="QSL23" s="57"/>
      <c r="QSM23" s="57"/>
      <c r="QSN23" s="57"/>
      <c r="QSO23" s="57"/>
      <c r="QSP23" s="57"/>
      <c r="QSQ23" s="57"/>
      <c r="QSR23" s="57"/>
      <c r="QSS23" s="57"/>
      <c r="QST23" s="57"/>
      <c r="QSU23" s="57"/>
      <c r="QSV23" s="57"/>
      <c r="QSW23" s="57"/>
      <c r="QSX23" s="57"/>
      <c r="QSY23" s="57"/>
      <c r="QSZ23" s="57"/>
      <c r="QTA23" s="57"/>
      <c r="QTB23" s="57"/>
      <c r="QTC23" s="57"/>
      <c r="QTD23" s="57"/>
      <c r="QTE23" s="57"/>
      <c r="QTF23" s="57"/>
      <c r="QTG23" s="57"/>
      <c r="QTH23" s="57"/>
      <c r="QTI23" s="57"/>
      <c r="QTJ23" s="57"/>
      <c r="QTK23" s="57"/>
      <c r="QTL23" s="57"/>
      <c r="QTM23" s="57"/>
      <c r="QTN23" s="57"/>
      <c r="QTO23" s="57"/>
      <c r="QTP23" s="57"/>
      <c r="QTQ23" s="57"/>
      <c r="QTR23" s="57"/>
      <c r="QTS23" s="57"/>
      <c r="QTT23" s="57"/>
      <c r="QTU23" s="57"/>
      <c r="QTV23" s="57"/>
      <c r="QTW23" s="57"/>
      <c r="QTX23" s="57"/>
      <c r="QTY23" s="57"/>
      <c r="QTZ23" s="57"/>
      <c r="QUA23" s="57"/>
      <c r="QUB23" s="57"/>
      <c r="QUC23" s="57"/>
      <c r="QUD23" s="57"/>
      <c r="QUE23" s="57"/>
      <c r="QUF23" s="57"/>
      <c r="QUG23" s="57"/>
      <c r="QUH23" s="57"/>
      <c r="QUI23" s="57"/>
      <c r="QUJ23" s="57"/>
      <c r="QUK23" s="57"/>
      <c r="QUL23" s="57"/>
      <c r="QUM23" s="57"/>
      <c r="QUN23" s="57"/>
      <c r="QUO23" s="57"/>
      <c r="QUP23" s="57"/>
      <c r="QUQ23" s="57"/>
      <c r="QUR23" s="57"/>
      <c r="QUS23" s="57"/>
      <c r="QUT23" s="57"/>
      <c r="QUU23" s="57"/>
      <c r="QUV23" s="57"/>
      <c r="QUW23" s="57"/>
      <c r="QUX23" s="57"/>
      <c r="QUY23" s="57"/>
      <c r="QUZ23" s="57"/>
      <c r="QVA23" s="57"/>
      <c r="QVB23" s="57"/>
      <c r="QVC23" s="57"/>
      <c r="QVD23" s="57"/>
      <c r="QVE23" s="57"/>
      <c r="QVF23" s="57"/>
      <c r="QVG23" s="57"/>
      <c r="QVH23" s="57"/>
      <c r="QVI23" s="57"/>
      <c r="QVJ23" s="57"/>
      <c r="QVK23" s="57"/>
      <c r="QVL23" s="57"/>
      <c r="QVM23" s="57"/>
      <c r="QVN23" s="57"/>
      <c r="QVO23" s="57"/>
      <c r="QVP23" s="57"/>
      <c r="QVQ23" s="57"/>
      <c r="QVR23" s="57"/>
      <c r="QVS23" s="57"/>
      <c r="QVT23" s="57"/>
      <c r="QVU23" s="57"/>
      <c r="QVV23" s="57"/>
      <c r="QVW23" s="57"/>
      <c r="QVX23" s="57"/>
      <c r="QVY23" s="57"/>
      <c r="QVZ23" s="57"/>
      <c r="QWA23" s="57"/>
      <c r="QWB23" s="57"/>
      <c r="QWC23" s="57"/>
      <c r="QWD23" s="57"/>
      <c r="QWE23" s="57"/>
      <c r="QWF23" s="57"/>
      <c r="QWG23" s="57"/>
      <c r="QWH23" s="57"/>
      <c r="QWI23" s="57"/>
      <c r="QWJ23" s="57"/>
      <c r="QWK23" s="57"/>
      <c r="QWL23" s="57"/>
      <c r="QWM23" s="57"/>
      <c r="QWN23" s="57"/>
      <c r="QWO23" s="57"/>
      <c r="QWP23" s="57"/>
      <c r="QWQ23" s="57"/>
      <c r="QWR23" s="57"/>
      <c r="QWS23" s="57"/>
      <c r="QWT23" s="57"/>
      <c r="QWU23" s="57"/>
      <c r="QWV23" s="57"/>
      <c r="QWW23" s="57"/>
      <c r="QWX23" s="57"/>
      <c r="QWY23" s="57"/>
      <c r="QWZ23" s="57"/>
      <c r="QXA23" s="57"/>
      <c r="QXB23" s="57"/>
      <c r="QXC23" s="57"/>
      <c r="QXD23" s="57"/>
      <c r="QXE23" s="57"/>
      <c r="QXF23" s="57"/>
      <c r="QXG23" s="57"/>
      <c r="QXH23" s="57"/>
      <c r="QXI23" s="57"/>
      <c r="QXJ23" s="57"/>
      <c r="QXK23" s="57"/>
      <c r="QXL23" s="57"/>
      <c r="QXM23" s="57"/>
      <c r="QXN23" s="57"/>
      <c r="QXO23" s="57"/>
      <c r="QXP23" s="57"/>
      <c r="QXQ23" s="57"/>
      <c r="QXR23" s="57"/>
      <c r="QXS23" s="57"/>
      <c r="QXT23" s="57"/>
      <c r="QXU23" s="57"/>
      <c r="QXV23" s="57"/>
      <c r="QXW23" s="57"/>
      <c r="QXX23" s="57"/>
      <c r="QXY23" s="57"/>
      <c r="QXZ23" s="57"/>
      <c r="QYA23" s="57"/>
      <c r="QYB23" s="57"/>
      <c r="QYC23" s="57"/>
      <c r="QYD23" s="57"/>
      <c r="QYE23" s="57"/>
      <c r="QYF23" s="57"/>
      <c r="QYG23" s="57"/>
      <c r="QYH23" s="57"/>
      <c r="QYI23" s="57"/>
      <c r="QYJ23" s="57"/>
      <c r="QYK23" s="57"/>
      <c r="QYL23" s="57"/>
      <c r="QYM23" s="57"/>
      <c r="QYN23" s="57"/>
      <c r="QYO23" s="57"/>
      <c r="QYP23" s="57"/>
      <c r="QYQ23" s="57"/>
      <c r="QYR23" s="57"/>
      <c r="QYS23" s="57"/>
      <c r="QYT23" s="57"/>
      <c r="QYU23" s="57"/>
      <c r="QYV23" s="57"/>
      <c r="QYW23" s="57"/>
      <c r="QYX23" s="57"/>
      <c r="QYY23" s="57"/>
      <c r="QYZ23" s="57"/>
      <c r="QZA23" s="57"/>
      <c r="QZB23" s="57"/>
      <c r="QZC23" s="57"/>
      <c r="QZD23" s="57"/>
      <c r="QZE23" s="57"/>
      <c r="QZF23" s="57"/>
      <c r="QZG23" s="57"/>
      <c r="QZH23" s="57"/>
      <c r="QZI23" s="57"/>
      <c r="QZJ23" s="57"/>
      <c r="QZK23" s="57"/>
      <c r="QZL23" s="57"/>
      <c r="QZM23" s="57"/>
      <c r="QZN23" s="57"/>
      <c r="QZO23" s="57"/>
      <c r="QZP23" s="57"/>
      <c r="QZQ23" s="57"/>
      <c r="QZR23" s="57"/>
      <c r="QZS23" s="57"/>
      <c r="QZT23" s="57"/>
      <c r="QZU23" s="57"/>
      <c r="QZV23" s="57"/>
      <c r="QZW23" s="57"/>
      <c r="QZX23" s="57"/>
      <c r="QZY23" s="57"/>
      <c r="QZZ23" s="57"/>
      <c r="RAA23" s="57"/>
      <c r="RAB23" s="57"/>
      <c r="RAC23" s="57"/>
      <c r="RAD23" s="57"/>
      <c r="RAE23" s="57"/>
      <c r="RAF23" s="57"/>
      <c r="RAG23" s="57"/>
      <c r="RAH23" s="57"/>
      <c r="RAI23" s="57"/>
      <c r="RAJ23" s="57"/>
      <c r="RAK23" s="57"/>
      <c r="RAL23" s="57"/>
      <c r="RAM23" s="57"/>
      <c r="RAN23" s="57"/>
      <c r="RAO23" s="57"/>
      <c r="RAP23" s="57"/>
      <c r="RAQ23" s="57"/>
      <c r="RAR23" s="57"/>
      <c r="RAS23" s="57"/>
      <c r="RAT23" s="57"/>
      <c r="RAU23" s="57"/>
      <c r="RAV23" s="57"/>
      <c r="RAW23" s="57"/>
      <c r="RAX23" s="57"/>
      <c r="RAY23" s="57"/>
      <c r="RAZ23" s="57"/>
      <c r="RBA23" s="57"/>
      <c r="RBB23" s="57"/>
      <c r="RBC23" s="57"/>
      <c r="RBD23" s="57"/>
      <c r="RBE23" s="57"/>
      <c r="RBF23" s="57"/>
      <c r="RBG23" s="57"/>
      <c r="RBH23" s="57"/>
      <c r="RBI23" s="57"/>
      <c r="RBJ23" s="57"/>
      <c r="RBK23" s="57"/>
      <c r="RBL23" s="57"/>
      <c r="RBM23" s="57"/>
      <c r="RBN23" s="57"/>
      <c r="RBO23" s="57"/>
      <c r="RBP23" s="57"/>
      <c r="RBQ23" s="57"/>
      <c r="RBR23" s="57"/>
      <c r="RBS23" s="57"/>
      <c r="RBT23" s="57"/>
      <c r="RBU23" s="57"/>
      <c r="RBV23" s="57"/>
      <c r="RBW23" s="57"/>
      <c r="RBX23" s="57"/>
      <c r="RBY23" s="57"/>
      <c r="RBZ23" s="57"/>
      <c r="RCA23" s="57"/>
      <c r="RCB23" s="57"/>
      <c r="RCC23" s="57"/>
      <c r="RCD23" s="57"/>
      <c r="RCE23" s="57"/>
      <c r="RCF23" s="57"/>
      <c r="RCG23" s="57"/>
      <c r="RCH23" s="57"/>
      <c r="RCI23" s="57"/>
      <c r="RCJ23" s="57"/>
      <c r="RCK23" s="57"/>
      <c r="RCL23" s="57"/>
      <c r="RCM23" s="57"/>
      <c r="RCN23" s="57"/>
      <c r="RCO23" s="57"/>
      <c r="RCP23" s="57"/>
      <c r="RCQ23" s="57"/>
      <c r="RCR23" s="57"/>
      <c r="RCS23" s="57"/>
      <c r="RCT23" s="57"/>
      <c r="RCU23" s="57"/>
      <c r="RCV23" s="57"/>
      <c r="RCW23" s="57"/>
      <c r="RCX23" s="57"/>
      <c r="RCY23" s="57"/>
      <c r="RCZ23" s="57"/>
      <c r="RDA23" s="57"/>
      <c r="RDB23" s="57"/>
      <c r="RDC23" s="57"/>
      <c r="RDD23" s="57"/>
      <c r="RDE23" s="57"/>
      <c r="RDF23" s="57"/>
      <c r="RDG23" s="57"/>
      <c r="RDH23" s="57"/>
      <c r="RDI23" s="57"/>
      <c r="RDJ23" s="57"/>
      <c r="RDK23" s="57"/>
      <c r="RDL23" s="57"/>
      <c r="RDM23" s="57"/>
      <c r="RDN23" s="57"/>
      <c r="RDO23" s="57"/>
      <c r="RDP23" s="57"/>
      <c r="RDQ23" s="57"/>
      <c r="RDR23" s="57"/>
      <c r="RDS23" s="57"/>
      <c r="RDT23" s="57"/>
      <c r="RDU23" s="57"/>
      <c r="RDV23" s="57"/>
      <c r="RDW23" s="57"/>
      <c r="RDX23" s="57"/>
      <c r="RDY23" s="57"/>
      <c r="RDZ23" s="57"/>
      <c r="REA23" s="57"/>
      <c r="REB23" s="57"/>
      <c r="REC23" s="57"/>
      <c r="RED23" s="57"/>
      <c r="REE23" s="57"/>
      <c r="REF23" s="57"/>
      <c r="REG23" s="57"/>
      <c r="REH23" s="57"/>
      <c r="REI23" s="57"/>
      <c r="REJ23" s="57"/>
      <c r="REK23" s="57"/>
      <c r="REL23" s="57"/>
      <c r="REM23" s="57"/>
      <c r="REN23" s="57"/>
      <c r="REO23" s="57"/>
      <c r="REP23" s="57"/>
      <c r="REQ23" s="57"/>
      <c r="RER23" s="57"/>
      <c r="RES23" s="57"/>
      <c r="RET23" s="57"/>
      <c r="REU23" s="57"/>
      <c r="REV23" s="57"/>
      <c r="REW23" s="57"/>
      <c r="REX23" s="57"/>
      <c r="REY23" s="57"/>
      <c r="REZ23" s="57"/>
      <c r="RFA23" s="57"/>
      <c r="RFB23" s="57"/>
      <c r="RFC23" s="57"/>
      <c r="RFD23" s="57"/>
      <c r="RFE23" s="57"/>
      <c r="RFF23" s="57"/>
      <c r="RFG23" s="57"/>
      <c r="RFH23" s="57"/>
      <c r="RFI23" s="57"/>
      <c r="RFJ23" s="57"/>
      <c r="RFK23" s="57"/>
      <c r="RFL23" s="57"/>
      <c r="RFM23" s="57"/>
      <c r="RFN23" s="57"/>
      <c r="RFO23" s="57"/>
      <c r="RFP23" s="57"/>
      <c r="RFQ23" s="57"/>
      <c r="RFR23" s="57"/>
      <c r="RFS23" s="57"/>
      <c r="RFT23" s="57"/>
      <c r="RFU23" s="57"/>
      <c r="RFV23" s="57"/>
      <c r="RFW23" s="57"/>
      <c r="RFX23" s="57"/>
      <c r="RFY23" s="57"/>
      <c r="RFZ23" s="57"/>
      <c r="RGA23" s="57"/>
      <c r="RGB23" s="57"/>
      <c r="RGC23" s="57"/>
      <c r="RGD23" s="57"/>
      <c r="RGE23" s="57"/>
      <c r="RGF23" s="57"/>
      <c r="RGG23" s="57"/>
      <c r="RGH23" s="57"/>
      <c r="RGI23" s="57"/>
      <c r="RGJ23" s="57"/>
      <c r="RGK23" s="57"/>
      <c r="RGL23" s="57"/>
      <c r="RGM23" s="57"/>
      <c r="RGN23" s="57"/>
      <c r="RGO23" s="57"/>
      <c r="RGP23" s="57"/>
      <c r="RGQ23" s="57"/>
      <c r="RGR23" s="57"/>
      <c r="RGS23" s="57"/>
      <c r="RGT23" s="57"/>
      <c r="RGU23" s="57"/>
      <c r="RGV23" s="57"/>
      <c r="RGW23" s="57"/>
      <c r="RGX23" s="57"/>
      <c r="RGY23" s="57"/>
      <c r="RGZ23" s="57"/>
      <c r="RHA23" s="57"/>
      <c r="RHB23" s="57"/>
      <c r="RHC23" s="57"/>
      <c r="RHD23" s="57"/>
      <c r="RHE23" s="57"/>
      <c r="RHF23" s="57"/>
      <c r="RHG23" s="57"/>
      <c r="RHH23" s="57"/>
      <c r="RHI23" s="57"/>
      <c r="RHJ23" s="57"/>
      <c r="RHK23" s="57"/>
      <c r="RHL23" s="57"/>
      <c r="RHM23" s="57"/>
      <c r="RHN23" s="57"/>
      <c r="RHO23" s="57"/>
      <c r="RHP23" s="57"/>
      <c r="RHQ23" s="57"/>
      <c r="RHR23" s="57"/>
      <c r="RHS23" s="57"/>
      <c r="RHT23" s="57"/>
      <c r="RHU23" s="57"/>
      <c r="RHV23" s="57"/>
      <c r="RHW23" s="57"/>
      <c r="RHX23" s="57"/>
      <c r="RHY23" s="57"/>
      <c r="RHZ23" s="57"/>
      <c r="RIA23" s="57"/>
      <c r="RIB23" s="57"/>
      <c r="RIC23" s="57"/>
      <c r="RID23" s="57"/>
      <c r="RIE23" s="57"/>
      <c r="RIF23" s="57"/>
      <c r="RIG23" s="57"/>
      <c r="RIH23" s="57"/>
      <c r="RII23" s="57"/>
      <c r="RIJ23" s="57"/>
      <c r="RIK23" s="57"/>
      <c r="RIL23" s="57"/>
      <c r="RIM23" s="57"/>
      <c r="RIN23" s="57"/>
      <c r="RIO23" s="57"/>
      <c r="RIP23" s="57"/>
      <c r="RIQ23" s="57"/>
      <c r="RIR23" s="57"/>
      <c r="RIS23" s="57"/>
      <c r="RIT23" s="57"/>
      <c r="RIU23" s="57"/>
      <c r="RIV23" s="57"/>
      <c r="RIW23" s="57"/>
      <c r="RIX23" s="57"/>
      <c r="RIY23" s="57"/>
      <c r="RIZ23" s="57"/>
      <c r="RJA23" s="57"/>
      <c r="RJB23" s="57"/>
      <c r="RJC23" s="57"/>
      <c r="RJD23" s="57"/>
      <c r="RJE23" s="57"/>
      <c r="RJF23" s="57"/>
      <c r="RJG23" s="57"/>
      <c r="RJH23" s="57"/>
      <c r="RJI23" s="57"/>
      <c r="RJJ23" s="57"/>
      <c r="RJK23" s="57"/>
      <c r="RJL23" s="57"/>
      <c r="RJM23" s="57"/>
      <c r="RJN23" s="57"/>
      <c r="RJO23" s="57"/>
      <c r="RJP23" s="57"/>
      <c r="RJQ23" s="57"/>
      <c r="RJR23" s="57"/>
      <c r="RJS23" s="57"/>
      <c r="RJT23" s="57"/>
      <c r="RJU23" s="57"/>
      <c r="RJV23" s="57"/>
      <c r="RJW23" s="57"/>
      <c r="RJX23" s="57"/>
      <c r="RJY23" s="57"/>
      <c r="RJZ23" s="57"/>
      <c r="RKA23" s="57"/>
      <c r="RKB23" s="57"/>
      <c r="RKC23" s="57"/>
      <c r="RKD23" s="57"/>
      <c r="RKE23" s="57"/>
      <c r="RKF23" s="57"/>
      <c r="RKG23" s="57"/>
      <c r="RKH23" s="57"/>
      <c r="RKI23" s="57"/>
      <c r="RKJ23" s="57"/>
      <c r="RKK23" s="57"/>
      <c r="RKL23" s="57"/>
      <c r="RKM23" s="57"/>
      <c r="RKN23" s="57"/>
      <c r="RKO23" s="57"/>
      <c r="RKP23" s="57"/>
      <c r="RKQ23" s="57"/>
      <c r="RKR23" s="57"/>
      <c r="RKS23" s="57"/>
      <c r="RKT23" s="57"/>
      <c r="RKU23" s="57"/>
      <c r="RKV23" s="57"/>
      <c r="RKW23" s="57"/>
      <c r="RKX23" s="57"/>
      <c r="RKY23" s="57"/>
      <c r="RKZ23" s="57"/>
      <c r="RLA23" s="57"/>
      <c r="RLB23" s="57"/>
      <c r="RLC23" s="57"/>
      <c r="RLD23" s="57"/>
      <c r="RLE23" s="57"/>
      <c r="RLF23" s="57"/>
      <c r="RLG23" s="57"/>
      <c r="RLH23" s="57"/>
      <c r="RLI23" s="57"/>
      <c r="RLJ23" s="57"/>
      <c r="RLK23" s="57"/>
      <c r="RLL23" s="57"/>
      <c r="RLM23" s="57"/>
      <c r="RLN23" s="57"/>
      <c r="RLO23" s="57"/>
      <c r="RLP23" s="57"/>
      <c r="RLQ23" s="57"/>
      <c r="RLR23" s="57"/>
      <c r="RLS23" s="57"/>
      <c r="RLT23" s="57"/>
      <c r="RLU23" s="57"/>
      <c r="RLV23" s="57"/>
      <c r="RLW23" s="57"/>
      <c r="RLX23" s="57"/>
      <c r="RLY23" s="57"/>
      <c r="RLZ23" s="57"/>
      <c r="RMA23" s="57"/>
      <c r="RMB23" s="57"/>
      <c r="RMC23" s="57"/>
      <c r="RMD23" s="57"/>
      <c r="RME23" s="57"/>
      <c r="RMF23" s="57"/>
      <c r="RMG23" s="57"/>
      <c r="RMH23" s="57"/>
      <c r="RMI23" s="57"/>
      <c r="RMJ23" s="57"/>
      <c r="RMK23" s="57"/>
      <c r="RML23" s="57"/>
      <c r="RMM23" s="57"/>
      <c r="RMN23" s="57"/>
      <c r="RMO23" s="57"/>
      <c r="RMP23" s="57"/>
      <c r="RMQ23" s="57"/>
      <c r="RMR23" s="57"/>
      <c r="RMS23" s="57"/>
      <c r="RMT23" s="57"/>
      <c r="RMU23" s="57"/>
      <c r="RMV23" s="57"/>
      <c r="RMW23" s="57"/>
      <c r="RMX23" s="57"/>
      <c r="RMY23" s="57"/>
      <c r="RMZ23" s="57"/>
      <c r="RNA23" s="57"/>
      <c r="RNB23" s="57"/>
      <c r="RNC23" s="57"/>
      <c r="RND23" s="57"/>
      <c r="RNE23" s="57"/>
      <c r="RNF23" s="57"/>
      <c r="RNG23" s="57"/>
      <c r="RNH23" s="57"/>
      <c r="RNI23" s="57"/>
      <c r="RNJ23" s="57"/>
      <c r="RNK23" s="57"/>
      <c r="RNL23" s="57"/>
      <c r="RNM23" s="57"/>
      <c r="RNN23" s="57"/>
      <c r="RNO23" s="57"/>
      <c r="RNP23" s="57"/>
      <c r="RNQ23" s="57"/>
      <c r="RNR23" s="57"/>
      <c r="RNS23" s="57"/>
      <c r="RNT23" s="57"/>
      <c r="RNU23" s="57"/>
      <c r="RNV23" s="57"/>
      <c r="RNW23" s="57"/>
      <c r="RNX23" s="57"/>
      <c r="RNY23" s="57"/>
      <c r="RNZ23" s="57"/>
      <c r="ROA23" s="57"/>
      <c r="ROB23" s="57"/>
      <c r="ROC23" s="57"/>
      <c r="ROD23" s="57"/>
      <c r="ROE23" s="57"/>
      <c r="ROF23" s="57"/>
      <c r="ROG23" s="57"/>
      <c r="ROH23" s="57"/>
      <c r="ROI23" s="57"/>
      <c r="ROJ23" s="57"/>
      <c r="ROK23" s="57"/>
      <c r="ROL23" s="57"/>
      <c r="ROM23" s="57"/>
      <c r="RON23" s="57"/>
      <c r="ROO23" s="57"/>
      <c r="ROP23" s="57"/>
      <c r="ROQ23" s="57"/>
      <c r="ROR23" s="57"/>
      <c r="ROS23" s="57"/>
      <c r="ROT23" s="57"/>
      <c r="ROU23" s="57"/>
      <c r="ROV23" s="57"/>
      <c r="ROW23" s="57"/>
      <c r="ROX23" s="57"/>
      <c r="ROY23" s="57"/>
      <c r="ROZ23" s="57"/>
      <c r="RPA23" s="57"/>
      <c r="RPB23" s="57"/>
      <c r="RPC23" s="57"/>
      <c r="RPD23" s="57"/>
      <c r="RPE23" s="57"/>
      <c r="RPF23" s="57"/>
      <c r="RPG23" s="57"/>
      <c r="RPH23" s="57"/>
      <c r="RPI23" s="57"/>
      <c r="RPJ23" s="57"/>
      <c r="RPK23" s="57"/>
      <c r="RPL23" s="57"/>
      <c r="RPM23" s="57"/>
      <c r="RPN23" s="57"/>
      <c r="RPO23" s="57"/>
      <c r="RPP23" s="57"/>
      <c r="RPQ23" s="57"/>
      <c r="RPR23" s="57"/>
      <c r="RPS23" s="57"/>
      <c r="RPT23" s="57"/>
      <c r="RPU23" s="57"/>
      <c r="RPV23" s="57"/>
      <c r="RPW23" s="57"/>
      <c r="RPX23" s="57"/>
      <c r="RPY23" s="57"/>
      <c r="RPZ23" s="57"/>
      <c r="RQA23" s="57"/>
      <c r="RQB23" s="57"/>
      <c r="RQC23" s="57"/>
      <c r="RQD23" s="57"/>
      <c r="RQE23" s="57"/>
      <c r="RQF23" s="57"/>
      <c r="RQG23" s="57"/>
      <c r="RQH23" s="57"/>
      <c r="RQI23" s="57"/>
      <c r="RQJ23" s="57"/>
      <c r="RQK23" s="57"/>
      <c r="RQL23" s="57"/>
      <c r="RQM23" s="57"/>
      <c r="RQN23" s="57"/>
      <c r="RQO23" s="57"/>
      <c r="RQP23" s="57"/>
      <c r="RQQ23" s="57"/>
      <c r="RQR23" s="57"/>
      <c r="RQS23" s="57"/>
      <c r="RQT23" s="57"/>
      <c r="RQU23" s="57"/>
      <c r="RQV23" s="57"/>
      <c r="RQW23" s="57"/>
      <c r="RQX23" s="57"/>
      <c r="RQY23" s="57"/>
      <c r="RQZ23" s="57"/>
      <c r="RRA23" s="57"/>
      <c r="RRB23" s="57"/>
      <c r="RRC23" s="57"/>
      <c r="RRD23" s="57"/>
      <c r="RRE23" s="57"/>
      <c r="RRF23" s="57"/>
      <c r="RRG23" s="57"/>
      <c r="RRH23" s="57"/>
      <c r="RRI23" s="57"/>
      <c r="RRJ23" s="57"/>
      <c r="RRK23" s="57"/>
      <c r="RRL23" s="57"/>
      <c r="RRM23" s="57"/>
      <c r="RRN23" s="57"/>
      <c r="RRO23" s="57"/>
      <c r="RRP23" s="57"/>
      <c r="RRQ23" s="57"/>
      <c r="RRR23" s="57"/>
      <c r="RRS23" s="57"/>
      <c r="RRT23" s="57"/>
      <c r="RRU23" s="57"/>
      <c r="RRV23" s="57"/>
      <c r="RRW23" s="57"/>
      <c r="RRX23" s="57"/>
      <c r="RRY23" s="57"/>
      <c r="RRZ23" s="57"/>
      <c r="RSA23" s="57"/>
      <c r="RSB23" s="57"/>
      <c r="RSC23" s="57"/>
      <c r="RSD23" s="57"/>
      <c r="RSE23" s="57"/>
      <c r="RSF23" s="57"/>
      <c r="RSG23" s="57"/>
      <c r="RSH23" s="57"/>
      <c r="RSI23" s="57"/>
      <c r="RSJ23" s="57"/>
      <c r="RSK23" s="57"/>
      <c r="RSL23" s="57"/>
      <c r="RSM23" s="57"/>
      <c r="RSN23" s="57"/>
      <c r="RSO23" s="57"/>
      <c r="RSP23" s="57"/>
      <c r="RSQ23" s="57"/>
      <c r="RSR23" s="57"/>
      <c r="RSS23" s="57"/>
      <c r="RST23" s="57"/>
      <c r="RSU23" s="57"/>
      <c r="RSV23" s="57"/>
      <c r="RSW23" s="57"/>
      <c r="RSX23" s="57"/>
      <c r="RSY23" s="57"/>
      <c r="RSZ23" s="57"/>
      <c r="RTA23" s="57"/>
      <c r="RTB23" s="57"/>
      <c r="RTC23" s="57"/>
      <c r="RTD23" s="57"/>
      <c r="RTE23" s="57"/>
      <c r="RTF23" s="57"/>
      <c r="RTG23" s="57"/>
      <c r="RTH23" s="57"/>
      <c r="RTI23" s="57"/>
      <c r="RTJ23" s="57"/>
      <c r="RTK23" s="57"/>
      <c r="RTL23" s="57"/>
      <c r="RTM23" s="57"/>
      <c r="RTN23" s="57"/>
      <c r="RTO23" s="57"/>
      <c r="RTP23" s="57"/>
      <c r="RTQ23" s="57"/>
      <c r="RTR23" s="57"/>
      <c r="RTS23" s="57"/>
      <c r="RTT23" s="57"/>
      <c r="RTU23" s="57"/>
      <c r="RTV23" s="57"/>
      <c r="RTW23" s="57"/>
      <c r="RTX23" s="57"/>
      <c r="RTY23" s="57"/>
      <c r="RTZ23" s="57"/>
      <c r="RUA23" s="57"/>
      <c r="RUB23" s="57"/>
      <c r="RUC23" s="57"/>
      <c r="RUD23" s="57"/>
      <c r="RUE23" s="57"/>
      <c r="RUF23" s="57"/>
      <c r="RUG23" s="57"/>
      <c r="RUH23" s="57"/>
      <c r="RUI23" s="57"/>
      <c r="RUJ23" s="57"/>
      <c r="RUK23" s="57"/>
      <c r="RUL23" s="57"/>
      <c r="RUM23" s="57"/>
      <c r="RUN23" s="57"/>
      <c r="RUO23" s="57"/>
      <c r="RUP23" s="57"/>
      <c r="RUQ23" s="57"/>
      <c r="RUR23" s="57"/>
      <c r="RUS23" s="57"/>
      <c r="RUT23" s="57"/>
      <c r="RUU23" s="57"/>
      <c r="RUV23" s="57"/>
      <c r="RUW23" s="57"/>
      <c r="RUX23" s="57"/>
      <c r="RUY23" s="57"/>
      <c r="RUZ23" s="57"/>
      <c r="RVA23" s="57"/>
      <c r="RVB23" s="57"/>
      <c r="RVC23" s="57"/>
      <c r="RVD23" s="57"/>
      <c r="RVE23" s="57"/>
      <c r="RVF23" s="57"/>
      <c r="RVG23" s="57"/>
      <c r="RVH23" s="57"/>
      <c r="RVI23" s="57"/>
      <c r="RVJ23" s="57"/>
      <c r="RVK23" s="57"/>
      <c r="RVL23" s="57"/>
      <c r="RVM23" s="57"/>
      <c r="RVN23" s="57"/>
      <c r="RVO23" s="57"/>
      <c r="RVP23" s="57"/>
      <c r="RVQ23" s="57"/>
      <c r="RVR23" s="57"/>
      <c r="RVS23" s="57"/>
      <c r="RVT23" s="57"/>
      <c r="RVU23" s="57"/>
      <c r="RVV23" s="57"/>
      <c r="RVW23" s="57"/>
      <c r="RVX23" s="57"/>
      <c r="RVY23" s="57"/>
      <c r="RVZ23" s="57"/>
      <c r="RWA23" s="57"/>
      <c r="RWB23" s="57"/>
      <c r="RWC23" s="57"/>
      <c r="RWD23" s="57"/>
      <c r="RWE23" s="57"/>
      <c r="RWF23" s="57"/>
      <c r="RWG23" s="57"/>
      <c r="RWH23" s="57"/>
      <c r="RWI23" s="57"/>
      <c r="RWJ23" s="57"/>
      <c r="RWK23" s="57"/>
      <c r="RWL23" s="57"/>
      <c r="RWM23" s="57"/>
      <c r="RWN23" s="57"/>
      <c r="RWO23" s="57"/>
      <c r="RWP23" s="57"/>
      <c r="RWQ23" s="57"/>
      <c r="RWR23" s="57"/>
      <c r="RWS23" s="57"/>
      <c r="RWT23" s="57"/>
      <c r="RWU23" s="57"/>
      <c r="RWV23" s="57"/>
      <c r="RWW23" s="57"/>
      <c r="RWX23" s="57"/>
      <c r="RWY23" s="57"/>
      <c r="RWZ23" s="57"/>
      <c r="RXA23" s="57"/>
      <c r="RXB23" s="57"/>
      <c r="RXC23" s="57"/>
      <c r="RXD23" s="57"/>
      <c r="RXE23" s="57"/>
      <c r="RXF23" s="57"/>
      <c r="RXG23" s="57"/>
      <c r="RXH23" s="57"/>
      <c r="RXI23" s="57"/>
      <c r="RXJ23" s="57"/>
      <c r="RXK23" s="57"/>
      <c r="RXL23" s="57"/>
      <c r="RXM23" s="57"/>
      <c r="RXN23" s="57"/>
      <c r="RXO23" s="57"/>
      <c r="RXP23" s="57"/>
      <c r="RXQ23" s="57"/>
      <c r="RXR23" s="57"/>
      <c r="RXS23" s="57"/>
      <c r="RXT23" s="57"/>
      <c r="RXU23" s="57"/>
      <c r="RXV23" s="57"/>
      <c r="RXW23" s="57"/>
      <c r="RXX23" s="57"/>
      <c r="RXY23" s="57"/>
      <c r="RXZ23" s="57"/>
      <c r="RYA23" s="57"/>
      <c r="RYB23" s="57"/>
      <c r="RYC23" s="57"/>
      <c r="RYD23" s="57"/>
      <c r="RYE23" s="57"/>
      <c r="RYF23" s="57"/>
      <c r="RYG23" s="57"/>
      <c r="RYH23" s="57"/>
      <c r="RYI23" s="57"/>
      <c r="RYJ23" s="57"/>
      <c r="RYK23" s="57"/>
      <c r="RYL23" s="57"/>
      <c r="RYM23" s="57"/>
      <c r="RYN23" s="57"/>
      <c r="RYO23" s="57"/>
      <c r="RYP23" s="57"/>
      <c r="RYQ23" s="57"/>
      <c r="RYR23" s="57"/>
      <c r="RYS23" s="57"/>
      <c r="RYT23" s="57"/>
      <c r="RYU23" s="57"/>
      <c r="RYV23" s="57"/>
      <c r="RYW23" s="57"/>
      <c r="RYX23" s="57"/>
      <c r="RYY23" s="57"/>
      <c r="RYZ23" s="57"/>
      <c r="RZA23" s="57"/>
      <c r="RZB23" s="57"/>
      <c r="RZC23" s="57"/>
      <c r="RZD23" s="57"/>
      <c r="RZE23" s="57"/>
      <c r="RZF23" s="57"/>
      <c r="RZG23" s="57"/>
      <c r="RZH23" s="57"/>
      <c r="RZI23" s="57"/>
      <c r="RZJ23" s="57"/>
      <c r="RZK23" s="57"/>
      <c r="RZL23" s="57"/>
      <c r="RZM23" s="57"/>
      <c r="RZN23" s="57"/>
      <c r="RZO23" s="57"/>
      <c r="RZP23" s="57"/>
      <c r="RZQ23" s="57"/>
      <c r="RZR23" s="57"/>
      <c r="RZS23" s="57"/>
      <c r="RZT23" s="57"/>
      <c r="RZU23" s="57"/>
      <c r="RZV23" s="57"/>
      <c r="RZW23" s="57"/>
      <c r="RZX23" s="57"/>
      <c r="RZY23" s="57"/>
      <c r="RZZ23" s="57"/>
      <c r="SAA23" s="57"/>
      <c r="SAB23" s="57"/>
      <c r="SAC23" s="57"/>
      <c r="SAD23" s="57"/>
      <c r="SAE23" s="57"/>
      <c r="SAF23" s="57"/>
      <c r="SAG23" s="57"/>
      <c r="SAH23" s="57"/>
      <c r="SAI23" s="57"/>
      <c r="SAJ23" s="57"/>
      <c r="SAK23" s="57"/>
      <c r="SAL23" s="57"/>
      <c r="SAM23" s="57"/>
      <c r="SAN23" s="57"/>
      <c r="SAO23" s="57"/>
      <c r="SAP23" s="57"/>
      <c r="SAQ23" s="57"/>
      <c r="SAR23" s="57"/>
      <c r="SAS23" s="57"/>
      <c r="SAT23" s="57"/>
      <c r="SAU23" s="57"/>
      <c r="SAV23" s="57"/>
      <c r="SAW23" s="57"/>
      <c r="SAX23" s="57"/>
      <c r="SAY23" s="57"/>
      <c r="SAZ23" s="57"/>
      <c r="SBA23" s="57"/>
      <c r="SBB23" s="57"/>
      <c r="SBC23" s="57"/>
      <c r="SBD23" s="57"/>
      <c r="SBE23" s="57"/>
      <c r="SBF23" s="57"/>
      <c r="SBG23" s="57"/>
      <c r="SBH23" s="57"/>
      <c r="SBI23" s="57"/>
      <c r="SBJ23" s="57"/>
      <c r="SBK23" s="57"/>
      <c r="SBL23" s="57"/>
      <c r="SBM23" s="57"/>
      <c r="SBN23" s="57"/>
      <c r="SBO23" s="57"/>
      <c r="SBP23" s="57"/>
      <c r="SBQ23" s="57"/>
      <c r="SBR23" s="57"/>
      <c r="SBS23" s="57"/>
      <c r="SBT23" s="57"/>
      <c r="SBU23" s="57"/>
      <c r="SBV23" s="57"/>
      <c r="SBW23" s="57"/>
      <c r="SBX23" s="57"/>
      <c r="SBY23" s="57"/>
      <c r="SBZ23" s="57"/>
      <c r="SCA23" s="57"/>
      <c r="SCB23" s="57"/>
      <c r="SCC23" s="57"/>
      <c r="SCD23" s="57"/>
      <c r="SCE23" s="57"/>
      <c r="SCF23" s="57"/>
      <c r="SCG23" s="57"/>
      <c r="SCH23" s="57"/>
      <c r="SCI23" s="57"/>
      <c r="SCJ23" s="57"/>
      <c r="SCK23" s="57"/>
      <c r="SCL23" s="57"/>
      <c r="SCM23" s="57"/>
      <c r="SCN23" s="57"/>
      <c r="SCO23" s="57"/>
      <c r="SCP23" s="57"/>
      <c r="SCQ23" s="57"/>
      <c r="SCR23" s="57"/>
      <c r="SCS23" s="57"/>
      <c r="SCT23" s="57"/>
      <c r="SCU23" s="57"/>
      <c r="SCV23" s="57"/>
      <c r="SCW23" s="57"/>
      <c r="SCX23" s="57"/>
      <c r="SCY23" s="57"/>
      <c r="SCZ23" s="57"/>
      <c r="SDA23" s="57"/>
      <c r="SDB23" s="57"/>
      <c r="SDC23" s="57"/>
      <c r="SDD23" s="57"/>
      <c r="SDE23" s="57"/>
      <c r="SDF23" s="57"/>
      <c r="SDG23" s="57"/>
      <c r="SDH23" s="57"/>
      <c r="SDI23" s="57"/>
      <c r="SDJ23" s="57"/>
      <c r="SDK23" s="57"/>
      <c r="SDL23" s="57"/>
      <c r="SDM23" s="57"/>
      <c r="SDN23" s="57"/>
      <c r="SDO23" s="57"/>
      <c r="SDP23" s="57"/>
      <c r="SDQ23" s="57"/>
      <c r="SDR23" s="57"/>
      <c r="SDS23" s="57"/>
      <c r="SDT23" s="57"/>
      <c r="SDU23" s="57"/>
      <c r="SDV23" s="57"/>
      <c r="SDW23" s="57"/>
      <c r="SDX23" s="57"/>
      <c r="SDY23" s="57"/>
      <c r="SDZ23" s="57"/>
      <c r="SEA23" s="57"/>
      <c r="SEB23" s="57"/>
      <c r="SEC23" s="57"/>
      <c r="SED23" s="57"/>
      <c r="SEE23" s="57"/>
      <c r="SEF23" s="57"/>
      <c r="SEG23" s="57"/>
      <c r="SEH23" s="57"/>
      <c r="SEI23" s="57"/>
      <c r="SEJ23" s="57"/>
      <c r="SEK23" s="57"/>
      <c r="SEL23" s="57"/>
      <c r="SEM23" s="57"/>
      <c r="SEN23" s="57"/>
      <c r="SEO23" s="57"/>
      <c r="SEP23" s="57"/>
      <c r="SEQ23" s="57"/>
      <c r="SER23" s="57"/>
      <c r="SES23" s="57"/>
      <c r="SET23" s="57"/>
      <c r="SEU23" s="57"/>
      <c r="SEV23" s="57"/>
      <c r="SEW23" s="57"/>
      <c r="SEX23" s="57"/>
      <c r="SEY23" s="57"/>
      <c r="SEZ23" s="57"/>
      <c r="SFA23" s="57"/>
      <c r="SFB23" s="57"/>
      <c r="SFC23" s="57"/>
      <c r="SFD23" s="57"/>
      <c r="SFE23" s="57"/>
      <c r="SFF23" s="57"/>
      <c r="SFG23" s="57"/>
      <c r="SFH23" s="57"/>
      <c r="SFI23" s="57"/>
      <c r="SFJ23" s="57"/>
      <c r="SFK23" s="57"/>
      <c r="SFL23" s="57"/>
      <c r="SFM23" s="57"/>
      <c r="SFN23" s="57"/>
      <c r="SFO23" s="57"/>
      <c r="SFP23" s="57"/>
      <c r="SFQ23" s="57"/>
      <c r="SFR23" s="57"/>
      <c r="SFS23" s="57"/>
      <c r="SFT23" s="57"/>
      <c r="SFU23" s="57"/>
      <c r="SFV23" s="57"/>
      <c r="SFW23" s="57"/>
      <c r="SFX23" s="57"/>
      <c r="SFY23" s="57"/>
      <c r="SFZ23" s="57"/>
      <c r="SGA23" s="57"/>
      <c r="SGB23" s="57"/>
      <c r="SGC23" s="57"/>
      <c r="SGD23" s="57"/>
      <c r="SGE23" s="57"/>
      <c r="SGF23" s="57"/>
      <c r="SGG23" s="57"/>
      <c r="SGH23" s="57"/>
      <c r="SGI23" s="57"/>
      <c r="SGJ23" s="57"/>
      <c r="SGK23" s="57"/>
      <c r="SGL23" s="57"/>
      <c r="SGM23" s="57"/>
      <c r="SGN23" s="57"/>
      <c r="SGO23" s="57"/>
      <c r="SGP23" s="57"/>
      <c r="SGQ23" s="57"/>
      <c r="SGR23" s="57"/>
      <c r="SGS23" s="57"/>
      <c r="SGT23" s="57"/>
      <c r="SGU23" s="57"/>
      <c r="SGV23" s="57"/>
      <c r="SGW23" s="57"/>
      <c r="SGX23" s="57"/>
      <c r="SGY23" s="57"/>
      <c r="SGZ23" s="57"/>
      <c r="SHA23" s="57"/>
      <c r="SHB23" s="57"/>
      <c r="SHC23" s="57"/>
      <c r="SHD23" s="57"/>
      <c r="SHE23" s="57"/>
      <c r="SHF23" s="57"/>
      <c r="SHG23" s="57"/>
      <c r="SHH23" s="57"/>
      <c r="SHI23" s="57"/>
      <c r="SHJ23" s="57"/>
      <c r="SHK23" s="57"/>
      <c r="SHL23" s="57"/>
      <c r="SHM23" s="57"/>
      <c r="SHN23" s="57"/>
      <c r="SHO23" s="57"/>
      <c r="SHP23" s="57"/>
      <c r="SHQ23" s="57"/>
      <c r="SHR23" s="57"/>
      <c r="SHS23" s="57"/>
      <c r="SHT23" s="57"/>
      <c r="SHU23" s="57"/>
      <c r="SHV23" s="57"/>
      <c r="SHW23" s="57"/>
      <c r="SHX23" s="57"/>
      <c r="SHY23" s="57"/>
      <c r="SHZ23" s="57"/>
      <c r="SIA23" s="57"/>
      <c r="SIB23" s="57"/>
      <c r="SIC23" s="57"/>
      <c r="SID23" s="57"/>
      <c r="SIE23" s="57"/>
      <c r="SIF23" s="57"/>
      <c r="SIG23" s="57"/>
      <c r="SIH23" s="57"/>
      <c r="SII23" s="57"/>
      <c r="SIJ23" s="57"/>
      <c r="SIK23" s="57"/>
      <c r="SIL23" s="57"/>
      <c r="SIM23" s="57"/>
      <c r="SIN23" s="57"/>
      <c r="SIO23" s="57"/>
      <c r="SIP23" s="57"/>
      <c r="SIQ23" s="57"/>
      <c r="SIR23" s="57"/>
      <c r="SIS23" s="57"/>
      <c r="SIT23" s="57"/>
      <c r="SIU23" s="57"/>
      <c r="SIV23" s="57"/>
      <c r="SIW23" s="57"/>
      <c r="SIX23" s="57"/>
      <c r="SIY23" s="57"/>
      <c r="SIZ23" s="57"/>
      <c r="SJA23" s="57"/>
      <c r="SJB23" s="57"/>
      <c r="SJC23" s="57"/>
      <c r="SJD23" s="57"/>
      <c r="SJE23" s="57"/>
      <c r="SJF23" s="57"/>
      <c r="SJG23" s="57"/>
      <c r="SJH23" s="57"/>
      <c r="SJI23" s="57"/>
      <c r="SJJ23" s="57"/>
      <c r="SJK23" s="57"/>
      <c r="SJL23" s="57"/>
      <c r="SJM23" s="57"/>
      <c r="SJN23" s="57"/>
      <c r="SJO23" s="57"/>
      <c r="SJP23" s="57"/>
      <c r="SJQ23" s="57"/>
      <c r="SJR23" s="57"/>
      <c r="SJS23" s="57"/>
      <c r="SJT23" s="57"/>
      <c r="SJU23" s="57"/>
      <c r="SJV23" s="57"/>
      <c r="SJW23" s="57"/>
      <c r="SJX23" s="57"/>
      <c r="SJY23" s="57"/>
      <c r="SJZ23" s="57"/>
      <c r="SKA23" s="57"/>
      <c r="SKB23" s="57"/>
      <c r="SKC23" s="57"/>
      <c r="SKD23" s="57"/>
      <c r="SKE23" s="57"/>
      <c r="SKF23" s="57"/>
      <c r="SKG23" s="57"/>
      <c r="SKH23" s="57"/>
      <c r="SKI23" s="57"/>
      <c r="SKJ23" s="57"/>
      <c r="SKK23" s="57"/>
      <c r="SKL23" s="57"/>
      <c r="SKM23" s="57"/>
      <c r="SKN23" s="57"/>
      <c r="SKO23" s="57"/>
      <c r="SKP23" s="57"/>
      <c r="SKQ23" s="57"/>
      <c r="SKR23" s="57"/>
      <c r="SKS23" s="57"/>
      <c r="SKT23" s="57"/>
      <c r="SKU23" s="57"/>
      <c r="SKV23" s="57"/>
      <c r="SKW23" s="57"/>
      <c r="SKX23" s="57"/>
      <c r="SKY23" s="57"/>
      <c r="SKZ23" s="57"/>
      <c r="SLA23" s="57"/>
      <c r="SLB23" s="57"/>
      <c r="SLC23" s="57"/>
      <c r="SLD23" s="57"/>
      <c r="SLE23" s="57"/>
      <c r="SLF23" s="57"/>
      <c r="SLG23" s="57"/>
      <c r="SLH23" s="57"/>
      <c r="SLI23" s="57"/>
      <c r="SLJ23" s="57"/>
      <c r="SLK23" s="57"/>
      <c r="SLL23" s="57"/>
      <c r="SLM23" s="57"/>
      <c r="SLN23" s="57"/>
      <c r="SLO23" s="57"/>
      <c r="SLP23" s="57"/>
      <c r="SLQ23" s="57"/>
      <c r="SLR23" s="57"/>
      <c r="SLS23" s="57"/>
      <c r="SLT23" s="57"/>
      <c r="SLU23" s="57"/>
      <c r="SLV23" s="57"/>
      <c r="SLW23" s="57"/>
      <c r="SLX23" s="57"/>
      <c r="SLY23" s="57"/>
      <c r="SLZ23" s="57"/>
      <c r="SMA23" s="57"/>
      <c r="SMB23" s="57"/>
      <c r="SMC23" s="57"/>
      <c r="SMD23" s="57"/>
      <c r="SME23" s="57"/>
      <c r="SMF23" s="57"/>
      <c r="SMG23" s="57"/>
      <c r="SMH23" s="57"/>
      <c r="SMI23" s="57"/>
      <c r="SMJ23" s="57"/>
      <c r="SMK23" s="57"/>
      <c r="SML23" s="57"/>
      <c r="SMM23" s="57"/>
      <c r="SMN23" s="57"/>
      <c r="SMO23" s="57"/>
      <c r="SMP23" s="57"/>
      <c r="SMQ23" s="57"/>
      <c r="SMR23" s="57"/>
      <c r="SMS23" s="57"/>
      <c r="SMT23" s="57"/>
      <c r="SMU23" s="57"/>
      <c r="SMV23" s="57"/>
      <c r="SMW23" s="57"/>
      <c r="SMX23" s="57"/>
      <c r="SMY23" s="57"/>
      <c r="SMZ23" s="57"/>
      <c r="SNA23" s="57"/>
      <c r="SNB23" s="57"/>
      <c r="SNC23" s="57"/>
      <c r="SND23" s="57"/>
      <c r="SNE23" s="57"/>
      <c r="SNF23" s="57"/>
      <c r="SNG23" s="57"/>
      <c r="SNH23" s="57"/>
      <c r="SNI23" s="57"/>
      <c r="SNJ23" s="57"/>
      <c r="SNK23" s="57"/>
      <c r="SNL23" s="57"/>
      <c r="SNM23" s="57"/>
      <c r="SNN23" s="57"/>
      <c r="SNO23" s="57"/>
      <c r="SNP23" s="57"/>
      <c r="SNQ23" s="57"/>
      <c r="SNR23" s="57"/>
      <c r="SNS23" s="57"/>
      <c r="SNT23" s="57"/>
      <c r="SNU23" s="57"/>
      <c r="SNV23" s="57"/>
      <c r="SNW23" s="57"/>
      <c r="SNX23" s="57"/>
      <c r="SNY23" s="57"/>
      <c r="SNZ23" s="57"/>
      <c r="SOA23" s="57"/>
      <c r="SOB23" s="57"/>
      <c r="SOC23" s="57"/>
      <c r="SOD23" s="57"/>
      <c r="SOE23" s="57"/>
      <c r="SOF23" s="57"/>
      <c r="SOG23" s="57"/>
      <c r="SOH23" s="57"/>
      <c r="SOI23" s="57"/>
      <c r="SOJ23" s="57"/>
      <c r="SOK23" s="57"/>
      <c r="SOL23" s="57"/>
      <c r="SOM23" s="57"/>
      <c r="SON23" s="57"/>
      <c r="SOO23" s="57"/>
      <c r="SOP23" s="57"/>
      <c r="SOQ23" s="57"/>
      <c r="SOR23" s="57"/>
      <c r="SOS23" s="57"/>
      <c r="SOT23" s="57"/>
      <c r="SOU23" s="57"/>
      <c r="SOV23" s="57"/>
      <c r="SOW23" s="57"/>
      <c r="SOX23" s="57"/>
      <c r="SOY23" s="57"/>
      <c r="SOZ23" s="57"/>
      <c r="SPA23" s="57"/>
      <c r="SPB23" s="57"/>
      <c r="SPC23" s="57"/>
      <c r="SPD23" s="57"/>
      <c r="SPE23" s="57"/>
      <c r="SPF23" s="57"/>
      <c r="SPG23" s="57"/>
      <c r="SPH23" s="57"/>
      <c r="SPI23" s="57"/>
      <c r="SPJ23" s="57"/>
      <c r="SPK23" s="57"/>
      <c r="SPL23" s="57"/>
      <c r="SPM23" s="57"/>
      <c r="SPN23" s="57"/>
      <c r="SPO23" s="57"/>
      <c r="SPP23" s="57"/>
      <c r="SPQ23" s="57"/>
      <c r="SPR23" s="57"/>
      <c r="SPS23" s="57"/>
      <c r="SPT23" s="57"/>
      <c r="SPU23" s="57"/>
      <c r="SPV23" s="57"/>
      <c r="SPW23" s="57"/>
      <c r="SPX23" s="57"/>
      <c r="SPY23" s="57"/>
      <c r="SPZ23" s="57"/>
      <c r="SQA23" s="57"/>
      <c r="SQB23" s="57"/>
      <c r="SQC23" s="57"/>
      <c r="SQD23" s="57"/>
      <c r="SQE23" s="57"/>
      <c r="SQF23" s="57"/>
      <c r="SQG23" s="57"/>
      <c r="SQH23" s="57"/>
      <c r="SQI23" s="57"/>
      <c r="SQJ23" s="57"/>
      <c r="SQK23" s="57"/>
      <c r="SQL23" s="57"/>
      <c r="SQM23" s="57"/>
      <c r="SQN23" s="57"/>
      <c r="SQO23" s="57"/>
      <c r="SQP23" s="57"/>
      <c r="SQQ23" s="57"/>
      <c r="SQR23" s="57"/>
      <c r="SQS23" s="57"/>
      <c r="SQT23" s="57"/>
      <c r="SQU23" s="57"/>
      <c r="SQV23" s="57"/>
      <c r="SQW23" s="57"/>
      <c r="SQX23" s="57"/>
      <c r="SQY23" s="57"/>
      <c r="SQZ23" s="57"/>
      <c r="SRA23" s="57"/>
      <c r="SRB23" s="57"/>
      <c r="SRC23" s="57"/>
      <c r="SRD23" s="57"/>
      <c r="SRE23" s="57"/>
      <c r="SRF23" s="57"/>
      <c r="SRG23" s="57"/>
      <c r="SRH23" s="57"/>
      <c r="SRI23" s="57"/>
      <c r="SRJ23" s="57"/>
      <c r="SRK23" s="57"/>
      <c r="SRL23" s="57"/>
      <c r="SRM23" s="57"/>
      <c r="SRN23" s="57"/>
      <c r="SRO23" s="57"/>
      <c r="SRP23" s="57"/>
      <c r="SRQ23" s="57"/>
      <c r="SRR23" s="57"/>
      <c r="SRS23" s="57"/>
      <c r="SRT23" s="57"/>
      <c r="SRU23" s="57"/>
      <c r="SRV23" s="57"/>
      <c r="SRW23" s="57"/>
      <c r="SRX23" s="57"/>
      <c r="SRY23" s="57"/>
      <c r="SRZ23" s="57"/>
      <c r="SSA23" s="57"/>
      <c r="SSB23" s="57"/>
      <c r="SSC23" s="57"/>
      <c r="SSD23" s="57"/>
      <c r="SSE23" s="57"/>
      <c r="SSF23" s="57"/>
      <c r="SSG23" s="57"/>
      <c r="SSH23" s="57"/>
      <c r="SSI23" s="57"/>
      <c r="SSJ23" s="57"/>
      <c r="SSK23" s="57"/>
      <c r="SSL23" s="57"/>
      <c r="SSM23" s="57"/>
      <c r="SSN23" s="57"/>
      <c r="SSO23" s="57"/>
      <c r="SSP23" s="57"/>
      <c r="SSQ23" s="57"/>
      <c r="SSR23" s="57"/>
      <c r="SSS23" s="57"/>
      <c r="SST23" s="57"/>
      <c r="SSU23" s="57"/>
      <c r="SSV23" s="57"/>
      <c r="SSW23" s="57"/>
      <c r="SSX23" s="57"/>
      <c r="SSY23" s="57"/>
      <c r="SSZ23" s="57"/>
      <c r="STA23" s="57"/>
      <c r="STB23" s="57"/>
      <c r="STC23" s="57"/>
      <c r="STD23" s="57"/>
      <c r="STE23" s="57"/>
      <c r="STF23" s="57"/>
      <c r="STG23" s="57"/>
      <c r="STH23" s="57"/>
      <c r="STI23" s="57"/>
      <c r="STJ23" s="57"/>
      <c r="STK23" s="57"/>
      <c r="STL23" s="57"/>
      <c r="STM23" s="57"/>
      <c r="STN23" s="57"/>
      <c r="STO23" s="57"/>
      <c r="STP23" s="57"/>
      <c r="STQ23" s="57"/>
      <c r="STR23" s="57"/>
      <c r="STS23" s="57"/>
      <c r="STT23" s="57"/>
      <c r="STU23" s="57"/>
      <c r="STV23" s="57"/>
      <c r="STW23" s="57"/>
      <c r="STX23" s="57"/>
      <c r="STY23" s="57"/>
      <c r="STZ23" s="57"/>
      <c r="SUA23" s="57"/>
      <c r="SUB23" s="57"/>
      <c r="SUC23" s="57"/>
      <c r="SUD23" s="57"/>
      <c r="SUE23" s="57"/>
      <c r="SUF23" s="57"/>
      <c r="SUG23" s="57"/>
      <c r="SUH23" s="57"/>
      <c r="SUI23" s="57"/>
      <c r="SUJ23" s="57"/>
      <c r="SUK23" s="57"/>
      <c r="SUL23" s="57"/>
      <c r="SUM23" s="57"/>
      <c r="SUN23" s="57"/>
      <c r="SUO23" s="57"/>
      <c r="SUP23" s="57"/>
      <c r="SUQ23" s="57"/>
      <c r="SUR23" s="57"/>
      <c r="SUS23" s="57"/>
      <c r="SUT23" s="57"/>
      <c r="SUU23" s="57"/>
      <c r="SUV23" s="57"/>
      <c r="SUW23" s="57"/>
      <c r="SUX23" s="57"/>
      <c r="SUY23" s="57"/>
      <c r="SUZ23" s="57"/>
      <c r="SVA23" s="57"/>
      <c r="SVB23" s="57"/>
      <c r="SVC23" s="57"/>
      <c r="SVD23" s="57"/>
      <c r="SVE23" s="57"/>
      <c r="SVF23" s="57"/>
      <c r="SVG23" s="57"/>
      <c r="SVH23" s="57"/>
      <c r="SVI23" s="57"/>
      <c r="SVJ23" s="57"/>
      <c r="SVK23" s="57"/>
      <c r="SVL23" s="57"/>
      <c r="SVM23" s="57"/>
      <c r="SVN23" s="57"/>
      <c r="SVO23" s="57"/>
      <c r="SVP23" s="57"/>
      <c r="SVQ23" s="57"/>
      <c r="SVR23" s="57"/>
      <c r="SVS23" s="57"/>
      <c r="SVT23" s="57"/>
      <c r="SVU23" s="57"/>
      <c r="SVV23" s="57"/>
      <c r="SVW23" s="57"/>
      <c r="SVX23" s="57"/>
      <c r="SVY23" s="57"/>
      <c r="SVZ23" s="57"/>
      <c r="SWA23" s="57"/>
      <c r="SWB23" s="57"/>
      <c r="SWC23" s="57"/>
      <c r="SWD23" s="57"/>
      <c r="SWE23" s="57"/>
      <c r="SWF23" s="57"/>
      <c r="SWG23" s="57"/>
      <c r="SWH23" s="57"/>
      <c r="SWI23" s="57"/>
      <c r="SWJ23" s="57"/>
      <c r="SWK23" s="57"/>
      <c r="SWL23" s="57"/>
      <c r="SWM23" s="57"/>
      <c r="SWN23" s="57"/>
      <c r="SWO23" s="57"/>
      <c r="SWP23" s="57"/>
      <c r="SWQ23" s="57"/>
      <c r="SWR23" s="57"/>
      <c r="SWS23" s="57"/>
      <c r="SWT23" s="57"/>
      <c r="SWU23" s="57"/>
      <c r="SWV23" s="57"/>
      <c r="SWW23" s="57"/>
      <c r="SWX23" s="57"/>
      <c r="SWY23" s="57"/>
      <c r="SWZ23" s="57"/>
      <c r="SXA23" s="57"/>
      <c r="SXB23" s="57"/>
      <c r="SXC23" s="57"/>
      <c r="SXD23" s="57"/>
      <c r="SXE23" s="57"/>
      <c r="SXF23" s="57"/>
      <c r="SXG23" s="57"/>
      <c r="SXH23" s="57"/>
      <c r="SXI23" s="57"/>
      <c r="SXJ23" s="57"/>
      <c r="SXK23" s="57"/>
      <c r="SXL23" s="57"/>
      <c r="SXM23" s="57"/>
      <c r="SXN23" s="57"/>
      <c r="SXO23" s="57"/>
      <c r="SXP23" s="57"/>
      <c r="SXQ23" s="57"/>
      <c r="SXR23" s="57"/>
      <c r="SXS23" s="57"/>
      <c r="SXT23" s="57"/>
      <c r="SXU23" s="57"/>
      <c r="SXV23" s="57"/>
      <c r="SXW23" s="57"/>
      <c r="SXX23" s="57"/>
      <c r="SXY23" s="57"/>
      <c r="SXZ23" s="57"/>
      <c r="SYA23" s="57"/>
      <c r="SYB23" s="57"/>
      <c r="SYC23" s="57"/>
      <c r="SYD23" s="57"/>
      <c r="SYE23" s="57"/>
      <c r="SYF23" s="57"/>
      <c r="SYG23" s="57"/>
      <c r="SYH23" s="57"/>
      <c r="SYI23" s="57"/>
      <c r="SYJ23" s="57"/>
      <c r="SYK23" s="57"/>
      <c r="SYL23" s="57"/>
      <c r="SYM23" s="57"/>
      <c r="SYN23" s="57"/>
      <c r="SYO23" s="57"/>
      <c r="SYP23" s="57"/>
      <c r="SYQ23" s="57"/>
      <c r="SYR23" s="57"/>
      <c r="SYS23" s="57"/>
      <c r="SYT23" s="57"/>
      <c r="SYU23" s="57"/>
      <c r="SYV23" s="57"/>
      <c r="SYW23" s="57"/>
      <c r="SYX23" s="57"/>
      <c r="SYY23" s="57"/>
      <c r="SYZ23" s="57"/>
      <c r="SZA23" s="57"/>
      <c r="SZB23" s="57"/>
      <c r="SZC23" s="57"/>
      <c r="SZD23" s="57"/>
      <c r="SZE23" s="57"/>
      <c r="SZF23" s="57"/>
      <c r="SZG23" s="57"/>
      <c r="SZH23" s="57"/>
      <c r="SZI23" s="57"/>
      <c r="SZJ23" s="57"/>
      <c r="SZK23" s="57"/>
      <c r="SZL23" s="57"/>
      <c r="SZM23" s="57"/>
      <c r="SZN23" s="57"/>
      <c r="SZO23" s="57"/>
      <c r="SZP23" s="57"/>
      <c r="SZQ23" s="57"/>
      <c r="SZR23" s="57"/>
      <c r="SZS23" s="57"/>
      <c r="SZT23" s="57"/>
      <c r="SZU23" s="57"/>
      <c r="SZV23" s="57"/>
      <c r="SZW23" s="57"/>
      <c r="SZX23" s="57"/>
      <c r="SZY23" s="57"/>
      <c r="SZZ23" s="57"/>
      <c r="TAA23" s="57"/>
      <c r="TAB23" s="57"/>
      <c r="TAC23" s="57"/>
      <c r="TAD23" s="57"/>
      <c r="TAE23" s="57"/>
      <c r="TAF23" s="57"/>
      <c r="TAG23" s="57"/>
      <c r="TAH23" s="57"/>
      <c r="TAI23" s="57"/>
      <c r="TAJ23" s="57"/>
      <c r="TAK23" s="57"/>
      <c r="TAL23" s="57"/>
      <c r="TAM23" s="57"/>
      <c r="TAN23" s="57"/>
      <c r="TAO23" s="57"/>
      <c r="TAP23" s="57"/>
      <c r="TAQ23" s="57"/>
      <c r="TAR23" s="57"/>
      <c r="TAS23" s="57"/>
      <c r="TAT23" s="57"/>
      <c r="TAU23" s="57"/>
      <c r="TAV23" s="57"/>
      <c r="TAW23" s="57"/>
      <c r="TAX23" s="57"/>
      <c r="TAY23" s="57"/>
      <c r="TAZ23" s="57"/>
      <c r="TBA23" s="57"/>
      <c r="TBB23" s="57"/>
      <c r="TBC23" s="57"/>
      <c r="TBD23" s="57"/>
      <c r="TBE23" s="57"/>
      <c r="TBF23" s="57"/>
      <c r="TBG23" s="57"/>
      <c r="TBH23" s="57"/>
      <c r="TBI23" s="57"/>
      <c r="TBJ23" s="57"/>
      <c r="TBK23" s="57"/>
      <c r="TBL23" s="57"/>
      <c r="TBM23" s="57"/>
      <c r="TBN23" s="57"/>
      <c r="TBO23" s="57"/>
      <c r="TBP23" s="57"/>
      <c r="TBQ23" s="57"/>
      <c r="TBR23" s="57"/>
      <c r="TBS23" s="57"/>
      <c r="TBT23" s="57"/>
      <c r="TBU23" s="57"/>
      <c r="TBV23" s="57"/>
      <c r="TBW23" s="57"/>
      <c r="TBX23" s="57"/>
      <c r="TBY23" s="57"/>
      <c r="TBZ23" s="57"/>
      <c r="TCA23" s="57"/>
      <c r="TCB23" s="57"/>
      <c r="TCC23" s="57"/>
      <c r="TCD23" s="57"/>
      <c r="TCE23" s="57"/>
      <c r="TCF23" s="57"/>
      <c r="TCG23" s="57"/>
      <c r="TCH23" s="57"/>
      <c r="TCI23" s="57"/>
      <c r="TCJ23" s="57"/>
      <c r="TCK23" s="57"/>
      <c r="TCL23" s="57"/>
      <c r="TCM23" s="57"/>
      <c r="TCN23" s="57"/>
      <c r="TCO23" s="57"/>
      <c r="TCP23" s="57"/>
      <c r="TCQ23" s="57"/>
      <c r="TCR23" s="57"/>
      <c r="TCS23" s="57"/>
      <c r="TCT23" s="57"/>
      <c r="TCU23" s="57"/>
      <c r="TCV23" s="57"/>
      <c r="TCW23" s="57"/>
      <c r="TCX23" s="57"/>
      <c r="TCY23" s="57"/>
      <c r="TCZ23" s="57"/>
      <c r="TDA23" s="57"/>
      <c r="TDB23" s="57"/>
      <c r="TDC23" s="57"/>
      <c r="TDD23" s="57"/>
      <c r="TDE23" s="57"/>
      <c r="TDF23" s="57"/>
      <c r="TDG23" s="57"/>
      <c r="TDH23" s="57"/>
      <c r="TDI23" s="57"/>
      <c r="TDJ23" s="57"/>
      <c r="TDK23" s="57"/>
      <c r="TDL23" s="57"/>
      <c r="TDM23" s="57"/>
      <c r="TDN23" s="57"/>
      <c r="TDO23" s="57"/>
      <c r="TDP23" s="57"/>
      <c r="TDQ23" s="57"/>
      <c r="TDR23" s="57"/>
      <c r="TDS23" s="57"/>
      <c r="TDT23" s="57"/>
      <c r="TDU23" s="57"/>
      <c r="TDV23" s="57"/>
      <c r="TDW23" s="57"/>
      <c r="TDX23" s="57"/>
      <c r="TDY23" s="57"/>
      <c r="TDZ23" s="57"/>
      <c r="TEA23" s="57"/>
      <c r="TEB23" s="57"/>
      <c r="TEC23" s="57"/>
      <c r="TED23" s="57"/>
      <c r="TEE23" s="57"/>
      <c r="TEF23" s="57"/>
      <c r="TEG23" s="57"/>
      <c r="TEH23" s="57"/>
      <c r="TEI23" s="57"/>
      <c r="TEJ23" s="57"/>
      <c r="TEK23" s="57"/>
      <c r="TEL23" s="57"/>
      <c r="TEM23" s="57"/>
      <c r="TEN23" s="57"/>
      <c r="TEO23" s="57"/>
      <c r="TEP23" s="57"/>
      <c r="TEQ23" s="57"/>
      <c r="TER23" s="57"/>
      <c r="TES23" s="57"/>
      <c r="TET23" s="57"/>
      <c r="TEU23" s="57"/>
      <c r="TEV23" s="57"/>
      <c r="TEW23" s="57"/>
      <c r="TEX23" s="57"/>
      <c r="TEY23" s="57"/>
      <c r="TEZ23" s="57"/>
      <c r="TFA23" s="57"/>
      <c r="TFB23" s="57"/>
      <c r="TFC23" s="57"/>
      <c r="TFD23" s="57"/>
      <c r="TFE23" s="57"/>
      <c r="TFF23" s="57"/>
      <c r="TFG23" s="57"/>
      <c r="TFH23" s="57"/>
      <c r="TFI23" s="57"/>
      <c r="TFJ23" s="57"/>
      <c r="TFK23" s="57"/>
      <c r="TFL23" s="57"/>
      <c r="TFM23" s="57"/>
      <c r="TFN23" s="57"/>
      <c r="TFO23" s="57"/>
      <c r="TFP23" s="57"/>
      <c r="TFQ23" s="57"/>
      <c r="TFR23" s="57"/>
      <c r="TFS23" s="57"/>
      <c r="TFT23" s="57"/>
      <c r="TFU23" s="57"/>
      <c r="TFV23" s="57"/>
      <c r="TFW23" s="57"/>
      <c r="TFX23" s="57"/>
      <c r="TFY23" s="57"/>
      <c r="TFZ23" s="57"/>
      <c r="TGA23" s="57"/>
      <c r="TGB23" s="57"/>
      <c r="TGC23" s="57"/>
      <c r="TGD23" s="57"/>
      <c r="TGE23" s="57"/>
      <c r="TGF23" s="57"/>
      <c r="TGG23" s="57"/>
      <c r="TGH23" s="57"/>
      <c r="TGI23" s="57"/>
      <c r="TGJ23" s="57"/>
      <c r="TGK23" s="57"/>
      <c r="TGL23" s="57"/>
      <c r="TGM23" s="57"/>
      <c r="TGN23" s="57"/>
      <c r="TGO23" s="57"/>
      <c r="TGP23" s="57"/>
      <c r="TGQ23" s="57"/>
      <c r="TGR23" s="57"/>
      <c r="TGS23" s="57"/>
      <c r="TGT23" s="57"/>
      <c r="TGU23" s="57"/>
      <c r="TGV23" s="57"/>
      <c r="TGW23" s="57"/>
      <c r="TGX23" s="57"/>
      <c r="TGY23" s="57"/>
      <c r="TGZ23" s="57"/>
      <c r="THA23" s="57"/>
      <c r="THB23" s="57"/>
      <c r="THC23" s="57"/>
      <c r="THD23" s="57"/>
      <c r="THE23" s="57"/>
      <c r="THF23" s="57"/>
      <c r="THG23" s="57"/>
      <c r="THH23" s="57"/>
      <c r="THI23" s="57"/>
      <c r="THJ23" s="57"/>
      <c r="THK23" s="57"/>
      <c r="THL23" s="57"/>
      <c r="THM23" s="57"/>
      <c r="THN23" s="57"/>
      <c r="THO23" s="57"/>
      <c r="THP23" s="57"/>
      <c r="THQ23" s="57"/>
      <c r="THR23" s="57"/>
      <c r="THS23" s="57"/>
      <c r="THT23" s="57"/>
      <c r="THU23" s="57"/>
      <c r="THV23" s="57"/>
      <c r="THW23" s="57"/>
      <c r="THX23" s="57"/>
      <c r="THY23" s="57"/>
      <c r="THZ23" s="57"/>
      <c r="TIA23" s="57"/>
      <c r="TIB23" s="57"/>
      <c r="TIC23" s="57"/>
      <c r="TID23" s="57"/>
      <c r="TIE23" s="57"/>
      <c r="TIF23" s="57"/>
      <c r="TIG23" s="57"/>
      <c r="TIH23" s="57"/>
      <c r="TII23" s="57"/>
      <c r="TIJ23" s="57"/>
      <c r="TIK23" s="57"/>
      <c r="TIL23" s="57"/>
      <c r="TIM23" s="57"/>
      <c r="TIN23" s="57"/>
      <c r="TIO23" s="57"/>
      <c r="TIP23" s="57"/>
      <c r="TIQ23" s="57"/>
      <c r="TIR23" s="57"/>
      <c r="TIS23" s="57"/>
      <c r="TIT23" s="57"/>
      <c r="TIU23" s="57"/>
      <c r="TIV23" s="57"/>
      <c r="TIW23" s="57"/>
      <c r="TIX23" s="57"/>
      <c r="TIY23" s="57"/>
      <c r="TIZ23" s="57"/>
      <c r="TJA23" s="57"/>
      <c r="TJB23" s="57"/>
      <c r="TJC23" s="57"/>
      <c r="TJD23" s="57"/>
      <c r="TJE23" s="57"/>
      <c r="TJF23" s="57"/>
      <c r="TJG23" s="57"/>
      <c r="TJH23" s="57"/>
      <c r="TJI23" s="57"/>
      <c r="TJJ23" s="57"/>
      <c r="TJK23" s="57"/>
      <c r="TJL23" s="57"/>
      <c r="TJM23" s="57"/>
      <c r="TJN23" s="57"/>
      <c r="TJO23" s="57"/>
      <c r="TJP23" s="57"/>
      <c r="TJQ23" s="57"/>
      <c r="TJR23" s="57"/>
      <c r="TJS23" s="57"/>
      <c r="TJT23" s="57"/>
      <c r="TJU23" s="57"/>
      <c r="TJV23" s="57"/>
      <c r="TJW23" s="57"/>
      <c r="TJX23" s="57"/>
      <c r="TJY23" s="57"/>
      <c r="TJZ23" s="57"/>
      <c r="TKA23" s="57"/>
      <c r="TKB23" s="57"/>
      <c r="TKC23" s="57"/>
      <c r="TKD23" s="57"/>
      <c r="TKE23" s="57"/>
      <c r="TKF23" s="57"/>
      <c r="TKG23" s="57"/>
      <c r="TKH23" s="57"/>
      <c r="TKI23" s="57"/>
      <c r="TKJ23" s="57"/>
      <c r="TKK23" s="57"/>
      <c r="TKL23" s="57"/>
      <c r="TKM23" s="57"/>
      <c r="TKN23" s="57"/>
      <c r="TKO23" s="57"/>
      <c r="TKP23" s="57"/>
      <c r="TKQ23" s="57"/>
      <c r="TKR23" s="57"/>
      <c r="TKS23" s="57"/>
      <c r="TKT23" s="57"/>
      <c r="TKU23" s="57"/>
      <c r="TKV23" s="57"/>
      <c r="TKW23" s="57"/>
      <c r="TKX23" s="57"/>
      <c r="TKY23" s="57"/>
      <c r="TKZ23" s="57"/>
      <c r="TLA23" s="57"/>
      <c r="TLB23" s="57"/>
      <c r="TLC23" s="57"/>
      <c r="TLD23" s="57"/>
      <c r="TLE23" s="57"/>
      <c r="TLF23" s="57"/>
      <c r="TLG23" s="57"/>
      <c r="TLH23" s="57"/>
      <c r="TLI23" s="57"/>
      <c r="TLJ23" s="57"/>
      <c r="TLK23" s="57"/>
      <c r="TLL23" s="57"/>
      <c r="TLM23" s="57"/>
      <c r="TLN23" s="57"/>
      <c r="TLO23" s="57"/>
      <c r="TLP23" s="57"/>
      <c r="TLQ23" s="57"/>
      <c r="TLR23" s="57"/>
      <c r="TLS23" s="57"/>
      <c r="TLT23" s="57"/>
      <c r="TLU23" s="57"/>
      <c r="TLV23" s="57"/>
      <c r="TLW23" s="57"/>
      <c r="TLX23" s="57"/>
      <c r="TLY23" s="57"/>
      <c r="TLZ23" s="57"/>
      <c r="TMA23" s="57"/>
      <c r="TMB23" s="57"/>
      <c r="TMC23" s="57"/>
      <c r="TMD23" s="57"/>
      <c r="TME23" s="57"/>
      <c r="TMF23" s="57"/>
      <c r="TMG23" s="57"/>
      <c r="TMH23" s="57"/>
      <c r="TMI23" s="57"/>
      <c r="TMJ23" s="57"/>
      <c r="TMK23" s="57"/>
      <c r="TML23" s="57"/>
      <c r="TMM23" s="57"/>
      <c r="TMN23" s="57"/>
      <c r="TMO23" s="57"/>
      <c r="TMP23" s="57"/>
      <c r="TMQ23" s="57"/>
      <c r="TMR23" s="57"/>
      <c r="TMS23" s="57"/>
      <c r="TMT23" s="57"/>
      <c r="TMU23" s="57"/>
      <c r="TMV23" s="57"/>
      <c r="TMW23" s="57"/>
      <c r="TMX23" s="57"/>
      <c r="TMY23" s="57"/>
      <c r="TMZ23" s="57"/>
      <c r="TNA23" s="57"/>
      <c r="TNB23" s="57"/>
      <c r="TNC23" s="57"/>
      <c r="TND23" s="57"/>
      <c r="TNE23" s="57"/>
      <c r="TNF23" s="57"/>
      <c r="TNG23" s="57"/>
      <c r="TNH23" s="57"/>
      <c r="TNI23" s="57"/>
      <c r="TNJ23" s="57"/>
      <c r="TNK23" s="57"/>
      <c r="TNL23" s="57"/>
      <c r="TNM23" s="57"/>
      <c r="TNN23" s="57"/>
      <c r="TNO23" s="57"/>
      <c r="TNP23" s="57"/>
      <c r="TNQ23" s="57"/>
      <c r="TNR23" s="57"/>
      <c r="TNS23" s="57"/>
      <c r="TNT23" s="57"/>
      <c r="TNU23" s="57"/>
      <c r="TNV23" s="57"/>
      <c r="TNW23" s="57"/>
      <c r="TNX23" s="57"/>
      <c r="TNY23" s="57"/>
      <c r="TNZ23" s="57"/>
      <c r="TOA23" s="57"/>
      <c r="TOB23" s="57"/>
      <c r="TOC23" s="57"/>
      <c r="TOD23" s="57"/>
      <c r="TOE23" s="57"/>
      <c r="TOF23" s="57"/>
      <c r="TOG23" s="57"/>
      <c r="TOH23" s="57"/>
      <c r="TOI23" s="57"/>
      <c r="TOJ23" s="57"/>
      <c r="TOK23" s="57"/>
      <c r="TOL23" s="57"/>
      <c r="TOM23" s="57"/>
      <c r="TON23" s="57"/>
      <c r="TOO23" s="57"/>
      <c r="TOP23" s="57"/>
      <c r="TOQ23" s="57"/>
      <c r="TOR23" s="57"/>
      <c r="TOS23" s="57"/>
      <c r="TOT23" s="57"/>
      <c r="TOU23" s="57"/>
      <c r="TOV23" s="57"/>
      <c r="TOW23" s="57"/>
      <c r="TOX23" s="57"/>
      <c r="TOY23" s="57"/>
      <c r="TOZ23" s="57"/>
      <c r="TPA23" s="57"/>
      <c r="TPB23" s="57"/>
      <c r="TPC23" s="57"/>
      <c r="TPD23" s="57"/>
      <c r="TPE23" s="57"/>
      <c r="TPF23" s="57"/>
      <c r="TPG23" s="57"/>
      <c r="TPH23" s="57"/>
      <c r="TPI23" s="57"/>
      <c r="TPJ23" s="57"/>
      <c r="TPK23" s="57"/>
      <c r="TPL23" s="57"/>
      <c r="TPM23" s="57"/>
      <c r="TPN23" s="57"/>
      <c r="TPO23" s="57"/>
      <c r="TPP23" s="57"/>
      <c r="TPQ23" s="57"/>
      <c r="TPR23" s="57"/>
      <c r="TPS23" s="57"/>
      <c r="TPT23" s="57"/>
      <c r="TPU23" s="57"/>
      <c r="TPV23" s="57"/>
      <c r="TPW23" s="57"/>
      <c r="TPX23" s="57"/>
      <c r="TPY23" s="57"/>
      <c r="TPZ23" s="57"/>
      <c r="TQA23" s="57"/>
      <c r="TQB23" s="57"/>
      <c r="TQC23" s="57"/>
      <c r="TQD23" s="57"/>
      <c r="TQE23" s="57"/>
      <c r="TQF23" s="57"/>
      <c r="TQG23" s="57"/>
      <c r="TQH23" s="57"/>
      <c r="TQI23" s="57"/>
      <c r="TQJ23" s="57"/>
      <c r="TQK23" s="57"/>
      <c r="TQL23" s="57"/>
      <c r="TQM23" s="57"/>
      <c r="TQN23" s="57"/>
      <c r="TQO23" s="57"/>
      <c r="TQP23" s="57"/>
      <c r="TQQ23" s="57"/>
      <c r="TQR23" s="57"/>
      <c r="TQS23" s="57"/>
      <c r="TQT23" s="57"/>
      <c r="TQU23" s="57"/>
      <c r="TQV23" s="57"/>
      <c r="TQW23" s="57"/>
      <c r="TQX23" s="57"/>
      <c r="TQY23" s="57"/>
      <c r="TQZ23" s="57"/>
      <c r="TRA23" s="57"/>
      <c r="TRB23" s="57"/>
      <c r="TRC23" s="57"/>
      <c r="TRD23" s="57"/>
      <c r="TRE23" s="57"/>
      <c r="TRF23" s="57"/>
      <c r="TRG23" s="57"/>
      <c r="TRH23" s="57"/>
      <c r="TRI23" s="57"/>
      <c r="TRJ23" s="57"/>
      <c r="TRK23" s="57"/>
      <c r="TRL23" s="57"/>
      <c r="TRM23" s="57"/>
      <c r="TRN23" s="57"/>
      <c r="TRO23" s="57"/>
      <c r="TRP23" s="57"/>
      <c r="TRQ23" s="57"/>
      <c r="TRR23" s="57"/>
      <c r="TRS23" s="57"/>
      <c r="TRT23" s="57"/>
      <c r="TRU23" s="57"/>
      <c r="TRV23" s="57"/>
      <c r="TRW23" s="57"/>
      <c r="TRX23" s="57"/>
      <c r="TRY23" s="57"/>
      <c r="TRZ23" s="57"/>
      <c r="TSA23" s="57"/>
      <c r="TSB23" s="57"/>
      <c r="TSC23" s="57"/>
      <c r="TSD23" s="57"/>
      <c r="TSE23" s="57"/>
      <c r="TSF23" s="57"/>
      <c r="TSG23" s="57"/>
      <c r="TSH23" s="57"/>
      <c r="TSI23" s="57"/>
      <c r="TSJ23" s="57"/>
      <c r="TSK23" s="57"/>
      <c r="TSL23" s="57"/>
      <c r="TSM23" s="57"/>
      <c r="TSN23" s="57"/>
      <c r="TSO23" s="57"/>
      <c r="TSP23" s="57"/>
      <c r="TSQ23" s="57"/>
      <c r="TSR23" s="57"/>
      <c r="TSS23" s="57"/>
      <c r="TST23" s="57"/>
      <c r="TSU23" s="57"/>
      <c r="TSV23" s="57"/>
      <c r="TSW23" s="57"/>
      <c r="TSX23" s="57"/>
      <c r="TSY23" s="57"/>
      <c r="TSZ23" s="57"/>
      <c r="TTA23" s="57"/>
      <c r="TTB23" s="57"/>
      <c r="TTC23" s="57"/>
      <c r="TTD23" s="57"/>
      <c r="TTE23" s="57"/>
      <c r="TTF23" s="57"/>
      <c r="TTG23" s="57"/>
      <c r="TTH23" s="57"/>
      <c r="TTI23" s="57"/>
      <c r="TTJ23" s="57"/>
      <c r="TTK23" s="57"/>
      <c r="TTL23" s="57"/>
      <c r="TTM23" s="57"/>
      <c r="TTN23" s="57"/>
      <c r="TTO23" s="57"/>
      <c r="TTP23" s="57"/>
      <c r="TTQ23" s="57"/>
      <c r="TTR23" s="57"/>
      <c r="TTS23" s="57"/>
      <c r="TTT23" s="57"/>
      <c r="TTU23" s="57"/>
      <c r="TTV23" s="57"/>
      <c r="TTW23" s="57"/>
      <c r="TTX23" s="57"/>
      <c r="TTY23" s="57"/>
      <c r="TTZ23" s="57"/>
      <c r="TUA23" s="57"/>
      <c r="TUB23" s="57"/>
      <c r="TUC23" s="57"/>
      <c r="TUD23" s="57"/>
      <c r="TUE23" s="57"/>
      <c r="TUF23" s="57"/>
      <c r="TUG23" s="57"/>
      <c r="TUH23" s="57"/>
      <c r="TUI23" s="57"/>
      <c r="TUJ23" s="57"/>
      <c r="TUK23" s="57"/>
      <c r="TUL23" s="57"/>
      <c r="TUM23" s="57"/>
      <c r="TUN23" s="57"/>
      <c r="TUO23" s="57"/>
      <c r="TUP23" s="57"/>
      <c r="TUQ23" s="57"/>
      <c r="TUR23" s="57"/>
      <c r="TUS23" s="57"/>
      <c r="TUT23" s="57"/>
      <c r="TUU23" s="57"/>
      <c r="TUV23" s="57"/>
      <c r="TUW23" s="57"/>
      <c r="TUX23" s="57"/>
      <c r="TUY23" s="57"/>
      <c r="TUZ23" s="57"/>
      <c r="TVA23" s="57"/>
      <c r="TVB23" s="57"/>
      <c r="TVC23" s="57"/>
      <c r="TVD23" s="57"/>
      <c r="TVE23" s="57"/>
      <c r="TVF23" s="57"/>
      <c r="TVG23" s="57"/>
      <c r="TVH23" s="57"/>
      <c r="TVI23" s="57"/>
      <c r="TVJ23" s="57"/>
      <c r="TVK23" s="57"/>
      <c r="TVL23" s="57"/>
      <c r="TVM23" s="57"/>
      <c r="TVN23" s="57"/>
      <c r="TVO23" s="57"/>
      <c r="TVP23" s="57"/>
      <c r="TVQ23" s="57"/>
      <c r="TVR23" s="57"/>
      <c r="TVS23" s="57"/>
      <c r="TVT23" s="57"/>
      <c r="TVU23" s="57"/>
      <c r="TVV23" s="57"/>
      <c r="TVW23" s="57"/>
      <c r="TVX23" s="57"/>
      <c r="TVY23" s="57"/>
      <c r="TVZ23" s="57"/>
      <c r="TWA23" s="57"/>
      <c r="TWB23" s="57"/>
      <c r="TWC23" s="57"/>
      <c r="TWD23" s="57"/>
      <c r="TWE23" s="57"/>
      <c r="TWF23" s="57"/>
      <c r="TWG23" s="57"/>
      <c r="TWH23" s="57"/>
      <c r="TWI23" s="57"/>
      <c r="TWJ23" s="57"/>
      <c r="TWK23" s="57"/>
      <c r="TWL23" s="57"/>
      <c r="TWM23" s="57"/>
      <c r="TWN23" s="57"/>
      <c r="TWO23" s="57"/>
      <c r="TWP23" s="57"/>
      <c r="TWQ23" s="57"/>
      <c r="TWR23" s="57"/>
      <c r="TWS23" s="57"/>
      <c r="TWT23" s="57"/>
      <c r="TWU23" s="57"/>
      <c r="TWV23" s="57"/>
      <c r="TWW23" s="57"/>
      <c r="TWX23" s="57"/>
      <c r="TWY23" s="57"/>
      <c r="TWZ23" s="57"/>
      <c r="TXA23" s="57"/>
      <c r="TXB23" s="57"/>
      <c r="TXC23" s="57"/>
      <c r="TXD23" s="57"/>
      <c r="TXE23" s="57"/>
      <c r="TXF23" s="57"/>
      <c r="TXG23" s="57"/>
      <c r="TXH23" s="57"/>
      <c r="TXI23" s="57"/>
      <c r="TXJ23" s="57"/>
      <c r="TXK23" s="57"/>
      <c r="TXL23" s="57"/>
      <c r="TXM23" s="57"/>
      <c r="TXN23" s="57"/>
      <c r="TXO23" s="57"/>
      <c r="TXP23" s="57"/>
      <c r="TXQ23" s="57"/>
      <c r="TXR23" s="57"/>
      <c r="TXS23" s="57"/>
      <c r="TXT23" s="57"/>
      <c r="TXU23" s="57"/>
      <c r="TXV23" s="57"/>
      <c r="TXW23" s="57"/>
      <c r="TXX23" s="57"/>
      <c r="TXY23" s="57"/>
      <c r="TXZ23" s="57"/>
      <c r="TYA23" s="57"/>
      <c r="TYB23" s="57"/>
      <c r="TYC23" s="57"/>
      <c r="TYD23" s="57"/>
      <c r="TYE23" s="57"/>
      <c r="TYF23" s="57"/>
      <c r="TYG23" s="57"/>
      <c r="TYH23" s="57"/>
      <c r="TYI23" s="57"/>
      <c r="TYJ23" s="57"/>
      <c r="TYK23" s="57"/>
      <c r="TYL23" s="57"/>
      <c r="TYM23" s="57"/>
      <c r="TYN23" s="57"/>
      <c r="TYO23" s="57"/>
      <c r="TYP23" s="57"/>
      <c r="TYQ23" s="57"/>
      <c r="TYR23" s="57"/>
      <c r="TYS23" s="57"/>
      <c r="TYT23" s="57"/>
      <c r="TYU23" s="57"/>
      <c r="TYV23" s="57"/>
      <c r="TYW23" s="57"/>
      <c r="TYX23" s="57"/>
      <c r="TYY23" s="57"/>
      <c r="TYZ23" s="57"/>
      <c r="TZA23" s="57"/>
      <c r="TZB23" s="57"/>
      <c r="TZC23" s="57"/>
      <c r="TZD23" s="57"/>
      <c r="TZE23" s="57"/>
      <c r="TZF23" s="57"/>
      <c r="TZG23" s="57"/>
      <c r="TZH23" s="57"/>
      <c r="TZI23" s="57"/>
      <c r="TZJ23" s="57"/>
      <c r="TZK23" s="57"/>
      <c r="TZL23" s="57"/>
      <c r="TZM23" s="57"/>
      <c r="TZN23" s="57"/>
      <c r="TZO23" s="57"/>
      <c r="TZP23" s="57"/>
      <c r="TZQ23" s="57"/>
      <c r="TZR23" s="57"/>
      <c r="TZS23" s="57"/>
      <c r="TZT23" s="57"/>
      <c r="TZU23" s="57"/>
      <c r="TZV23" s="57"/>
      <c r="TZW23" s="57"/>
      <c r="TZX23" s="57"/>
      <c r="TZY23" s="57"/>
      <c r="TZZ23" s="57"/>
      <c r="UAA23" s="57"/>
      <c r="UAB23" s="57"/>
      <c r="UAC23" s="57"/>
      <c r="UAD23" s="57"/>
      <c r="UAE23" s="57"/>
      <c r="UAF23" s="57"/>
      <c r="UAG23" s="57"/>
      <c r="UAH23" s="57"/>
      <c r="UAI23" s="57"/>
      <c r="UAJ23" s="57"/>
      <c r="UAK23" s="57"/>
      <c r="UAL23" s="57"/>
      <c r="UAM23" s="57"/>
      <c r="UAN23" s="57"/>
      <c r="UAO23" s="57"/>
      <c r="UAP23" s="57"/>
      <c r="UAQ23" s="57"/>
      <c r="UAR23" s="57"/>
      <c r="UAS23" s="57"/>
      <c r="UAT23" s="57"/>
      <c r="UAU23" s="57"/>
      <c r="UAV23" s="57"/>
      <c r="UAW23" s="57"/>
      <c r="UAX23" s="57"/>
      <c r="UAY23" s="57"/>
      <c r="UAZ23" s="57"/>
      <c r="UBA23" s="57"/>
      <c r="UBB23" s="57"/>
      <c r="UBC23" s="57"/>
      <c r="UBD23" s="57"/>
      <c r="UBE23" s="57"/>
      <c r="UBF23" s="57"/>
      <c r="UBG23" s="57"/>
      <c r="UBH23" s="57"/>
      <c r="UBI23" s="57"/>
      <c r="UBJ23" s="57"/>
      <c r="UBK23" s="57"/>
      <c r="UBL23" s="57"/>
      <c r="UBM23" s="57"/>
      <c r="UBN23" s="57"/>
      <c r="UBO23" s="57"/>
      <c r="UBP23" s="57"/>
      <c r="UBQ23" s="57"/>
      <c r="UBR23" s="57"/>
      <c r="UBS23" s="57"/>
      <c r="UBT23" s="57"/>
      <c r="UBU23" s="57"/>
      <c r="UBV23" s="57"/>
      <c r="UBW23" s="57"/>
      <c r="UBX23" s="57"/>
      <c r="UBY23" s="57"/>
      <c r="UBZ23" s="57"/>
      <c r="UCA23" s="57"/>
      <c r="UCB23" s="57"/>
      <c r="UCC23" s="57"/>
      <c r="UCD23" s="57"/>
      <c r="UCE23" s="57"/>
      <c r="UCF23" s="57"/>
      <c r="UCG23" s="57"/>
      <c r="UCH23" s="57"/>
      <c r="UCI23" s="57"/>
      <c r="UCJ23" s="57"/>
      <c r="UCK23" s="57"/>
      <c r="UCL23" s="57"/>
      <c r="UCM23" s="57"/>
      <c r="UCN23" s="57"/>
      <c r="UCO23" s="57"/>
      <c r="UCP23" s="57"/>
      <c r="UCQ23" s="57"/>
      <c r="UCR23" s="57"/>
      <c r="UCS23" s="57"/>
      <c r="UCT23" s="57"/>
      <c r="UCU23" s="57"/>
      <c r="UCV23" s="57"/>
      <c r="UCW23" s="57"/>
      <c r="UCX23" s="57"/>
      <c r="UCY23" s="57"/>
      <c r="UCZ23" s="57"/>
      <c r="UDA23" s="57"/>
      <c r="UDB23" s="57"/>
      <c r="UDC23" s="57"/>
      <c r="UDD23" s="57"/>
      <c r="UDE23" s="57"/>
      <c r="UDF23" s="57"/>
      <c r="UDG23" s="57"/>
      <c r="UDH23" s="57"/>
      <c r="UDI23" s="57"/>
      <c r="UDJ23" s="57"/>
      <c r="UDK23" s="57"/>
      <c r="UDL23" s="57"/>
      <c r="UDM23" s="57"/>
      <c r="UDN23" s="57"/>
      <c r="UDO23" s="57"/>
      <c r="UDP23" s="57"/>
      <c r="UDQ23" s="57"/>
      <c r="UDR23" s="57"/>
      <c r="UDS23" s="57"/>
      <c r="UDT23" s="57"/>
      <c r="UDU23" s="57"/>
      <c r="UDV23" s="57"/>
      <c r="UDW23" s="57"/>
      <c r="UDX23" s="57"/>
      <c r="UDY23" s="57"/>
      <c r="UDZ23" s="57"/>
      <c r="UEA23" s="57"/>
      <c r="UEB23" s="57"/>
      <c r="UEC23" s="57"/>
      <c r="UED23" s="57"/>
      <c r="UEE23" s="57"/>
      <c r="UEF23" s="57"/>
      <c r="UEG23" s="57"/>
      <c r="UEH23" s="57"/>
      <c r="UEI23" s="57"/>
      <c r="UEJ23" s="57"/>
      <c r="UEK23" s="57"/>
      <c r="UEL23" s="57"/>
      <c r="UEM23" s="57"/>
      <c r="UEN23" s="57"/>
      <c r="UEO23" s="57"/>
      <c r="UEP23" s="57"/>
      <c r="UEQ23" s="57"/>
      <c r="UER23" s="57"/>
      <c r="UES23" s="57"/>
      <c r="UET23" s="57"/>
      <c r="UEU23" s="57"/>
      <c r="UEV23" s="57"/>
      <c r="UEW23" s="57"/>
      <c r="UEX23" s="57"/>
      <c r="UEY23" s="57"/>
      <c r="UEZ23" s="57"/>
      <c r="UFA23" s="57"/>
      <c r="UFB23" s="57"/>
      <c r="UFC23" s="57"/>
      <c r="UFD23" s="57"/>
      <c r="UFE23" s="57"/>
      <c r="UFF23" s="57"/>
      <c r="UFG23" s="57"/>
      <c r="UFH23" s="57"/>
      <c r="UFI23" s="57"/>
      <c r="UFJ23" s="57"/>
      <c r="UFK23" s="57"/>
      <c r="UFL23" s="57"/>
      <c r="UFM23" s="57"/>
      <c r="UFN23" s="57"/>
      <c r="UFO23" s="57"/>
      <c r="UFP23" s="57"/>
      <c r="UFQ23" s="57"/>
      <c r="UFR23" s="57"/>
      <c r="UFS23" s="57"/>
      <c r="UFT23" s="57"/>
      <c r="UFU23" s="57"/>
      <c r="UFV23" s="57"/>
      <c r="UFW23" s="57"/>
      <c r="UFX23" s="57"/>
      <c r="UFY23" s="57"/>
      <c r="UFZ23" s="57"/>
      <c r="UGA23" s="57"/>
      <c r="UGB23" s="57"/>
      <c r="UGC23" s="57"/>
      <c r="UGD23" s="57"/>
      <c r="UGE23" s="57"/>
      <c r="UGF23" s="57"/>
      <c r="UGG23" s="57"/>
      <c r="UGH23" s="57"/>
      <c r="UGI23" s="57"/>
      <c r="UGJ23" s="57"/>
      <c r="UGK23" s="57"/>
      <c r="UGL23" s="57"/>
      <c r="UGM23" s="57"/>
      <c r="UGN23" s="57"/>
      <c r="UGO23" s="57"/>
      <c r="UGP23" s="57"/>
      <c r="UGQ23" s="57"/>
      <c r="UGR23" s="57"/>
      <c r="UGS23" s="57"/>
      <c r="UGT23" s="57"/>
      <c r="UGU23" s="57"/>
      <c r="UGV23" s="57"/>
      <c r="UGW23" s="57"/>
      <c r="UGX23" s="57"/>
      <c r="UGY23" s="57"/>
      <c r="UGZ23" s="57"/>
      <c r="UHA23" s="57"/>
      <c r="UHB23" s="57"/>
      <c r="UHC23" s="57"/>
      <c r="UHD23" s="57"/>
      <c r="UHE23" s="57"/>
      <c r="UHF23" s="57"/>
      <c r="UHG23" s="57"/>
      <c r="UHH23" s="57"/>
      <c r="UHI23" s="57"/>
      <c r="UHJ23" s="57"/>
      <c r="UHK23" s="57"/>
      <c r="UHL23" s="57"/>
      <c r="UHM23" s="57"/>
      <c r="UHN23" s="57"/>
      <c r="UHO23" s="57"/>
      <c r="UHP23" s="57"/>
      <c r="UHQ23" s="57"/>
      <c r="UHR23" s="57"/>
      <c r="UHS23" s="57"/>
      <c r="UHT23" s="57"/>
      <c r="UHU23" s="57"/>
      <c r="UHV23" s="57"/>
      <c r="UHW23" s="57"/>
      <c r="UHX23" s="57"/>
      <c r="UHY23" s="57"/>
      <c r="UHZ23" s="57"/>
      <c r="UIA23" s="57"/>
      <c r="UIB23" s="57"/>
      <c r="UIC23" s="57"/>
      <c r="UID23" s="57"/>
      <c r="UIE23" s="57"/>
      <c r="UIF23" s="57"/>
      <c r="UIG23" s="57"/>
      <c r="UIH23" s="57"/>
      <c r="UII23" s="57"/>
      <c r="UIJ23" s="57"/>
      <c r="UIK23" s="57"/>
      <c r="UIL23" s="57"/>
      <c r="UIM23" s="57"/>
      <c r="UIN23" s="57"/>
      <c r="UIO23" s="57"/>
      <c r="UIP23" s="57"/>
      <c r="UIQ23" s="57"/>
      <c r="UIR23" s="57"/>
      <c r="UIS23" s="57"/>
      <c r="UIT23" s="57"/>
      <c r="UIU23" s="57"/>
      <c r="UIV23" s="57"/>
      <c r="UIW23" s="57"/>
      <c r="UIX23" s="57"/>
      <c r="UIY23" s="57"/>
      <c r="UIZ23" s="57"/>
      <c r="UJA23" s="57"/>
      <c r="UJB23" s="57"/>
      <c r="UJC23" s="57"/>
      <c r="UJD23" s="57"/>
      <c r="UJE23" s="57"/>
      <c r="UJF23" s="57"/>
      <c r="UJG23" s="57"/>
      <c r="UJH23" s="57"/>
      <c r="UJI23" s="57"/>
      <c r="UJJ23" s="57"/>
      <c r="UJK23" s="57"/>
      <c r="UJL23" s="57"/>
      <c r="UJM23" s="57"/>
      <c r="UJN23" s="57"/>
      <c r="UJO23" s="57"/>
      <c r="UJP23" s="57"/>
      <c r="UJQ23" s="57"/>
      <c r="UJR23" s="57"/>
      <c r="UJS23" s="57"/>
      <c r="UJT23" s="57"/>
      <c r="UJU23" s="57"/>
      <c r="UJV23" s="57"/>
      <c r="UJW23" s="57"/>
      <c r="UJX23" s="57"/>
      <c r="UJY23" s="57"/>
      <c r="UJZ23" s="57"/>
      <c r="UKA23" s="57"/>
      <c r="UKB23" s="57"/>
      <c r="UKC23" s="57"/>
      <c r="UKD23" s="57"/>
      <c r="UKE23" s="57"/>
      <c r="UKF23" s="57"/>
      <c r="UKG23" s="57"/>
      <c r="UKH23" s="57"/>
      <c r="UKI23" s="57"/>
      <c r="UKJ23" s="57"/>
      <c r="UKK23" s="57"/>
      <c r="UKL23" s="57"/>
      <c r="UKM23" s="57"/>
      <c r="UKN23" s="57"/>
      <c r="UKO23" s="57"/>
      <c r="UKP23" s="57"/>
      <c r="UKQ23" s="57"/>
      <c r="UKR23" s="57"/>
      <c r="UKS23" s="57"/>
      <c r="UKT23" s="57"/>
      <c r="UKU23" s="57"/>
      <c r="UKV23" s="57"/>
      <c r="UKW23" s="57"/>
      <c r="UKX23" s="57"/>
      <c r="UKY23" s="57"/>
      <c r="UKZ23" s="57"/>
      <c r="ULA23" s="57"/>
      <c r="ULB23" s="57"/>
      <c r="ULC23" s="57"/>
      <c r="ULD23" s="57"/>
      <c r="ULE23" s="57"/>
      <c r="ULF23" s="57"/>
      <c r="ULG23" s="57"/>
      <c r="ULH23" s="57"/>
      <c r="ULI23" s="57"/>
      <c r="ULJ23" s="57"/>
      <c r="ULK23" s="57"/>
      <c r="ULL23" s="57"/>
      <c r="ULM23" s="57"/>
      <c r="ULN23" s="57"/>
      <c r="ULO23" s="57"/>
      <c r="ULP23" s="57"/>
      <c r="ULQ23" s="57"/>
      <c r="ULR23" s="57"/>
      <c r="ULS23" s="57"/>
      <c r="ULT23" s="57"/>
      <c r="ULU23" s="57"/>
      <c r="ULV23" s="57"/>
      <c r="ULW23" s="57"/>
      <c r="ULX23" s="57"/>
      <c r="ULY23" s="57"/>
      <c r="ULZ23" s="57"/>
      <c r="UMA23" s="57"/>
      <c r="UMB23" s="57"/>
      <c r="UMC23" s="57"/>
      <c r="UMD23" s="57"/>
      <c r="UME23" s="57"/>
      <c r="UMF23" s="57"/>
      <c r="UMG23" s="57"/>
      <c r="UMH23" s="57"/>
      <c r="UMI23" s="57"/>
      <c r="UMJ23" s="57"/>
      <c r="UMK23" s="57"/>
      <c r="UML23" s="57"/>
      <c r="UMM23" s="57"/>
      <c r="UMN23" s="57"/>
      <c r="UMO23" s="57"/>
      <c r="UMP23" s="57"/>
      <c r="UMQ23" s="57"/>
      <c r="UMR23" s="57"/>
      <c r="UMS23" s="57"/>
      <c r="UMT23" s="57"/>
      <c r="UMU23" s="57"/>
      <c r="UMV23" s="57"/>
      <c r="UMW23" s="57"/>
      <c r="UMX23" s="57"/>
      <c r="UMY23" s="57"/>
      <c r="UMZ23" s="57"/>
      <c r="UNA23" s="57"/>
      <c r="UNB23" s="57"/>
      <c r="UNC23" s="57"/>
      <c r="UND23" s="57"/>
      <c r="UNE23" s="57"/>
      <c r="UNF23" s="57"/>
      <c r="UNG23" s="57"/>
      <c r="UNH23" s="57"/>
      <c r="UNI23" s="57"/>
      <c r="UNJ23" s="57"/>
      <c r="UNK23" s="57"/>
      <c r="UNL23" s="57"/>
      <c r="UNM23" s="57"/>
      <c r="UNN23" s="57"/>
      <c r="UNO23" s="57"/>
      <c r="UNP23" s="57"/>
      <c r="UNQ23" s="57"/>
      <c r="UNR23" s="57"/>
      <c r="UNS23" s="57"/>
      <c r="UNT23" s="57"/>
      <c r="UNU23" s="57"/>
      <c r="UNV23" s="57"/>
      <c r="UNW23" s="57"/>
      <c r="UNX23" s="57"/>
      <c r="UNY23" s="57"/>
      <c r="UNZ23" s="57"/>
      <c r="UOA23" s="57"/>
      <c r="UOB23" s="57"/>
      <c r="UOC23" s="57"/>
      <c r="UOD23" s="57"/>
      <c r="UOE23" s="57"/>
      <c r="UOF23" s="57"/>
      <c r="UOG23" s="57"/>
      <c r="UOH23" s="57"/>
      <c r="UOI23" s="57"/>
      <c r="UOJ23" s="57"/>
      <c r="UOK23" s="57"/>
      <c r="UOL23" s="57"/>
      <c r="UOM23" s="57"/>
      <c r="UON23" s="57"/>
      <c r="UOO23" s="57"/>
      <c r="UOP23" s="57"/>
      <c r="UOQ23" s="57"/>
      <c r="UOR23" s="57"/>
      <c r="UOS23" s="57"/>
      <c r="UOT23" s="57"/>
      <c r="UOU23" s="57"/>
      <c r="UOV23" s="57"/>
      <c r="UOW23" s="57"/>
      <c r="UOX23" s="57"/>
      <c r="UOY23" s="57"/>
      <c r="UOZ23" s="57"/>
      <c r="UPA23" s="57"/>
      <c r="UPB23" s="57"/>
      <c r="UPC23" s="57"/>
      <c r="UPD23" s="57"/>
      <c r="UPE23" s="57"/>
      <c r="UPF23" s="57"/>
      <c r="UPG23" s="57"/>
      <c r="UPH23" s="57"/>
      <c r="UPI23" s="57"/>
      <c r="UPJ23" s="57"/>
      <c r="UPK23" s="57"/>
      <c r="UPL23" s="57"/>
      <c r="UPM23" s="57"/>
      <c r="UPN23" s="57"/>
      <c r="UPO23" s="57"/>
      <c r="UPP23" s="57"/>
      <c r="UPQ23" s="57"/>
      <c r="UPR23" s="57"/>
      <c r="UPS23" s="57"/>
      <c r="UPT23" s="57"/>
      <c r="UPU23" s="57"/>
      <c r="UPV23" s="57"/>
      <c r="UPW23" s="57"/>
      <c r="UPX23" s="57"/>
      <c r="UPY23" s="57"/>
      <c r="UPZ23" s="57"/>
      <c r="UQA23" s="57"/>
      <c r="UQB23" s="57"/>
      <c r="UQC23" s="57"/>
      <c r="UQD23" s="57"/>
      <c r="UQE23" s="57"/>
      <c r="UQF23" s="57"/>
      <c r="UQG23" s="57"/>
      <c r="UQH23" s="57"/>
      <c r="UQI23" s="57"/>
      <c r="UQJ23" s="57"/>
      <c r="UQK23" s="57"/>
      <c r="UQL23" s="57"/>
      <c r="UQM23" s="57"/>
      <c r="UQN23" s="57"/>
      <c r="UQO23" s="57"/>
      <c r="UQP23" s="57"/>
      <c r="UQQ23" s="57"/>
      <c r="UQR23" s="57"/>
      <c r="UQS23" s="57"/>
      <c r="UQT23" s="57"/>
      <c r="UQU23" s="57"/>
      <c r="UQV23" s="57"/>
      <c r="UQW23" s="57"/>
      <c r="UQX23" s="57"/>
      <c r="UQY23" s="57"/>
      <c r="UQZ23" s="57"/>
      <c r="URA23" s="57"/>
      <c r="URB23" s="57"/>
      <c r="URC23" s="57"/>
      <c r="URD23" s="57"/>
      <c r="URE23" s="57"/>
      <c r="URF23" s="57"/>
      <c r="URG23" s="57"/>
      <c r="URH23" s="57"/>
      <c r="URI23" s="57"/>
      <c r="URJ23" s="57"/>
      <c r="URK23" s="57"/>
      <c r="URL23" s="57"/>
      <c r="URM23" s="57"/>
      <c r="URN23" s="57"/>
      <c r="URO23" s="57"/>
      <c r="URP23" s="57"/>
      <c r="URQ23" s="57"/>
      <c r="URR23" s="57"/>
      <c r="URS23" s="57"/>
      <c r="URT23" s="57"/>
      <c r="URU23" s="57"/>
      <c r="URV23" s="57"/>
      <c r="URW23" s="57"/>
      <c r="URX23" s="57"/>
      <c r="URY23" s="57"/>
      <c r="URZ23" s="57"/>
      <c r="USA23" s="57"/>
      <c r="USB23" s="57"/>
      <c r="USC23" s="57"/>
      <c r="USD23" s="57"/>
      <c r="USE23" s="57"/>
      <c r="USF23" s="57"/>
      <c r="USG23" s="57"/>
      <c r="USH23" s="57"/>
      <c r="USI23" s="57"/>
      <c r="USJ23" s="57"/>
      <c r="USK23" s="57"/>
      <c r="USL23" s="57"/>
      <c r="USM23" s="57"/>
      <c r="USN23" s="57"/>
      <c r="USO23" s="57"/>
      <c r="USP23" s="57"/>
      <c r="USQ23" s="57"/>
      <c r="USR23" s="57"/>
      <c r="USS23" s="57"/>
      <c r="UST23" s="57"/>
      <c r="USU23" s="57"/>
      <c r="USV23" s="57"/>
      <c r="USW23" s="57"/>
      <c r="USX23" s="57"/>
      <c r="USY23" s="57"/>
      <c r="USZ23" s="57"/>
      <c r="UTA23" s="57"/>
      <c r="UTB23" s="57"/>
      <c r="UTC23" s="57"/>
      <c r="UTD23" s="57"/>
      <c r="UTE23" s="57"/>
      <c r="UTF23" s="57"/>
      <c r="UTG23" s="57"/>
      <c r="UTH23" s="57"/>
      <c r="UTI23" s="57"/>
      <c r="UTJ23" s="57"/>
      <c r="UTK23" s="57"/>
      <c r="UTL23" s="57"/>
      <c r="UTM23" s="57"/>
      <c r="UTN23" s="57"/>
      <c r="UTO23" s="57"/>
      <c r="UTP23" s="57"/>
      <c r="UTQ23" s="57"/>
      <c r="UTR23" s="57"/>
      <c r="UTS23" s="57"/>
      <c r="UTT23" s="57"/>
      <c r="UTU23" s="57"/>
      <c r="UTV23" s="57"/>
      <c r="UTW23" s="57"/>
      <c r="UTX23" s="57"/>
      <c r="UTY23" s="57"/>
      <c r="UTZ23" s="57"/>
      <c r="UUA23" s="57"/>
      <c r="UUB23" s="57"/>
      <c r="UUC23" s="57"/>
      <c r="UUD23" s="57"/>
      <c r="UUE23" s="57"/>
      <c r="UUF23" s="57"/>
      <c r="UUG23" s="57"/>
      <c r="UUH23" s="57"/>
      <c r="UUI23" s="57"/>
      <c r="UUJ23" s="57"/>
      <c r="UUK23" s="57"/>
      <c r="UUL23" s="57"/>
      <c r="UUM23" s="57"/>
      <c r="UUN23" s="57"/>
      <c r="UUO23" s="57"/>
      <c r="UUP23" s="57"/>
      <c r="UUQ23" s="57"/>
      <c r="UUR23" s="57"/>
      <c r="UUS23" s="57"/>
      <c r="UUT23" s="57"/>
      <c r="UUU23" s="57"/>
      <c r="UUV23" s="57"/>
      <c r="UUW23" s="57"/>
      <c r="UUX23" s="57"/>
      <c r="UUY23" s="57"/>
      <c r="UUZ23" s="57"/>
      <c r="UVA23" s="57"/>
      <c r="UVB23" s="57"/>
      <c r="UVC23" s="57"/>
      <c r="UVD23" s="57"/>
      <c r="UVE23" s="57"/>
      <c r="UVF23" s="57"/>
      <c r="UVG23" s="57"/>
      <c r="UVH23" s="57"/>
      <c r="UVI23" s="57"/>
      <c r="UVJ23" s="57"/>
      <c r="UVK23" s="57"/>
      <c r="UVL23" s="57"/>
      <c r="UVM23" s="57"/>
      <c r="UVN23" s="57"/>
      <c r="UVO23" s="57"/>
      <c r="UVP23" s="57"/>
      <c r="UVQ23" s="57"/>
      <c r="UVR23" s="57"/>
      <c r="UVS23" s="57"/>
      <c r="UVT23" s="57"/>
      <c r="UVU23" s="57"/>
      <c r="UVV23" s="57"/>
      <c r="UVW23" s="57"/>
      <c r="UVX23" s="57"/>
      <c r="UVY23" s="57"/>
      <c r="UVZ23" s="57"/>
      <c r="UWA23" s="57"/>
      <c r="UWB23" s="57"/>
      <c r="UWC23" s="57"/>
      <c r="UWD23" s="57"/>
      <c r="UWE23" s="57"/>
      <c r="UWF23" s="57"/>
      <c r="UWG23" s="57"/>
      <c r="UWH23" s="57"/>
      <c r="UWI23" s="57"/>
      <c r="UWJ23" s="57"/>
      <c r="UWK23" s="57"/>
      <c r="UWL23" s="57"/>
      <c r="UWM23" s="57"/>
      <c r="UWN23" s="57"/>
      <c r="UWO23" s="57"/>
      <c r="UWP23" s="57"/>
      <c r="UWQ23" s="57"/>
      <c r="UWR23" s="57"/>
      <c r="UWS23" s="57"/>
      <c r="UWT23" s="57"/>
      <c r="UWU23" s="57"/>
      <c r="UWV23" s="57"/>
      <c r="UWW23" s="57"/>
      <c r="UWX23" s="57"/>
      <c r="UWY23" s="57"/>
      <c r="UWZ23" s="57"/>
      <c r="UXA23" s="57"/>
      <c r="UXB23" s="57"/>
      <c r="UXC23" s="57"/>
      <c r="UXD23" s="57"/>
      <c r="UXE23" s="57"/>
      <c r="UXF23" s="57"/>
      <c r="UXG23" s="57"/>
      <c r="UXH23" s="57"/>
      <c r="UXI23" s="57"/>
      <c r="UXJ23" s="57"/>
      <c r="UXK23" s="57"/>
      <c r="UXL23" s="57"/>
      <c r="UXM23" s="57"/>
      <c r="UXN23" s="57"/>
      <c r="UXO23" s="57"/>
      <c r="UXP23" s="57"/>
      <c r="UXQ23" s="57"/>
      <c r="UXR23" s="57"/>
      <c r="UXS23" s="57"/>
      <c r="UXT23" s="57"/>
      <c r="UXU23" s="57"/>
      <c r="UXV23" s="57"/>
      <c r="UXW23" s="57"/>
      <c r="UXX23" s="57"/>
      <c r="UXY23" s="57"/>
      <c r="UXZ23" s="57"/>
      <c r="UYA23" s="57"/>
      <c r="UYB23" s="57"/>
      <c r="UYC23" s="57"/>
      <c r="UYD23" s="57"/>
      <c r="UYE23" s="57"/>
      <c r="UYF23" s="57"/>
      <c r="UYG23" s="57"/>
      <c r="UYH23" s="57"/>
      <c r="UYI23" s="57"/>
      <c r="UYJ23" s="57"/>
      <c r="UYK23" s="57"/>
      <c r="UYL23" s="57"/>
      <c r="UYM23" s="57"/>
      <c r="UYN23" s="57"/>
      <c r="UYO23" s="57"/>
      <c r="UYP23" s="57"/>
      <c r="UYQ23" s="57"/>
      <c r="UYR23" s="57"/>
      <c r="UYS23" s="57"/>
      <c r="UYT23" s="57"/>
      <c r="UYU23" s="57"/>
      <c r="UYV23" s="57"/>
      <c r="UYW23" s="57"/>
      <c r="UYX23" s="57"/>
      <c r="UYY23" s="57"/>
      <c r="UYZ23" s="57"/>
      <c r="UZA23" s="57"/>
      <c r="UZB23" s="57"/>
      <c r="UZC23" s="57"/>
      <c r="UZD23" s="57"/>
      <c r="UZE23" s="57"/>
      <c r="UZF23" s="57"/>
      <c r="UZG23" s="57"/>
      <c r="UZH23" s="57"/>
      <c r="UZI23" s="57"/>
      <c r="UZJ23" s="57"/>
      <c r="UZK23" s="57"/>
      <c r="UZL23" s="57"/>
      <c r="UZM23" s="57"/>
      <c r="UZN23" s="57"/>
      <c r="UZO23" s="57"/>
      <c r="UZP23" s="57"/>
      <c r="UZQ23" s="57"/>
      <c r="UZR23" s="57"/>
      <c r="UZS23" s="57"/>
      <c r="UZT23" s="57"/>
      <c r="UZU23" s="57"/>
      <c r="UZV23" s="57"/>
      <c r="UZW23" s="57"/>
      <c r="UZX23" s="57"/>
      <c r="UZY23" s="57"/>
      <c r="UZZ23" s="57"/>
      <c r="VAA23" s="57"/>
      <c r="VAB23" s="57"/>
      <c r="VAC23" s="57"/>
      <c r="VAD23" s="57"/>
      <c r="VAE23" s="57"/>
      <c r="VAF23" s="57"/>
      <c r="VAG23" s="57"/>
      <c r="VAH23" s="57"/>
      <c r="VAI23" s="57"/>
      <c r="VAJ23" s="57"/>
      <c r="VAK23" s="57"/>
      <c r="VAL23" s="57"/>
      <c r="VAM23" s="57"/>
      <c r="VAN23" s="57"/>
      <c r="VAO23" s="57"/>
      <c r="VAP23" s="57"/>
      <c r="VAQ23" s="57"/>
      <c r="VAR23" s="57"/>
      <c r="VAS23" s="57"/>
      <c r="VAT23" s="57"/>
      <c r="VAU23" s="57"/>
      <c r="VAV23" s="57"/>
      <c r="VAW23" s="57"/>
      <c r="VAX23" s="57"/>
      <c r="VAY23" s="57"/>
      <c r="VAZ23" s="57"/>
      <c r="VBA23" s="57"/>
      <c r="VBB23" s="57"/>
      <c r="VBC23" s="57"/>
      <c r="VBD23" s="57"/>
      <c r="VBE23" s="57"/>
      <c r="VBF23" s="57"/>
      <c r="VBG23" s="57"/>
      <c r="VBH23" s="57"/>
      <c r="VBI23" s="57"/>
      <c r="VBJ23" s="57"/>
      <c r="VBK23" s="57"/>
      <c r="VBL23" s="57"/>
      <c r="VBM23" s="57"/>
      <c r="VBN23" s="57"/>
      <c r="VBO23" s="57"/>
      <c r="VBP23" s="57"/>
      <c r="VBQ23" s="57"/>
      <c r="VBR23" s="57"/>
      <c r="VBS23" s="57"/>
      <c r="VBT23" s="57"/>
      <c r="VBU23" s="57"/>
      <c r="VBV23" s="57"/>
      <c r="VBW23" s="57"/>
      <c r="VBX23" s="57"/>
      <c r="VBY23" s="57"/>
      <c r="VBZ23" s="57"/>
      <c r="VCA23" s="57"/>
      <c r="VCB23" s="57"/>
      <c r="VCC23" s="57"/>
      <c r="VCD23" s="57"/>
      <c r="VCE23" s="57"/>
      <c r="VCF23" s="57"/>
      <c r="VCG23" s="57"/>
      <c r="VCH23" s="57"/>
      <c r="VCI23" s="57"/>
      <c r="VCJ23" s="57"/>
      <c r="VCK23" s="57"/>
      <c r="VCL23" s="57"/>
      <c r="VCM23" s="57"/>
      <c r="VCN23" s="57"/>
      <c r="VCO23" s="57"/>
      <c r="VCP23" s="57"/>
      <c r="VCQ23" s="57"/>
      <c r="VCR23" s="57"/>
      <c r="VCS23" s="57"/>
      <c r="VCT23" s="57"/>
      <c r="VCU23" s="57"/>
      <c r="VCV23" s="57"/>
      <c r="VCW23" s="57"/>
      <c r="VCX23" s="57"/>
      <c r="VCY23" s="57"/>
      <c r="VCZ23" s="57"/>
      <c r="VDA23" s="57"/>
      <c r="VDB23" s="57"/>
      <c r="VDC23" s="57"/>
      <c r="VDD23" s="57"/>
      <c r="VDE23" s="57"/>
      <c r="VDF23" s="57"/>
      <c r="VDG23" s="57"/>
      <c r="VDH23" s="57"/>
      <c r="VDI23" s="57"/>
      <c r="VDJ23" s="57"/>
      <c r="VDK23" s="57"/>
      <c r="VDL23" s="57"/>
      <c r="VDM23" s="57"/>
      <c r="VDN23" s="57"/>
      <c r="VDO23" s="57"/>
      <c r="VDP23" s="57"/>
      <c r="VDQ23" s="57"/>
      <c r="VDR23" s="57"/>
      <c r="VDS23" s="57"/>
      <c r="VDT23" s="57"/>
      <c r="VDU23" s="57"/>
      <c r="VDV23" s="57"/>
      <c r="VDW23" s="57"/>
      <c r="VDX23" s="57"/>
      <c r="VDY23" s="57"/>
      <c r="VDZ23" s="57"/>
      <c r="VEA23" s="57"/>
      <c r="VEB23" s="57"/>
      <c r="VEC23" s="57"/>
      <c r="VED23" s="57"/>
      <c r="VEE23" s="57"/>
      <c r="VEF23" s="57"/>
      <c r="VEG23" s="57"/>
      <c r="VEH23" s="57"/>
      <c r="VEI23" s="57"/>
      <c r="VEJ23" s="57"/>
      <c r="VEK23" s="57"/>
      <c r="VEL23" s="57"/>
      <c r="VEM23" s="57"/>
      <c r="VEN23" s="57"/>
      <c r="VEO23" s="57"/>
      <c r="VEP23" s="57"/>
      <c r="VEQ23" s="57"/>
      <c r="VER23" s="57"/>
      <c r="VES23" s="57"/>
      <c r="VET23" s="57"/>
      <c r="VEU23" s="57"/>
      <c r="VEV23" s="57"/>
      <c r="VEW23" s="57"/>
      <c r="VEX23" s="57"/>
      <c r="VEY23" s="57"/>
      <c r="VEZ23" s="57"/>
      <c r="VFA23" s="57"/>
      <c r="VFB23" s="57"/>
      <c r="VFC23" s="57"/>
      <c r="VFD23" s="57"/>
      <c r="VFE23" s="57"/>
      <c r="VFF23" s="57"/>
      <c r="VFG23" s="57"/>
      <c r="VFH23" s="57"/>
      <c r="VFI23" s="57"/>
      <c r="VFJ23" s="57"/>
      <c r="VFK23" s="57"/>
      <c r="VFL23" s="57"/>
      <c r="VFM23" s="57"/>
      <c r="VFN23" s="57"/>
      <c r="VFO23" s="57"/>
      <c r="VFP23" s="57"/>
      <c r="VFQ23" s="57"/>
      <c r="VFR23" s="57"/>
      <c r="VFS23" s="57"/>
      <c r="VFT23" s="57"/>
      <c r="VFU23" s="57"/>
      <c r="VFV23" s="57"/>
      <c r="VFW23" s="57"/>
      <c r="VFX23" s="57"/>
      <c r="VFY23" s="57"/>
      <c r="VFZ23" s="57"/>
      <c r="VGA23" s="57"/>
      <c r="VGB23" s="57"/>
      <c r="VGC23" s="57"/>
      <c r="VGD23" s="57"/>
      <c r="VGE23" s="57"/>
      <c r="VGF23" s="57"/>
      <c r="VGG23" s="57"/>
      <c r="VGH23" s="57"/>
      <c r="VGI23" s="57"/>
      <c r="VGJ23" s="57"/>
      <c r="VGK23" s="57"/>
      <c r="VGL23" s="57"/>
      <c r="VGM23" s="57"/>
      <c r="VGN23" s="57"/>
      <c r="VGO23" s="57"/>
      <c r="VGP23" s="57"/>
      <c r="VGQ23" s="57"/>
      <c r="VGR23" s="57"/>
      <c r="VGS23" s="57"/>
      <c r="VGT23" s="57"/>
      <c r="VGU23" s="57"/>
      <c r="VGV23" s="57"/>
      <c r="VGW23" s="57"/>
      <c r="VGX23" s="57"/>
      <c r="VGY23" s="57"/>
      <c r="VGZ23" s="57"/>
      <c r="VHA23" s="57"/>
      <c r="VHB23" s="57"/>
      <c r="VHC23" s="57"/>
      <c r="VHD23" s="57"/>
      <c r="VHE23" s="57"/>
      <c r="VHF23" s="57"/>
      <c r="VHG23" s="57"/>
      <c r="VHH23" s="57"/>
      <c r="VHI23" s="57"/>
      <c r="VHJ23" s="57"/>
      <c r="VHK23" s="57"/>
      <c r="VHL23" s="57"/>
      <c r="VHM23" s="57"/>
      <c r="VHN23" s="57"/>
      <c r="VHO23" s="57"/>
      <c r="VHP23" s="57"/>
      <c r="VHQ23" s="57"/>
      <c r="VHR23" s="57"/>
      <c r="VHS23" s="57"/>
      <c r="VHT23" s="57"/>
      <c r="VHU23" s="57"/>
      <c r="VHV23" s="57"/>
      <c r="VHW23" s="57"/>
      <c r="VHX23" s="57"/>
      <c r="VHY23" s="57"/>
      <c r="VHZ23" s="57"/>
      <c r="VIA23" s="57"/>
      <c r="VIB23" s="57"/>
      <c r="VIC23" s="57"/>
      <c r="VID23" s="57"/>
      <c r="VIE23" s="57"/>
      <c r="VIF23" s="57"/>
      <c r="VIG23" s="57"/>
      <c r="VIH23" s="57"/>
      <c r="VII23" s="57"/>
      <c r="VIJ23" s="57"/>
      <c r="VIK23" s="57"/>
      <c r="VIL23" s="57"/>
      <c r="VIM23" s="57"/>
      <c r="VIN23" s="57"/>
      <c r="VIO23" s="57"/>
      <c r="VIP23" s="57"/>
      <c r="VIQ23" s="57"/>
      <c r="VIR23" s="57"/>
      <c r="VIS23" s="57"/>
      <c r="VIT23" s="57"/>
      <c r="VIU23" s="57"/>
      <c r="VIV23" s="57"/>
      <c r="VIW23" s="57"/>
      <c r="VIX23" s="57"/>
      <c r="VIY23" s="57"/>
      <c r="VIZ23" s="57"/>
      <c r="VJA23" s="57"/>
      <c r="VJB23" s="57"/>
      <c r="VJC23" s="57"/>
      <c r="VJD23" s="57"/>
      <c r="VJE23" s="57"/>
      <c r="VJF23" s="57"/>
      <c r="VJG23" s="57"/>
      <c r="VJH23" s="57"/>
      <c r="VJI23" s="57"/>
      <c r="VJJ23" s="57"/>
      <c r="VJK23" s="57"/>
      <c r="VJL23" s="57"/>
      <c r="VJM23" s="57"/>
      <c r="VJN23" s="57"/>
      <c r="VJO23" s="57"/>
      <c r="VJP23" s="57"/>
      <c r="VJQ23" s="57"/>
      <c r="VJR23" s="57"/>
      <c r="VJS23" s="57"/>
      <c r="VJT23" s="57"/>
      <c r="VJU23" s="57"/>
      <c r="VJV23" s="57"/>
      <c r="VJW23" s="57"/>
      <c r="VJX23" s="57"/>
      <c r="VJY23" s="57"/>
      <c r="VJZ23" s="57"/>
      <c r="VKA23" s="57"/>
      <c r="VKB23" s="57"/>
      <c r="VKC23" s="57"/>
      <c r="VKD23" s="57"/>
      <c r="VKE23" s="57"/>
      <c r="VKF23" s="57"/>
      <c r="VKG23" s="57"/>
      <c r="VKH23" s="57"/>
      <c r="VKI23" s="57"/>
      <c r="VKJ23" s="57"/>
      <c r="VKK23" s="57"/>
      <c r="VKL23" s="57"/>
      <c r="VKM23" s="57"/>
      <c r="VKN23" s="57"/>
      <c r="VKO23" s="57"/>
      <c r="VKP23" s="57"/>
      <c r="VKQ23" s="57"/>
      <c r="VKR23" s="57"/>
      <c r="VKS23" s="57"/>
      <c r="VKT23" s="57"/>
      <c r="VKU23" s="57"/>
      <c r="VKV23" s="57"/>
      <c r="VKW23" s="57"/>
      <c r="VKX23" s="57"/>
      <c r="VKY23" s="57"/>
      <c r="VKZ23" s="57"/>
      <c r="VLA23" s="57"/>
      <c r="VLB23" s="57"/>
      <c r="VLC23" s="57"/>
      <c r="VLD23" s="57"/>
      <c r="VLE23" s="57"/>
      <c r="VLF23" s="57"/>
      <c r="VLG23" s="57"/>
      <c r="VLH23" s="57"/>
      <c r="VLI23" s="57"/>
      <c r="VLJ23" s="57"/>
      <c r="VLK23" s="57"/>
      <c r="VLL23" s="57"/>
      <c r="VLM23" s="57"/>
      <c r="VLN23" s="57"/>
      <c r="VLO23" s="57"/>
      <c r="VLP23" s="57"/>
      <c r="VLQ23" s="57"/>
      <c r="VLR23" s="57"/>
      <c r="VLS23" s="57"/>
      <c r="VLT23" s="57"/>
      <c r="VLU23" s="57"/>
      <c r="VLV23" s="57"/>
      <c r="VLW23" s="57"/>
      <c r="VLX23" s="57"/>
      <c r="VLY23" s="57"/>
      <c r="VLZ23" s="57"/>
      <c r="VMA23" s="57"/>
      <c r="VMB23" s="57"/>
      <c r="VMC23" s="57"/>
      <c r="VMD23" s="57"/>
      <c r="VME23" s="57"/>
      <c r="VMF23" s="57"/>
      <c r="VMG23" s="57"/>
      <c r="VMH23" s="57"/>
      <c r="VMI23" s="57"/>
      <c r="VMJ23" s="57"/>
      <c r="VMK23" s="57"/>
      <c r="VML23" s="57"/>
      <c r="VMM23" s="57"/>
      <c r="VMN23" s="57"/>
      <c r="VMO23" s="57"/>
      <c r="VMP23" s="57"/>
      <c r="VMQ23" s="57"/>
      <c r="VMR23" s="57"/>
      <c r="VMS23" s="57"/>
      <c r="VMT23" s="57"/>
      <c r="VMU23" s="57"/>
      <c r="VMV23" s="57"/>
      <c r="VMW23" s="57"/>
      <c r="VMX23" s="57"/>
      <c r="VMY23" s="57"/>
      <c r="VMZ23" s="57"/>
      <c r="VNA23" s="57"/>
      <c r="VNB23" s="57"/>
      <c r="VNC23" s="57"/>
      <c r="VND23" s="57"/>
      <c r="VNE23" s="57"/>
      <c r="VNF23" s="57"/>
      <c r="VNG23" s="57"/>
      <c r="VNH23" s="57"/>
      <c r="VNI23" s="57"/>
      <c r="VNJ23" s="57"/>
      <c r="VNK23" s="57"/>
      <c r="VNL23" s="57"/>
      <c r="VNM23" s="57"/>
      <c r="VNN23" s="57"/>
      <c r="VNO23" s="57"/>
      <c r="VNP23" s="57"/>
      <c r="VNQ23" s="57"/>
      <c r="VNR23" s="57"/>
      <c r="VNS23" s="57"/>
      <c r="VNT23" s="57"/>
      <c r="VNU23" s="57"/>
      <c r="VNV23" s="57"/>
      <c r="VNW23" s="57"/>
      <c r="VNX23" s="57"/>
      <c r="VNY23" s="57"/>
      <c r="VNZ23" s="57"/>
      <c r="VOA23" s="57"/>
      <c r="VOB23" s="57"/>
      <c r="VOC23" s="57"/>
      <c r="VOD23" s="57"/>
      <c r="VOE23" s="57"/>
      <c r="VOF23" s="57"/>
      <c r="VOG23" s="57"/>
      <c r="VOH23" s="57"/>
      <c r="VOI23" s="57"/>
      <c r="VOJ23" s="57"/>
      <c r="VOK23" s="57"/>
      <c r="VOL23" s="57"/>
      <c r="VOM23" s="57"/>
      <c r="VON23" s="57"/>
      <c r="VOO23" s="57"/>
      <c r="VOP23" s="57"/>
      <c r="VOQ23" s="57"/>
      <c r="VOR23" s="57"/>
      <c r="VOS23" s="57"/>
      <c r="VOT23" s="57"/>
      <c r="VOU23" s="57"/>
      <c r="VOV23" s="57"/>
      <c r="VOW23" s="57"/>
      <c r="VOX23" s="57"/>
      <c r="VOY23" s="57"/>
      <c r="VOZ23" s="57"/>
      <c r="VPA23" s="57"/>
      <c r="VPB23" s="57"/>
      <c r="VPC23" s="57"/>
      <c r="VPD23" s="57"/>
      <c r="VPE23" s="57"/>
      <c r="VPF23" s="57"/>
      <c r="VPG23" s="57"/>
      <c r="VPH23" s="57"/>
      <c r="VPI23" s="57"/>
      <c r="VPJ23" s="57"/>
      <c r="VPK23" s="57"/>
      <c r="VPL23" s="57"/>
      <c r="VPM23" s="57"/>
      <c r="VPN23" s="57"/>
      <c r="VPO23" s="57"/>
      <c r="VPP23" s="57"/>
      <c r="VPQ23" s="57"/>
      <c r="VPR23" s="57"/>
      <c r="VPS23" s="57"/>
      <c r="VPT23" s="57"/>
      <c r="VPU23" s="57"/>
      <c r="VPV23" s="57"/>
      <c r="VPW23" s="57"/>
      <c r="VPX23" s="57"/>
      <c r="VPY23" s="57"/>
      <c r="VPZ23" s="57"/>
      <c r="VQA23" s="57"/>
      <c r="VQB23" s="57"/>
      <c r="VQC23" s="57"/>
      <c r="VQD23" s="57"/>
      <c r="VQE23" s="57"/>
      <c r="VQF23" s="57"/>
      <c r="VQG23" s="57"/>
      <c r="VQH23" s="57"/>
      <c r="VQI23" s="57"/>
      <c r="VQJ23" s="57"/>
      <c r="VQK23" s="57"/>
      <c r="VQL23" s="57"/>
      <c r="VQM23" s="57"/>
      <c r="VQN23" s="57"/>
      <c r="VQO23" s="57"/>
      <c r="VQP23" s="57"/>
      <c r="VQQ23" s="57"/>
      <c r="VQR23" s="57"/>
      <c r="VQS23" s="57"/>
      <c r="VQT23" s="57"/>
      <c r="VQU23" s="57"/>
      <c r="VQV23" s="57"/>
      <c r="VQW23" s="57"/>
      <c r="VQX23" s="57"/>
      <c r="VQY23" s="57"/>
      <c r="VQZ23" s="57"/>
      <c r="VRA23" s="57"/>
      <c r="VRB23" s="57"/>
      <c r="VRC23" s="57"/>
      <c r="VRD23" s="57"/>
      <c r="VRE23" s="57"/>
      <c r="VRF23" s="57"/>
      <c r="VRG23" s="57"/>
      <c r="VRH23" s="57"/>
      <c r="VRI23" s="57"/>
      <c r="VRJ23" s="57"/>
      <c r="VRK23" s="57"/>
      <c r="VRL23" s="57"/>
      <c r="VRM23" s="57"/>
      <c r="VRN23" s="57"/>
      <c r="VRO23" s="57"/>
      <c r="VRP23" s="57"/>
      <c r="VRQ23" s="57"/>
      <c r="VRR23" s="57"/>
      <c r="VRS23" s="57"/>
      <c r="VRT23" s="57"/>
      <c r="VRU23" s="57"/>
      <c r="VRV23" s="57"/>
      <c r="VRW23" s="57"/>
      <c r="VRX23" s="57"/>
      <c r="VRY23" s="57"/>
      <c r="VRZ23" s="57"/>
      <c r="VSA23" s="57"/>
      <c r="VSB23" s="57"/>
      <c r="VSC23" s="57"/>
      <c r="VSD23" s="57"/>
      <c r="VSE23" s="57"/>
      <c r="VSF23" s="57"/>
      <c r="VSG23" s="57"/>
      <c r="VSH23" s="57"/>
      <c r="VSI23" s="57"/>
      <c r="VSJ23" s="57"/>
      <c r="VSK23" s="57"/>
      <c r="VSL23" s="57"/>
      <c r="VSM23" s="57"/>
      <c r="VSN23" s="57"/>
      <c r="VSO23" s="57"/>
      <c r="VSP23" s="57"/>
      <c r="VSQ23" s="57"/>
      <c r="VSR23" s="57"/>
      <c r="VSS23" s="57"/>
      <c r="VST23" s="57"/>
      <c r="VSU23" s="57"/>
      <c r="VSV23" s="57"/>
      <c r="VSW23" s="57"/>
      <c r="VSX23" s="57"/>
      <c r="VSY23" s="57"/>
      <c r="VSZ23" s="57"/>
      <c r="VTA23" s="57"/>
      <c r="VTB23" s="57"/>
      <c r="VTC23" s="57"/>
      <c r="VTD23" s="57"/>
      <c r="VTE23" s="57"/>
      <c r="VTF23" s="57"/>
      <c r="VTG23" s="57"/>
      <c r="VTH23" s="57"/>
      <c r="VTI23" s="57"/>
      <c r="VTJ23" s="57"/>
      <c r="VTK23" s="57"/>
      <c r="VTL23" s="57"/>
      <c r="VTM23" s="57"/>
      <c r="VTN23" s="57"/>
      <c r="VTO23" s="57"/>
      <c r="VTP23" s="57"/>
      <c r="VTQ23" s="57"/>
      <c r="VTR23" s="57"/>
      <c r="VTS23" s="57"/>
      <c r="VTT23" s="57"/>
      <c r="VTU23" s="57"/>
      <c r="VTV23" s="57"/>
      <c r="VTW23" s="57"/>
      <c r="VTX23" s="57"/>
      <c r="VTY23" s="57"/>
      <c r="VTZ23" s="57"/>
      <c r="VUA23" s="57"/>
      <c r="VUB23" s="57"/>
      <c r="VUC23" s="57"/>
      <c r="VUD23" s="57"/>
      <c r="VUE23" s="57"/>
      <c r="VUF23" s="57"/>
      <c r="VUG23" s="57"/>
      <c r="VUH23" s="57"/>
      <c r="VUI23" s="57"/>
      <c r="VUJ23" s="57"/>
      <c r="VUK23" s="57"/>
      <c r="VUL23" s="57"/>
      <c r="VUM23" s="57"/>
      <c r="VUN23" s="57"/>
      <c r="VUO23" s="57"/>
      <c r="VUP23" s="57"/>
      <c r="VUQ23" s="57"/>
      <c r="VUR23" s="57"/>
      <c r="VUS23" s="57"/>
      <c r="VUT23" s="57"/>
      <c r="VUU23" s="57"/>
      <c r="VUV23" s="57"/>
      <c r="VUW23" s="57"/>
      <c r="VUX23" s="57"/>
      <c r="VUY23" s="57"/>
      <c r="VUZ23" s="57"/>
      <c r="VVA23" s="57"/>
      <c r="VVB23" s="57"/>
      <c r="VVC23" s="57"/>
      <c r="VVD23" s="57"/>
      <c r="VVE23" s="57"/>
      <c r="VVF23" s="57"/>
      <c r="VVG23" s="57"/>
      <c r="VVH23" s="57"/>
      <c r="VVI23" s="57"/>
      <c r="VVJ23" s="57"/>
      <c r="VVK23" s="57"/>
      <c r="VVL23" s="57"/>
      <c r="VVM23" s="57"/>
      <c r="VVN23" s="57"/>
      <c r="VVO23" s="57"/>
      <c r="VVP23" s="57"/>
      <c r="VVQ23" s="57"/>
      <c r="VVR23" s="57"/>
      <c r="VVS23" s="57"/>
      <c r="VVT23" s="57"/>
      <c r="VVU23" s="57"/>
      <c r="VVV23" s="57"/>
      <c r="VVW23" s="57"/>
      <c r="VVX23" s="57"/>
      <c r="VVY23" s="57"/>
      <c r="VVZ23" s="57"/>
      <c r="VWA23" s="57"/>
      <c r="VWB23" s="57"/>
      <c r="VWC23" s="57"/>
      <c r="VWD23" s="57"/>
      <c r="VWE23" s="57"/>
      <c r="VWF23" s="57"/>
      <c r="VWG23" s="57"/>
      <c r="VWH23" s="57"/>
      <c r="VWI23" s="57"/>
      <c r="VWJ23" s="57"/>
      <c r="VWK23" s="57"/>
      <c r="VWL23" s="57"/>
      <c r="VWM23" s="57"/>
      <c r="VWN23" s="57"/>
      <c r="VWO23" s="57"/>
      <c r="VWP23" s="57"/>
      <c r="VWQ23" s="57"/>
      <c r="VWR23" s="57"/>
      <c r="VWS23" s="57"/>
      <c r="VWT23" s="57"/>
      <c r="VWU23" s="57"/>
      <c r="VWV23" s="57"/>
      <c r="VWW23" s="57"/>
      <c r="VWX23" s="57"/>
      <c r="VWY23" s="57"/>
      <c r="VWZ23" s="57"/>
      <c r="VXA23" s="57"/>
      <c r="VXB23" s="57"/>
      <c r="VXC23" s="57"/>
      <c r="VXD23" s="57"/>
      <c r="VXE23" s="57"/>
      <c r="VXF23" s="57"/>
      <c r="VXG23" s="57"/>
      <c r="VXH23" s="57"/>
      <c r="VXI23" s="57"/>
      <c r="VXJ23" s="57"/>
      <c r="VXK23" s="57"/>
      <c r="VXL23" s="57"/>
      <c r="VXM23" s="57"/>
      <c r="VXN23" s="57"/>
      <c r="VXO23" s="57"/>
      <c r="VXP23" s="57"/>
      <c r="VXQ23" s="57"/>
      <c r="VXR23" s="57"/>
      <c r="VXS23" s="57"/>
      <c r="VXT23" s="57"/>
      <c r="VXU23" s="57"/>
      <c r="VXV23" s="57"/>
      <c r="VXW23" s="57"/>
      <c r="VXX23" s="57"/>
      <c r="VXY23" s="57"/>
      <c r="VXZ23" s="57"/>
      <c r="VYA23" s="57"/>
      <c r="VYB23" s="57"/>
      <c r="VYC23" s="57"/>
      <c r="VYD23" s="57"/>
      <c r="VYE23" s="57"/>
      <c r="VYF23" s="57"/>
      <c r="VYG23" s="57"/>
      <c r="VYH23" s="57"/>
      <c r="VYI23" s="57"/>
      <c r="VYJ23" s="57"/>
      <c r="VYK23" s="57"/>
      <c r="VYL23" s="57"/>
      <c r="VYM23" s="57"/>
      <c r="VYN23" s="57"/>
      <c r="VYO23" s="57"/>
      <c r="VYP23" s="57"/>
      <c r="VYQ23" s="57"/>
      <c r="VYR23" s="57"/>
      <c r="VYS23" s="57"/>
      <c r="VYT23" s="57"/>
      <c r="VYU23" s="57"/>
      <c r="VYV23" s="57"/>
      <c r="VYW23" s="57"/>
      <c r="VYX23" s="57"/>
      <c r="VYY23" s="57"/>
      <c r="VYZ23" s="57"/>
      <c r="VZA23" s="57"/>
      <c r="VZB23" s="57"/>
      <c r="VZC23" s="57"/>
      <c r="VZD23" s="57"/>
      <c r="VZE23" s="57"/>
      <c r="VZF23" s="57"/>
      <c r="VZG23" s="57"/>
      <c r="VZH23" s="57"/>
      <c r="VZI23" s="57"/>
      <c r="VZJ23" s="57"/>
      <c r="VZK23" s="57"/>
      <c r="VZL23" s="57"/>
      <c r="VZM23" s="57"/>
      <c r="VZN23" s="57"/>
      <c r="VZO23" s="57"/>
      <c r="VZP23" s="57"/>
      <c r="VZQ23" s="57"/>
      <c r="VZR23" s="57"/>
      <c r="VZS23" s="57"/>
      <c r="VZT23" s="57"/>
      <c r="VZU23" s="57"/>
      <c r="VZV23" s="57"/>
      <c r="VZW23" s="57"/>
      <c r="VZX23" s="57"/>
      <c r="VZY23" s="57"/>
      <c r="VZZ23" s="57"/>
      <c r="WAA23" s="57"/>
      <c r="WAB23" s="57"/>
      <c r="WAC23" s="57"/>
      <c r="WAD23" s="57"/>
      <c r="WAE23" s="57"/>
      <c r="WAF23" s="57"/>
      <c r="WAG23" s="57"/>
      <c r="WAH23" s="57"/>
      <c r="WAI23" s="57"/>
      <c r="WAJ23" s="57"/>
      <c r="WAK23" s="57"/>
      <c r="WAL23" s="57"/>
      <c r="WAM23" s="57"/>
      <c r="WAN23" s="57"/>
      <c r="WAO23" s="57"/>
      <c r="WAP23" s="57"/>
      <c r="WAQ23" s="57"/>
      <c r="WAR23" s="57"/>
      <c r="WAS23" s="57"/>
      <c r="WAT23" s="57"/>
      <c r="WAU23" s="57"/>
      <c r="WAV23" s="57"/>
      <c r="WAW23" s="57"/>
      <c r="WAX23" s="57"/>
      <c r="WAY23" s="57"/>
      <c r="WAZ23" s="57"/>
      <c r="WBA23" s="57"/>
      <c r="WBB23" s="57"/>
      <c r="WBC23" s="57"/>
      <c r="WBD23" s="57"/>
      <c r="WBE23" s="57"/>
      <c r="WBF23" s="57"/>
      <c r="WBG23" s="57"/>
      <c r="WBH23" s="57"/>
      <c r="WBI23" s="57"/>
      <c r="WBJ23" s="57"/>
      <c r="WBK23" s="57"/>
      <c r="WBL23" s="57"/>
      <c r="WBM23" s="57"/>
      <c r="WBN23" s="57"/>
      <c r="WBO23" s="57"/>
      <c r="WBP23" s="57"/>
      <c r="WBQ23" s="57"/>
      <c r="WBR23" s="57"/>
      <c r="WBS23" s="57"/>
      <c r="WBT23" s="57"/>
      <c r="WBU23" s="57"/>
      <c r="WBV23" s="57"/>
      <c r="WBW23" s="57"/>
      <c r="WBX23" s="57"/>
      <c r="WBY23" s="57"/>
      <c r="WBZ23" s="57"/>
      <c r="WCA23" s="57"/>
      <c r="WCB23" s="57"/>
      <c r="WCC23" s="57"/>
      <c r="WCD23" s="57"/>
      <c r="WCE23" s="57"/>
      <c r="WCF23" s="57"/>
      <c r="WCG23" s="57"/>
      <c r="WCH23" s="57"/>
      <c r="WCI23" s="57"/>
      <c r="WCJ23" s="57"/>
      <c r="WCK23" s="57"/>
      <c r="WCL23" s="57"/>
      <c r="WCM23" s="57"/>
      <c r="WCN23" s="57"/>
      <c r="WCO23" s="57"/>
      <c r="WCP23" s="57"/>
      <c r="WCQ23" s="57"/>
      <c r="WCR23" s="57"/>
      <c r="WCS23" s="57"/>
      <c r="WCT23" s="57"/>
      <c r="WCU23" s="57"/>
      <c r="WCV23" s="57"/>
      <c r="WCW23" s="57"/>
      <c r="WCX23" s="57"/>
      <c r="WCY23" s="57"/>
      <c r="WCZ23" s="57"/>
      <c r="WDA23" s="57"/>
      <c r="WDB23" s="57"/>
      <c r="WDC23" s="57"/>
      <c r="WDD23" s="57"/>
      <c r="WDE23" s="57"/>
      <c r="WDF23" s="57"/>
      <c r="WDG23" s="57"/>
      <c r="WDH23" s="57"/>
      <c r="WDI23" s="57"/>
      <c r="WDJ23" s="57"/>
      <c r="WDK23" s="57"/>
      <c r="WDL23" s="57"/>
      <c r="WDM23" s="57"/>
      <c r="WDN23" s="57"/>
      <c r="WDO23" s="57"/>
      <c r="WDP23" s="57"/>
      <c r="WDQ23" s="57"/>
      <c r="WDR23" s="57"/>
      <c r="WDS23" s="57"/>
      <c r="WDT23" s="57"/>
      <c r="WDU23" s="57"/>
      <c r="WDV23" s="57"/>
      <c r="WDW23" s="57"/>
      <c r="WDX23" s="57"/>
      <c r="WDY23" s="57"/>
      <c r="WDZ23" s="57"/>
      <c r="WEA23" s="57"/>
      <c r="WEB23" s="57"/>
      <c r="WEC23" s="57"/>
      <c r="WED23" s="57"/>
      <c r="WEE23" s="57"/>
      <c r="WEF23" s="57"/>
      <c r="WEG23" s="57"/>
      <c r="WEH23" s="57"/>
      <c r="WEI23" s="57"/>
      <c r="WEJ23" s="57"/>
      <c r="WEK23" s="57"/>
      <c r="WEL23" s="57"/>
      <c r="WEM23" s="57"/>
      <c r="WEN23" s="57"/>
      <c r="WEO23" s="57"/>
      <c r="WEP23" s="57"/>
      <c r="WEQ23" s="57"/>
      <c r="WER23" s="57"/>
      <c r="WES23" s="57"/>
      <c r="WET23" s="57"/>
      <c r="WEU23" s="57"/>
      <c r="WEV23" s="57"/>
      <c r="WEW23" s="57"/>
      <c r="WEX23" s="57"/>
      <c r="WEY23" s="57"/>
      <c r="WEZ23" s="57"/>
      <c r="WFA23" s="57"/>
      <c r="WFB23" s="57"/>
      <c r="WFC23" s="57"/>
      <c r="WFD23" s="57"/>
      <c r="WFE23" s="57"/>
      <c r="WFF23" s="57"/>
      <c r="WFG23" s="57"/>
      <c r="WFH23" s="57"/>
      <c r="WFI23" s="57"/>
      <c r="WFJ23" s="57"/>
      <c r="WFK23" s="57"/>
      <c r="WFL23" s="57"/>
      <c r="WFM23" s="57"/>
      <c r="WFN23" s="57"/>
      <c r="WFO23" s="57"/>
      <c r="WFP23" s="57"/>
      <c r="WFQ23" s="57"/>
      <c r="WFR23" s="57"/>
      <c r="WFS23" s="57"/>
      <c r="WFT23" s="57"/>
      <c r="WFU23" s="57"/>
      <c r="WFV23" s="57"/>
      <c r="WFW23" s="57"/>
      <c r="WFX23" s="57"/>
      <c r="WFY23" s="57"/>
      <c r="WFZ23" s="57"/>
      <c r="WGA23" s="57"/>
      <c r="WGB23" s="57"/>
      <c r="WGC23" s="57"/>
      <c r="WGD23" s="57"/>
      <c r="WGE23" s="57"/>
      <c r="WGF23" s="57"/>
      <c r="WGG23" s="57"/>
      <c r="WGH23" s="57"/>
      <c r="WGI23" s="57"/>
      <c r="WGJ23" s="57"/>
      <c r="WGK23" s="57"/>
      <c r="WGL23" s="57"/>
      <c r="WGM23" s="57"/>
      <c r="WGN23" s="57"/>
      <c r="WGO23" s="57"/>
      <c r="WGP23" s="57"/>
      <c r="WGQ23" s="57"/>
      <c r="WGR23" s="57"/>
      <c r="WGS23" s="57"/>
      <c r="WGT23" s="57"/>
      <c r="WGU23" s="57"/>
      <c r="WGV23" s="57"/>
      <c r="WGW23" s="57"/>
      <c r="WGX23" s="57"/>
      <c r="WGY23" s="57"/>
      <c r="WGZ23" s="57"/>
      <c r="WHA23" s="57"/>
      <c r="WHB23" s="57"/>
      <c r="WHC23" s="57"/>
      <c r="WHD23" s="57"/>
      <c r="WHE23" s="57"/>
      <c r="WHF23" s="57"/>
      <c r="WHG23" s="57"/>
      <c r="WHH23" s="57"/>
      <c r="WHI23" s="57"/>
      <c r="WHJ23" s="57"/>
      <c r="WHK23" s="57"/>
      <c r="WHL23" s="57"/>
      <c r="WHM23" s="57"/>
      <c r="WHN23" s="57"/>
      <c r="WHO23" s="57"/>
      <c r="WHP23" s="57"/>
      <c r="WHQ23" s="57"/>
      <c r="WHR23" s="57"/>
      <c r="WHS23" s="57"/>
      <c r="WHT23" s="57"/>
      <c r="WHU23" s="57"/>
      <c r="WHV23" s="57"/>
      <c r="WHW23" s="57"/>
      <c r="WHX23" s="57"/>
      <c r="WHY23" s="57"/>
      <c r="WHZ23" s="57"/>
      <c r="WIA23" s="57"/>
      <c r="WIB23" s="57"/>
      <c r="WIC23" s="57"/>
      <c r="WID23" s="57"/>
      <c r="WIE23" s="57"/>
      <c r="WIF23" s="57"/>
      <c r="WIG23" s="57"/>
      <c r="WIH23" s="57"/>
      <c r="WII23" s="57"/>
      <c r="WIJ23" s="57"/>
      <c r="WIK23" s="57"/>
      <c r="WIL23" s="57"/>
      <c r="WIM23" s="57"/>
      <c r="WIN23" s="57"/>
      <c r="WIO23" s="57"/>
      <c r="WIP23" s="57"/>
      <c r="WIQ23" s="57"/>
      <c r="WIR23" s="57"/>
      <c r="WIS23" s="57"/>
      <c r="WIT23" s="57"/>
      <c r="WIU23" s="57"/>
      <c r="WIV23" s="57"/>
      <c r="WIW23" s="57"/>
      <c r="WIX23" s="57"/>
      <c r="WIY23" s="57"/>
      <c r="WIZ23" s="57"/>
      <c r="WJA23" s="57"/>
      <c r="WJB23" s="57"/>
      <c r="WJC23" s="57"/>
      <c r="WJD23" s="57"/>
      <c r="WJE23" s="57"/>
      <c r="WJF23" s="57"/>
      <c r="WJG23" s="57"/>
      <c r="WJH23" s="57"/>
      <c r="WJI23" s="57"/>
      <c r="WJJ23" s="57"/>
      <c r="WJK23" s="57"/>
      <c r="WJL23" s="57"/>
      <c r="WJM23" s="57"/>
      <c r="WJN23" s="57"/>
      <c r="WJO23" s="57"/>
      <c r="WJP23" s="57"/>
      <c r="WJQ23" s="57"/>
      <c r="WJR23" s="57"/>
      <c r="WJS23" s="57"/>
      <c r="WJT23" s="57"/>
      <c r="WJU23" s="57"/>
      <c r="WJV23" s="57"/>
      <c r="WJW23" s="57"/>
      <c r="WJX23" s="57"/>
      <c r="WJY23" s="57"/>
      <c r="WJZ23" s="57"/>
      <c r="WKA23" s="57"/>
      <c r="WKB23" s="57"/>
      <c r="WKC23" s="57"/>
      <c r="WKD23" s="57"/>
      <c r="WKE23" s="57"/>
      <c r="WKF23" s="57"/>
      <c r="WKG23" s="57"/>
      <c r="WKH23" s="57"/>
      <c r="WKI23" s="57"/>
      <c r="WKJ23" s="57"/>
      <c r="WKK23" s="57"/>
      <c r="WKL23" s="57"/>
      <c r="WKM23" s="57"/>
      <c r="WKN23" s="57"/>
      <c r="WKO23" s="57"/>
      <c r="WKP23" s="57"/>
      <c r="WKQ23" s="57"/>
      <c r="WKR23" s="57"/>
      <c r="WKS23" s="57"/>
      <c r="WKT23" s="57"/>
      <c r="WKU23" s="57"/>
      <c r="WKV23" s="57"/>
      <c r="WKW23" s="57"/>
      <c r="WKX23" s="57"/>
      <c r="WKY23" s="57"/>
      <c r="WKZ23" s="57"/>
      <c r="WLA23" s="57"/>
      <c r="WLB23" s="57"/>
      <c r="WLC23" s="57"/>
      <c r="WLD23" s="57"/>
      <c r="WLE23" s="57"/>
      <c r="WLF23" s="57"/>
      <c r="WLG23" s="57"/>
      <c r="WLH23" s="57"/>
      <c r="WLI23" s="57"/>
      <c r="WLJ23" s="57"/>
      <c r="WLK23" s="57"/>
      <c r="WLL23" s="57"/>
      <c r="WLM23" s="57"/>
      <c r="WLN23" s="57"/>
      <c r="WLO23" s="57"/>
      <c r="WLP23" s="57"/>
      <c r="WLQ23" s="57"/>
      <c r="WLR23" s="57"/>
      <c r="WLS23" s="57"/>
      <c r="WLT23" s="57"/>
      <c r="WLU23" s="57"/>
      <c r="WLV23" s="57"/>
      <c r="WLW23" s="57"/>
      <c r="WLX23" s="57"/>
      <c r="WLY23" s="57"/>
      <c r="WLZ23" s="57"/>
      <c r="WMA23" s="57"/>
      <c r="WMB23" s="57"/>
      <c r="WMC23" s="57"/>
      <c r="WMD23" s="57"/>
      <c r="WME23" s="57"/>
      <c r="WMF23" s="57"/>
      <c r="WMG23" s="57"/>
      <c r="WMH23" s="57"/>
      <c r="WMI23" s="57"/>
      <c r="WMJ23" s="57"/>
      <c r="WMK23" s="57"/>
      <c r="WML23" s="57"/>
      <c r="WMM23" s="57"/>
      <c r="WMN23" s="57"/>
      <c r="WMO23" s="57"/>
      <c r="WMP23" s="57"/>
      <c r="WMQ23" s="57"/>
      <c r="WMR23" s="57"/>
      <c r="WMS23" s="57"/>
      <c r="WMT23" s="57"/>
      <c r="WMU23" s="57"/>
      <c r="WMV23" s="57"/>
      <c r="WMW23" s="57"/>
      <c r="WMX23" s="57"/>
      <c r="WMY23" s="57"/>
      <c r="WMZ23" s="57"/>
      <c r="WNA23" s="57"/>
      <c r="WNB23" s="57"/>
      <c r="WNC23" s="57"/>
      <c r="WND23" s="57"/>
      <c r="WNE23" s="57"/>
      <c r="WNF23" s="57"/>
      <c r="WNG23" s="57"/>
      <c r="WNH23" s="57"/>
      <c r="WNI23" s="57"/>
      <c r="WNJ23" s="57"/>
      <c r="WNK23" s="57"/>
      <c r="WNL23" s="57"/>
      <c r="WNM23" s="57"/>
      <c r="WNN23" s="57"/>
      <c r="WNO23" s="57"/>
      <c r="WNP23" s="57"/>
      <c r="WNQ23" s="57"/>
      <c r="WNR23" s="57"/>
      <c r="WNS23" s="57"/>
      <c r="WNT23" s="57"/>
      <c r="WNU23" s="57"/>
      <c r="WNV23" s="57"/>
      <c r="WNW23" s="57"/>
      <c r="WNX23" s="57"/>
      <c r="WNY23" s="57"/>
      <c r="WNZ23" s="57"/>
      <c r="WOA23" s="57"/>
      <c r="WOB23" s="57"/>
      <c r="WOC23" s="57"/>
      <c r="WOD23" s="57"/>
      <c r="WOE23" s="57"/>
      <c r="WOF23" s="57"/>
      <c r="WOG23" s="57"/>
      <c r="WOH23" s="57"/>
      <c r="WOI23" s="57"/>
      <c r="WOJ23" s="57"/>
      <c r="WOK23" s="57"/>
      <c r="WOL23" s="57"/>
      <c r="WOM23" s="57"/>
      <c r="WON23" s="57"/>
      <c r="WOO23" s="57"/>
      <c r="WOP23" s="57"/>
      <c r="WOQ23" s="57"/>
      <c r="WOR23" s="57"/>
      <c r="WOS23" s="57"/>
      <c r="WOT23" s="57"/>
      <c r="WOU23" s="57"/>
      <c r="WOV23" s="57"/>
      <c r="WOW23" s="57"/>
      <c r="WOX23" s="57"/>
      <c r="WOY23" s="57"/>
      <c r="WOZ23" s="57"/>
      <c r="WPA23" s="57"/>
      <c r="WPB23" s="57"/>
      <c r="WPC23" s="57"/>
      <c r="WPD23" s="57"/>
      <c r="WPE23" s="57"/>
      <c r="WPF23" s="57"/>
      <c r="WPG23" s="57"/>
      <c r="WPH23" s="57"/>
      <c r="WPI23" s="57"/>
      <c r="WPJ23" s="57"/>
      <c r="WPK23" s="57"/>
      <c r="WPL23" s="57"/>
      <c r="WPM23" s="57"/>
      <c r="WPN23" s="57"/>
      <c r="WPO23" s="57"/>
      <c r="WPP23" s="57"/>
      <c r="WPQ23" s="57"/>
      <c r="WPR23" s="57"/>
      <c r="WPS23" s="57"/>
      <c r="WPT23" s="57"/>
      <c r="WPU23" s="57"/>
      <c r="WPV23" s="57"/>
      <c r="WPW23" s="57"/>
      <c r="WPX23" s="57"/>
      <c r="WPY23" s="57"/>
      <c r="WPZ23" s="57"/>
      <c r="WQA23" s="57"/>
      <c r="WQB23" s="57"/>
      <c r="WQC23" s="57"/>
      <c r="WQD23" s="57"/>
      <c r="WQE23" s="57"/>
      <c r="WQF23" s="57"/>
      <c r="WQG23" s="57"/>
      <c r="WQH23" s="57"/>
      <c r="WQI23" s="57"/>
      <c r="WQJ23" s="57"/>
      <c r="WQK23" s="57"/>
      <c r="WQL23" s="57"/>
      <c r="WQM23" s="57"/>
      <c r="WQN23" s="57"/>
      <c r="WQO23" s="57"/>
      <c r="WQP23" s="57"/>
      <c r="WQQ23" s="57"/>
      <c r="WQR23" s="57"/>
      <c r="WQS23" s="57"/>
      <c r="WQT23" s="57"/>
      <c r="WQU23" s="57"/>
      <c r="WQV23" s="57"/>
      <c r="WQW23" s="57"/>
      <c r="WQX23" s="57"/>
      <c r="WQY23" s="57"/>
      <c r="WQZ23" s="57"/>
      <c r="WRA23" s="57"/>
      <c r="WRB23" s="57"/>
      <c r="WRC23" s="57"/>
      <c r="WRD23" s="57"/>
      <c r="WRE23" s="57"/>
      <c r="WRF23" s="57"/>
      <c r="WRG23" s="57"/>
      <c r="WRH23" s="57"/>
      <c r="WRI23" s="57"/>
      <c r="WRJ23" s="57"/>
      <c r="WRK23" s="57"/>
      <c r="WRL23" s="57"/>
      <c r="WRM23" s="57"/>
      <c r="WRN23" s="57"/>
      <c r="WRO23" s="57"/>
      <c r="WRP23" s="57"/>
      <c r="WRQ23" s="57"/>
      <c r="WRR23" s="57"/>
      <c r="WRS23" s="57"/>
      <c r="WRT23" s="57"/>
      <c r="WRU23" s="57"/>
      <c r="WRV23" s="57"/>
      <c r="WRW23" s="57"/>
      <c r="WRX23" s="57"/>
      <c r="WRY23" s="57"/>
      <c r="WRZ23" s="57"/>
      <c r="WSA23" s="57"/>
      <c r="WSB23" s="57"/>
      <c r="WSC23" s="57"/>
      <c r="WSD23" s="57"/>
      <c r="WSE23" s="57"/>
      <c r="WSF23" s="57"/>
      <c r="WSG23" s="57"/>
      <c r="WSH23" s="57"/>
      <c r="WSI23" s="57"/>
      <c r="WSJ23" s="57"/>
      <c r="WSK23" s="57"/>
      <c r="WSL23" s="57"/>
      <c r="WSM23" s="57"/>
      <c r="WSN23" s="57"/>
      <c r="WSO23" s="57"/>
      <c r="WSP23" s="57"/>
      <c r="WSQ23" s="57"/>
      <c r="WSR23" s="57"/>
      <c r="WSS23" s="57"/>
      <c r="WST23" s="57"/>
      <c r="WSU23" s="57"/>
      <c r="WSV23" s="57"/>
      <c r="WSW23" s="57"/>
      <c r="WSX23" s="57"/>
      <c r="WSY23" s="57"/>
      <c r="WSZ23" s="57"/>
      <c r="WTA23" s="57"/>
      <c r="WTB23" s="57"/>
      <c r="WTC23" s="57"/>
      <c r="WTD23" s="57"/>
      <c r="WTE23" s="57"/>
      <c r="WTF23" s="57"/>
      <c r="WTG23" s="57"/>
      <c r="WTH23" s="57"/>
      <c r="WTI23" s="57"/>
      <c r="WTJ23" s="57"/>
      <c r="WTK23" s="57"/>
      <c r="WTL23" s="57"/>
      <c r="WTM23" s="57"/>
      <c r="WTN23" s="57"/>
      <c r="WTO23" s="57"/>
      <c r="WTP23" s="57"/>
      <c r="WTQ23" s="57"/>
      <c r="WTR23" s="57"/>
      <c r="WTS23" s="57"/>
      <c r="WTT23" s="57"/>
      <c r="WTU23" s="57"/>
      <c r="WTV23" s="57"/>
      <c r="WTW23" s="57"/>
      <c r="WTX23" s="57"/>
      <c r="WTY23" s="57"/>
      <c r="WTZ23" s="57"/>
      <c r="WUA23" s="57"/>
      <c r="WUB23" s="57"/>
      <c r="WUC23" s="57"/>
      <c r="WUD23" s="57"/>
      <c r="WUE23" s="57"/>
      <c r="WUF23" s="57"/>
      <c r="WUG23" s="57"/>
      <c r="WUH23" s="57"/>
      <c r="WUI23" s="57"/>
      <c r="WUJ23" s="57"/>
      <c r="WUK23" s="57"/>
      <c r="WUL23" s="57"/>
      <c r="WUM23" s="57"/>
      <c r="WUN23" s="57"/>
      <c r="WUO23" s="57"/>
      <c r="WUP23" s="57"/>
      <c r="WUQ23" s="57"/>
      <c r="WUR23" s="57"/>
      <c r="WUS23" s="57"/>
      <c r="WUT23" s="57"/>
      <c r="WUU23" s="57"/>
      <c r="WUV23" s="57"/>
      <c r="WUW23" s="57"/>
      <c r="WUX23" s="57"/>
      <c r="WUY23" s="57"/>
      <c r="WUZ23" s="57"/>
      <c r="WVA23" s="57"/>
      <c r="WVB23" s="57"/>
      <c r="WVC23" s="57"/>
      <c r="WVD23" s="57"/>
      <c r="WVE23" s="57"/>
      <c r="WVF23" s="57"/>
      <c r="WVG23" s="57"/>
      <c r="WVH23" s="57"/>
      <c r="WVI23" s="57"/>
      <c r="WVJ23" s="57"/>
      <c r="WVK23" s="57"/>
      <c r="WVL23" s="57"/>
      <c r="WVM23" s="57"/>
      <c r="WVN23" s="57"/>
      <c r="WVO23" s="57"/>
      <c r="WVP23" s="57"/>
      <c r="WVQ23" s="57"/>
      <c r="WVR23" s="57"/>
      <c r="WVS23" s="57"/>
      <c r="WVT23" s="57"/>
      <c r="WVU23" s="57"/>
      <c r="WVV23" s="57"/>
      <c r="WVW23" s="57"/>
      <c r="WVX23" s="57"/>
      <c r="WVY23" s="57"/>
      <c r="WVZ23" s="57"/>
      <c r="WWA23" s="57"/>
      <c r="WWB23" s="57"/>
      <c r="WWC23" s="57"/>
      <c r="WWD23" s="57"/>
      <c r="WWE23" s="57"/>
      <c r="WWF23" s="57"/>
      <c r="WWG23" s="57"/>
      <c r="WWH23" s="57"/>
      <c r="WWI23" s="57"/>
      <c r="WWJ23" s="57"/>
      <c r="WWK23" s="57"/>
      <c r="WWL23" s="57"/>
      <c r="WWM23" s="57"/>
      <c r="WWN23" s="57"/>
      <c r="WWO23" s="57"/>
      <c r="WWP23" s="57"/>
      <c r="WWQ23" s="57"/>
      <c r="WWR23" s="57"/>
      <c r="WWS23" s="57"/>
      <c r="WWT23" s="57"/>
      <c r="WWU23" s="57"/>
      <c r="WWV23" s="57"/>
      <c r="WWW23" s="57"/>
      <c r="WWX23" s="57"/>
      <c r="WWY23" s="57"/>
      <c r="WWZ23" s="57"/>
      <c r="WXA23" s="57"/>
      <c r="WXB23" s="57"/>
      <c r="WXC23" s="57"/>
      <c r="WXD23" s="57"/>
      <c r="WXE23" s="57"/>
      <c r="WXF23" s="57"/>
      <c r="WXG23" s="57"/>
      <c r="WXH23" s="57"/>
      <c r="WXI23" s="57"/>
      <c r="WXJ23" s="57"/>
      <c r="WXK23" s="57"/>
      <c r="WXL23" s="57"/>
      <c r="WXM23" s="57"/>
      <c r="WXN23" s="57"/>
      <c r="WXO23" s="57"/>
      <c r="WXP23" s="57"/>
      <c r="WXQ23" s="57"/>
      <c r="WXR23" s="57"/>
      <c r="WXS23" s="57"/>
      <c r="WXT23" s="57"/>
      <c r="WXU23" s="57"/>
      <c r="WXV23" s="57"/>
      <c r="WXW23" s="57"/>
      <c r="WXX23" s="57"/>
      <c r="WXY23" s="57"/>
      <c r="WXZ23" s="57"/>
      <c r="WYA23" s="57"/>
      <c r="WYB23" s="57"/>
      <c r="WYC23" s="57"/>
      <c r="WYD23" s="57"/>
      <c r="WYE23" s="57"/>
      <c r="WYF23" s="57"/>
      <c r="WYG23" s="57"/>
      <c r="WYH23" s="57"/>
      <c r="WYI23" s="57"/>
      <c r="WYJ23" s="57"/>
      <c r="WYK23" s="57"/>
      <c r="WYL23" s="57"/>
      <c r="WYM23" s="57"/>
      <c r="WYN23" s="57"/>
      <c r="WYO23" s="57"/>
      <c r="WYP23" s="57"/>
      <c r="WYQ23" s="57"/>
      <c r="WYR23" s="57"/>
      <c r="WYS23" s="57"/>
      <c r="WYT23" s="57"/>
      <c r="WYU23" s="57"/>
      <c r="WYV23" s="57"/>
      <c r="WYW23" s="57"/>
      <c r="WYX23" s="57"/>
      <c r="WYY23" s="57"/>
      <c r="WYZ23" s="57"/>
      <c r="WZA23" s="57"/>
      <c r="WZB23" s="57"/>
      <c r="WZC23" s="57"/>
      <c r="WZD23" s="57"/>
      <c r="WZE23" s="57"/>
      <c r="WZF23" s="57"/>
      <c r="WZG23" s="57"/>
      <c r="WZH23" s="57"/>
      <c r="WZI23" s="57"/>
      <c r="WZJ23" s="57"/>
      <c r="WZK23" s="57"/>
      <c r="WZL23" s="57"/>
      <c r="WZM23" s="57"/>
      <c r="WZN23" s="57"/>
      <c r="WZO23" s="57"/>
      <c r="WZP23" s="57"/>
      <c r="WZQ23" s="57"/>
      <c r="WZR23" s="57"/>
      <c r="WZS23" s="57"/>
      <c r="WZT23" s="57"/>
      <c r="WZU23" s="57"/>
      <c r="WZV23" s="57"/>
      <c r="WZW23" s="57"/>
      <c r="WZX23" s="57"/>
      <c r="WZY23" s="57"/>
      <c r="WZZ23" s="57"/>
      <c r="XAA23" s="57"/>
      <c r="XAB23" s="57"/>
      <c r="XAC23" s="57"/>
      <c r="XAD23" s="57"/>
      <c r="XAE23" s="57"/>
      <c r="XAF23" s="57"/>
      <c r="XAG23" s="57"/>
      <c r="XAH23" s="57"/>
      <c r="XAI23" s="57"/>
      <c r="XAJ23" s="57"/>
      <c r="XAK23" s="57"/>
      <c r="XAL23" s="57"/>
      <c r="XAM23" s="57"/>
      <c r="XAN23" s="57"/>
      <c r="XAO23" s="57"/>
      <c r="XAP23" s="57"/>
      <c r="XAQ23" s="57"/>
      <c r="XAR23" s="57"/>
      <c r="XAS23" s="57"/>
      <c r="XAT23" s="57"/>
      <c r="XAU23" s="57"/>
      <c r="XAV23" s="57"/>
      <c r="XAW23" s="57"/>
      <c r="XAX23" s="57"/>
      <c r="XAY23" s="57"/>
      <c r="XAZ23" s="57"/>
      <c r="XBA23" s="57"/>
      <c r="XBB23" s="57"/>
      <c r="XBC23" s="57"/>
      <c r="XBD23" s="57"/>
      <c r="XBE23" s="57"/>
      <c r="XBF23" s="57"/>
      <c r="XBG23" s="57"/>
      <c r="XBH23" s="57"/>
      <c r="XBI23" s="57"/>
      <c r="XBJ23" s="57"/>
      <c r="XBK23" s="57"/>
      <c r="XBL23" s="57"/>
      <c r="XBM23" s="57"/>
      <c r="XBN23" s="57"/>
      <c r="XBO23" s="57"/>
      <c r="XBP23" s="57"/>
      <c r="XBQ23" s="57"/>
      <c r="XBR23" s="57"/>
      <c r="XBS23" s="57"/>
      <c r="XBT23" s="57"/>
      <c r="XBU23" s="57"/>
      <c r="XBV23" s="57"/>
      <c r="XBW23" s="57"/>
      <c r="XBX23" s="57"/>
      <c r="XBY23" s="57"/>
      <c r="XBZ23" s="57"/>
      <c r="XCA23" s="57"/>
      <c r="XCB23" s="57"/>
      <c r="XCC23" s="57"/>
      <c r="XCD23" s="57"/>
      <c r="XCE23" s="57"/>
      <c r="XCF23" s="57"/>
      <c r="XCG23" s="57"/>
      <c r="XCH23" s="57"/>
      <c r="XCI23" s="57"/>
      <c r="XCJ23" s="57"/>
      <c r="XCK23" s="57"/>
      <c r="XCL23" s="57"/>
      <c r="XCM23" s="57"/>
      <c r="XCN23" s="57"/>
      <c r="XCO23" s="57"/>
      <c r="XCP23" s="57"/>
      <c r="XCQ23" s="57"/>
      <c r="XCR23" s="57"/>
      <c r="XCS23" s="57"/>
      <c r="XCT23" s="57"/>
      <c r="XCU23" s="57"/>
      <c r="XCV23" s="57"/>
      <c r="XCW23" s="57"/>
      <c r="XCX23" s="57"/>
      <c r="XCY23" s="57"/>
      <c r="XCZ23" s="57"/>
      <c r="XDA23" s="57"/>
      <c r="XDB23" s="57"/>
      <c r="XDC23" s="57"/>
      <c r="XDD23" s="57"/>
      <c r="XDE23" s="57"/>
      <c r="XDF23" s="57"/>
      <c r="XDG23" s="57"/>
      <c r="XDH23" s="57"/>
      <c r="XDI23" s="57"/>
      <c r="XDJ23" s="57"/>
      <c r="XDK23" s="57"/>
      <c r="XDL23" s="57"/>
      <c r="XDM23" s="57"/>
      <c r="XDN23" s="57"/>
      <c r="XDO23" s="57"/>
      <c r="XDP23" s="57"/>
      <c r="XDQ23" s="57"/>
      <c r="XDR23" s="57"/>
      <c r="XDS23" s="57"/>
      <c r="XDT23" s="57"/>
      <c r="XDU23" s="57"/>
      <c r="XDV23" s="57"/>
      <c r="XDW23" s="57"/>
      <c r="XDX23" s="57"/>
      <c r="XDY23" s="57"/>
      <c r="XDZ23" s="57"/>
      <c r="XEA23" s="57"/>
      <c r="XEB23" s="57"/>
      <c r="XEC23" s="57"/>
      <c r="XED23" s="57"/>
      <c r="XEE23" s="57"/>
      <c r="XEF23" s="57"/>
      <c r="XEG23" s="57"/>
      <c r="XEH23" s="57"/>
      <c r="XEI23" s="57"/>
      <c r="XEJ23" s="57"/>
      <c r="XEK23" s="57"/>
      <c r="XEL23" s="57"/>
      <c r="XEM23" s="57"/>
      <c r="XEN23" s="57"/>
      <c r="XEO23" s="57"/>
      <c r="XEP23" s="57"/>
      <c r="XEQ23" s="57"/>
      <c r="XER23" s="57"/>
      <c r="XES23" s="57"/>
      <c r="XET23" s="57"/>
      <c r="XEU23" s="57"/>
      <c r="XEV23" s="57"/>
      <c r="XEW23" s="57"/>
      <c r="XEX23" s="57"/>
      <c r="XEY23" s="57"/>
    </row>
    <row r="24" spans="1:16379">
      <c r="A24" s="40">
        <v>10522</v>
      </c>
      <c r="B24" s="9">
        <v>14522</v>
      </c>
      <c r="C24" s="54" t="s">
        <v>3613</v>
      </c>
      <c r="D24" s="34">
        <v>9772369</v>
      </c>
      <c r="E24" s="40"/>
      <c r="F24" s="55"/>
      <c r="G24" s="37"/>
    </row>
    <row r="25" spans="1:16379">
      <c r="A25" s="40">
        <v>10523</v>
      </c>
      <c r="B25" s="9">
        <v>14523</v>
      </c>
      <c r="C25" s="54" t="s">
        <v>3613</v>
      </c>
      <c r="D25" s="34">
        <v>9772371</v>
      </c>
      <c r="E25" s="40"/>
      <c r="F25" s="55"/>
      <c r="G25" s="37"/>
    </row>
    <row r="26" spans="1:16379">
      <c r="A26" s="40">
        <v>10524</v>
      </c>
      <c r="B26" s="9">
        <v>14524</v>
      </c>
      <c r="C26" s="54" t="s">
        <v>3613</v>
      </c>
      <c r="D26" s="34">
        <v>9772143</v>
      </c>
      <c r="E26" s="9"/>
      <c r="F26" s="55"/>
      <c r="G26" s="9"/>
    </row>
    <row r="27" spans="1:16379">
      <c r="A27" s="40">
        <v>10525</v>
      </c>
      <c r="B27" s="9">
        <v>14525</v>
      </c>
      <c r="C27" s="54" t="s">
        <v>3613</v>
      </c>
      <c r="D27" s="34"/>
      <c r="E27" s="40"/>
      <c r="F27" s="56"/>
      <c r="G27" s="37"/>
    </row>
    <row r="28" spans="1:16379">
      <c r="A28" s="34">
        <v>10526</v>
      </c>
      <c r="B28" s="9">
        <v>14526</v>
      </c>
      <c r="C28" s="54" t="s">
        <v>3613</v>
      </c>
      <c r="D28" s="34"/>
      <c r="E28" s="40"/>
      <c r="F28" s="55"/>
      <c r="G28" s="37"/>
    </row>
    <row r="29" spans="1:16379" s="57" customFormat="1">
      <c r="A29" s="40">
        <v>10527</v>
      </c>
      <c r="B29" s="9">
        <v>14527</v>
      </c>
      <c r="C29" s="54" t="s">
        <v>3613</v>
      </c>
      <c r="D29" s="34"/>
      <c r="E29" s="40"/>
      <c r="F29" s="55"/>
      <c r="G29" s="37"/>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c r="CA29"/>
      <c r="CB29"/>
      <c r="CC29"/>
      <c r="CD29"/>
      <c r="CE29"/>
      <c r="CF29"/>
      <c r="CG29"/>
      <c r="CH29"/>
      <c r="CI29"/>
      <c r="CJ29"/>
      <c r="CK29"/>
      <c r="CL29"/>
      <c r="CM29"/>
      <c r="CN29"/>
      <c r="CO29"/>
      <c r="CP29"/>
      <c r="CQ29"/>
      <c r="CR29"/>
      <c r="CS29"/>
      <c r="CT29"/>
      <c r="CU29"/>
      <c r="CV29"/>
      <c r="CW29"/>
      <c r="CX29"/>
      <c r="CY29"/>
      <c r="CZ29"/>
      <c r="DA29"/>
      <c r="DB29"/>
      <c r="DC29"/>
      <c r="DD29"/>
      <c r="DE29"/>
      <c r="DF29"/>
      <c r="DG29"/>
      <c r="DH29"/>
      <c r="DI29"/>
      <c r="DJ29"/>
      <c r="DK29"/>
      <c r="DL29"/>
      <c r="DM29"/>
      <c r="DN29"/>
      <c r="DO29"/>
      <c r="DP29"/>
      <c r="DQ29"/>
      <c r="DR29"/>
      <c r="DS29"/>
      <c r="DT29"/>
      <c r="DU29"/>
      <c r="DV29"/>
      <c r="DW29"/>
      <c r="DX29"/>
      <c r="DY29"/>
      <c r="DZ29"/>
      <c r="EA29"/>
      <c r="EB29"/>
      <c r="EC29"/>
      <c r="ED29"/>
      <c r="EE29"/>
      <c r="EF29"/>
      <c r="EG29"/>
      <c r="EH29"/>
      <c r="EI29"/>
      <c r="EJ29"/>
      <c r="EK29"/>
      <c r="EL29"/>
      <c r="EM29"/>
      <c r="EN29"/>
      <c r="EO29"/>
      <c r="EP29"/>
      <c r="EQ29"/>
      <c r="ER29"/>
      <c r="ES29"/>
      <c r="ET29"/>
      <c r="EU29"/>
      <c r="EV29"/>
      <c r="EW29"/>
      <c r="EX29"/>
      <c r="EY29"/>
      <c r="EZ29"/>
      <c r="FA29"/>
      <c r="FB29"/>
      <c r="FC29"/>
      <c r="FD29"/>
      <c r="FE29"/>
      <c r="FF29"/>
      <c r="FG29"/>
      <c r="FH29"/>
      <c r="FI29"/>
      <c r="FJ29"/>
      <c r="FK29"/>
      <c r="FL29"/>
      <c r="FM29"/>
      <c r="FN29"/>
      <c r="FO29"/>
      <c r="FP29"/>
      <c r="FQ29"/>
      <c r="FR29"/>
      <c r="FS29"/>
      <c r="FT29"/>
      <c r="FU29"/>
      <c r="FV29"/>
      <c r="FW29"/>
      <c r="FX29"/>
      <c r="FY29"/>
      <c r="FZ29"/>
      <c r="GA29"/>
      <c r="GB29"/>
      <c r="GC29"/>
      <c r="GD29"/>
      <c r="GE29"/>
      <c r="GF29"/>
      <c r="GG29"/>
      <c r="GH29"/>
      <c r="GI29"/>
      <c r="GJ29"/>
      <c r="GK29"/>
      <c r="GL29"/>
      <c r="GM29"/>
      <c r="GN29"/>
      <c r="GO29"/>
      <c r="GP29"/>
      <c r="GQ29"/>
      <c r="GR29"/>
      <c r="GS29"/>
      <c r="GT29"/>
      <c r="GU29"/>
      <c r="GV29"/>
      <c r="GW29"/>
      <c r="GX29"/>
      <c r="GY29"/>
      <c r="GZ29"/>
      <c r="HA29"/>
      <c r="HB29"/>
      <c r="HC29"/>
      <c r="HD29"/>
      <c r="HE29"/>
      <c r="HF29"/>
      <c r="HG29"/>
      <c r="HH29"/>
      <c r="HI29"/>
      <c r="HJ29"/>
      <c r="HK29"/>
      <c r="HL29"/>
      <c r="HM29"/>
      <c r="HN29"/>
      <c r="HO29"/>
      <c r="HP29"/>
      <c r="HQ29"/>
      <c r="HR29"/>
      <c r="HS29"/>
      <c r="HT29"/>
      <c r="HU29"/>
      <c r="HV29"/>
      <c r="HW29"/>
      <c r="HX29"/>
      <c r="HY29"/>
      <c r="HZ29"/>
      <c r="IA29"/>
      <c r="IB29"/>
      <c r="IC29"/>
      <c r="ID29"/>
      <c r="IE29"/>
      <c r="IF29"/>
      <c r="IG29"/>
      <c r="IH29"/>
      <c r="II29"/>
      <c r="IJ29"/>
      <c r="IK29"/>
      <c r="IL29"/>
      <c r="IM29"/>
      <c r="IN29"/>
      <c r="IO29"/>
      <c r="IP29"/>
      <c r="IQ29"/>
      <c r="IR29"/>
      <c r="IS29"/>
      <c r="IT29"/>
      <c r="IU29"/>
      <c r="IV29"/>
      <c r="IW29"/>
      <c r="IX29"/>
      <c r="IY29"/>
      <c r="IZ29"/>
      <c r="JA29"/>
      <c r="JB29"/>
      <c r="JC29"/>
      <c r="JD29"/>
      <c r="JE29"/>
      <c r="JF29"/>
      <c r="JG29"/>
      <c r="JH29"/>
      <c r="JI29"/>
      <c r="JJ29"/>
      <c r="JK29"/>
      <c r="JL29"/>
      <c r="JM29"/>
      <c r="JN29"/>
      <c r="JO29"/>
      <c r="JP29"/>
      <c r="JQ29"/>
      <c r="JR29"/>
      <c r="JS29"/>
      <c r="JT29"/>
      <c r="JU29"/>
      <c r="JV29"/>
      <c r="JW29"/>
      <c r="JX29"/>
      <c r="JY29"/>
      <c r="JZ29"/>
      <c r="KA29"/>
      <c r="KB29"/>
      <c r="KC29"/>
      <c r="KD29"/>
      <c r="KE29"/>
      <c r="KF29"/>
      <c r="KG29"/>
      <c r="KH29"/>
      <c r="KI29"/>
      <c r="KJ29"/>
      <c r="KK29"/>
      <c r="KL29"/>
      <c r="KM29"/>
      <c r="KN29"/>
      <c r="KO29"/>
      <c r="KP29"/>
      <c r="KQ29"/>
      <c r="KR29"/>
      <c r="KS29"/>
      <c r="KT29"/>
      <c r="KU29"/>
      <c r="KV29"/>
      <c r="KW29"/>
      <c r="KX29"/>
      <c r="KY29"/>
      <c r="KZ29"/>
      <c r="LA29"/>
      <c r="LB29"/>
      <c r="LC29"/>
      <c r="LD29"/>
      <c r="LE29"/>
      <c r="LF29"/>
      <c r="LG29"/>
      <c r="LH29"/>
      <c r="LI29"/>
      <c r="LJ29"/>
      <c r="LK29"/>
      <c r="LL29"/>
      <c r="LM29"/>
      <c r="LN29"/>
      <c r="LO29"/>
      <c r="LP29"/>
      <c r="LQ29"/>
      <c r="LR29"/>
      <c r="LS29"/>
      <c r="LT29"/>
      <c r="LU29"/>
      <c r="LV29"/>
      <c r="LW29"/>
      <c r="LX29"/>
      <c r="LY29"/>
      <c r="LZ29"/>
      <c r="MA29"/>
      <c r="MB29"/>
      <c r="MC29"/>
      <c r="MD29"/>
      <c r="ME29"/>
      <c r="MF29"/>
      <c r="MG29"/>
      <c r="MH29"/>
      <c r="MI29"/>
      <c r="MJ29"/>
      <c r="MK29"/>
      <c r="ML29"/>
      <c r="MM29"/>
      <c r="MN29"/>
      <c r="MO29"/>
      <c r="MP29"/>
      <c r="MQ29"/>
      <c r="MR29"/>
      <c r="MS29"/>
      <c r="MT29"/>
      <c r="MU29"/>
      <c r="MV29"/>
      <c r="MW29"/>
      <c r="MX29"/>
      <c r="MY29"/>
      <c r="MZ29"/>
      <c r="NA29"/>
      <c r="NB29"/>
      <c r="NC29"/>
      <c r="ND29"/>
      <c r="NE29"/>
      <c r="NF29"/>
      <c r="NG29"/>
      <c r="NH29"/>
      <c r="NI29"/>
      <c r="NJ29"/>
      <c r="NK29"/>
      <c r="NL29"/>
      <c r="NM29"/>
      <c r="NN29"/>
      <c r="NO29"/>
      <c r="NP29"/>
      <c r="NQ29"/>
      <c r="NR29"/>
      <c r="NS29"/>
      <c r="NT29"/>
      <c r="NU29"/>
      <c r="NV29"/>
      <c r="NW29"/>
      <c r="NX29"/>
      <c r="NY29"/>
      <c r="NZ29"/>
      <c r="OA29"/>
      <c r="OB29"/>
      <c r="OC29"/>
      <c r="OD29"/>
      <c r="OE29"/>
      <c r="OF29"/>
      <c r="OG29"/>
      <c r="OH29"/>
      <c r="OI29"/>
      <c r="OJ29"/>
      <c r="OK29"/>
      <c r="OL29"/>
      <c r="OM29"/>
      <c r="ON29"/>
      <c r="OO29"/>
      <c r="OP29"/>
      <c r="OQ29"/>
      <c r="OR29"/>
      <c r="OS29"/>
      <c r="OT29"/>
      <c r="OU29"/>
      <c r="OV29"/>
      <c r="OW29"/>
      <c r="OX29"/>
      <c r="OY29"/>
      <c r="OZ29"/>
      <c r="PA29"/>
      <c r="PB29"/>
      <c r="PC29"/>
      <c r="PD29"/>
      <c r="PE29"/>
      <c r="PF29"/>
      <c r="PG29"/>
      <c r="PH29"/>
      <c r="PI29"/>
      <c r="PJ29"/>
      <c r="PK29"/>
      <c r="PL29"/>
      <c r="PM29"/>
      <c r="PN29"/>
      <c r="PO29"/>
      <c r="PP29"/>
      <c r="PQ29"/>
      <c r="PR29"/>
      <c r="PS29"/>
      <c r="PT29"/>
      <c r="PU29"/>
      <c r="PV29"/>
      <c r="PW29"/>
      <c r="PX29"/>
      <c r="PY29"/>
      <c r="PZ29"/>
      <c r="QA29"/>
      <c r="QB29"/>
      <c r="QC29"/>
      <c r="QD29"/>
      <c r="QE29"/>
      <c r="QF29"/>
      <c r="QG29"/>
      <c r="QH29"/>
      <c r="QI29"/>
      <c r="QJ29"/>
      <c r="QK29"/>
      <c r="QL29"/>
      <c r="QM29"/>
      <c r="QN29"/>
      <c r="QO29"/>
      <c r="QP29"/>
      <c r="QQ29"/>
      <c r="QR29"/>
      <c r="QS29"/>
      <c r="QT29"/>
      <c r="QU29"/>
      <c r="QV29"/>
      <c r="QW29"/>
      <c r="QX29"/>
      <c r="QY29"/>
      <c r="QZ29"/>
      <c r="RA29"/>
      <c r="RB29"/>
      <c r="RC29"/>
      <c r="RD29"/>
      <c r="RE29"/>
      <c r="RF29"/>
      <c r="RG29"/>
      <c r="RH29"/>
      <c r="RI29"/>
      <c r="RJ29"/>
      <c r="RK29"/>
      <c r="RL29"/>
      <c r="RM29"/>
      <c r="RN29"/>
      <c r="RO29"/>
      <c r="RP29"/>
      <c r="RQ29"/>
      <c r="RR29"/>
      <c r="RS29"/>
      <c r="RT29"/>
      <c r="RU29"/>
      <c r="RV29"/>
      <c r="RW29"/>
      <c r="RX29"/>
      <c r="RY29"/>
      <c r="RZ29"/>
      <c r="SA29"/>
      <c r="SB29"/>
      <c r="SC29"/>
      <c r="SD29"/>
      <c r="SE29"/>
      <c r="SF29"/>
      <c r="SG29"/>
      <c r="SH29"/>
      <c r="SI29"/>
      <c r="SJ29"/>
      <c r="SK29"/>
      <c r="SL29"/>
      <c r="SM29"/>
      <c r="SN29"/>
      <c r="SO29"/>
      <c r="SP29"/>
      <c r="SQ29"/>
      <c r="SR29"/>
      <c r="SS29"/>
      <c r="ST29"/>
      <c r="SU29"/>
      <c r="SV29"/>
      <c r="SW29"/>
      <c r="SX29"/>
      <c r="SY29"/>
      <c r="SZ29"/>
      <c r="TA29"/>
      <c r="TB29"/>
      <c r="TC29"/>
      <c r="TD29"/>
      <c r="TE29"/>
      <c r="TF29"/>
      <c r="TG29"/>
      <c r="TH29"/>
      <c r="TI29"/>
      <c r="TJ29"/>
      <c r="TK29"/>
      <c r="TL29"/>
      <c r="TM29"/>
      <c r="TN29"/>
      <c r="TO29"/>
      <c r="TP29"/>
      <c r="TQ29"/>
      <c r="TR29"/>
      <c r="TS29"/>
      <c r="TT29"/>
      <c r="TU29"/>
      <c r="TV29"/>
      <c r="TW29"/>
      <c r="TX29"/>
      <c r="TY29"/>
      <c r="TZ29"/>
      <c r="UA29"/>
      <c r="UB29"/>
      <c r="UC29"/>
      <c r="UD29"/>
      <c r="UE29"/>
      <c r="UF29"/>
      <c r="UG29"/>
      <c r="UH29"/>
      <c r="UI29"/>
      <c r="UJ29"/>
      <c r="UK29"/>
      <c r="UL29"/>
      <c r="UM29"/>
      <c r="UN29"/>
      <c r="UO29"/>
      <c r="UP29"/>
      <c r="UQ29"/>
      <c r="UR29"/>
      <c r="US29"/>
      <c r="UT29"/>
      <c r="UU29"/>
      <c r="UV29"/>
      <c r="UW29"/>
      <c r="UX29"/>
      <c r="UY29"/>
      <c r="UZ29"/>
      <c r="VA29"/>
      <c r="VB29"/>
      <c r="VC29"/>
      <c r="VD29"/>
      <c r="VE29"/>
      <c r="VF29"/>
      <c r="VG29"/>
      <c r="VH29"/>
      <c r="VI29"/>
      <c r="VJ29"/>
      <c r="VK29"/>
      <c r="VL29"/>
      <c r="VM29"/>
      <c r="VN29"/>
      <c r="VO29"/>
      <c r="VP29"/>
      <c r="VQ29"/>
      <c r="VR29"/>
      <c r="VS29"/>
      <c r="VT29"/>
      <c r="VU29"/>
      <c r="VV29"/>
      <c r="VW29"/>
      <c r="VX29"/>
      <c r="VY29"/>
      <c r="VZ29"/>
      <c r="WA29"/>
      <c r="WB29"/>
      <c r="WC29"/>
      <c r="WD29"/>
      <c r="WE29"/>
      <c r="WF29"/>
      <c r="WG29"/>
      <c r="WH29"/>
      <c r="WI29"/>
      <c r="WJ29"/>
      <c r="WK29"/>
      <c r="WL29"/>
      <c r="WM29"/>
      <c r="WN29"/>
      <c r="WO29"/>
      <c r="WP29"/>
      <c r="WQ29"/>
      <c r="WR29"/>
      <c r="WS29"/>
      <c r="WT29"/>
      <c r="WU29"/>
      <c r="WV29"/>
      <c r="WW29"/>
      <c r="WX29"/>
      <c r="WY29"/>
      <c r="WZ29"/>
      <c r="XA29"/>
      <c r="XB29"/>
      <c r="XC29"/>
      <c r="XD29"/>
      <c r="XE29"/>
      <c r="XF29"/>
      <c r="XG29"/>
      <c r="XH29"/>
      <c r="XI29"/>
      <c r="XJ29"/>
      <c r="XK29"/>
      <c r="XL29"/>
      <c r="XM29"/>
      <c r="XN29"/>
      <c r="XO29"/>
      <c r="XP29"/>
      <c r="XQ29"/>
      <c r="XR29"/>
      <c r="XS29"/>
      <c r="XT29"/>
      <c r="XU29"/>
      <c r="XV29"/>
      <c r="XW29"/>
      <c r="XX29"/>
      <c r="XY29"/>
      <c r="XZ29"/>
      <c r="YA29"/>
      <c r="YB29"/>
      <c r="YC29"/>
      <c r="YD29"/>
      <c r="YE29"/>
      <c r="YF29"/>
      <c r="YG29"/>
      <c r="YH29"/>
      <c r="YI29"/>
      <c r="YJ29"/>
      <c r="YK29"/>
      <c r="YL29"/>
      <c r="YM29"/>
      <c r="YN29"/>
      <c r="YO29"/>
      <c r="YP29"/>
      <c r="YQ29"/>
      <c r="YR29"/>
      <c r="YS29"/>
      <c r="YT29"/>
      <c r="YU29"/>
      <c r="YV29"/>
      <c r="YW29"/>
      <c r="YX29"/>
      <c r="YY29"/>
      <c r="YZ29"/>
      <c r="ZA29"/>
      <c r="ZB29"/>
      <c r="ZC29"/>
      <c r="ZD29"/>
      <c r="ZE29"/>
      <c r="ZF29"/>
      <c r="ZG29"/>
      <c r="ZH29"/>
      <c r="ZI29"/>
      <c r="ZJ29"/>
      <c r="ZK29"/>
      <c r="ZL29"/>
      <c r="ZM29"/>
      <c r="ZN29"/>
      <c r="ZO29"/>
      <c r="ZP29"/>
      <c r="ZQ29"/>
      <c r="ZR29"/>
      <c r="ZS29"/>
      <c r="ZT29"/>
      <c r="ZU29"/>
      <c r="ZV29"/>
      <c r="ZW29"/>
      <c r="ZX29"/>
      <c r="ZY29"/>
      <c r="ZZ29"/>
      <c r="AAA29"/>
      <c r="AAB29"/>
      <c r="AAC29"/>
      <c r="AAD29"/>
      <c r="AAE29"/>
      <c r="AAF29"/>
      <c r="AAG29"/>
      <c r="AAH29"/>
      <c r="AAI29"/>
      <c r="AAJ29"/>
      <c r="AAK29"/>
      <c r="AAL29"/>
      <c r="AAM29"/>
      <c r="AAN29"/>
      <c r="AAO29"/>
      <c r="AAP29"/>
      <c r="AAQ29"/>
      <c r="AAR29"/>
      <c r="AAS29"/>
      <c r="AAT29"/>
      <c r="AAU29"/>
      <c r="AAV29"/>
      <c r="AAW29"/>
      <c r="AAX29"/>
      <c r="AAY29"/>
      <c r="AAZ29"/>
      <c r="ABA29"/>
      <c r="ABB29"/>
      <c r="ABC29"/>
      <c r="ABD29"/>
      <c r="ABE29"/>
      <c r="ABF29"/>
      <c r="ABG29"/>
      <c r="ABH29"/>
      <c r="ABI29"/>
      <c r="ABJ29"/>
      <c r="ABK29"/>
      <c r="ABL29"/>
      <c r="ABM29"/>
      <c r="ABN29"/>
      <c r="ABO29"/>
      <c r="ABP29"/>
      <c r="ABQ29"/>
      <c r="ABR29"/>
      <c r="ABS29"/>
      <c r="ABT29"/>
      <c r="ABU29"/>
      <c r="ABV29"/>
      <c r="ABW29"/>
      <c r="ABX29"/>
      <c r="ABY29"/>
      <c r="ABZ29"/>
      <c r="ACA29"/>
      <c r="ACB29"/>
      <c r="ACC29"/>
      <c r="ACD29"/>
      <c r="ACE29"/>
      <c r="ACF29"/>
      <c r="ACG29"/>
      <c r="ACH29"/>
      <c r="ACI29"/>
      <c r="ACJ29"/>
      <c r="ACK29"/>
      <c r="ACL29"/>
      <c r="ACM29"/>
      <c r="ACN29"/>
      <c r="ACO29"/>
      <c r="ACP29"/>
      <c r="ACQ29"/>
      <c r="ACR29"/>
      <c r="ACS29"/>
      <c r="ACT29"/>
      <c r="ACU29"/>
      <c r="ACV29"/>
      <c r="ACW29"/>
      <c r="ACX29"/>
      <c r="ACY29"/>
      <c r="ACZ29"/>
      <c r="ADA29"/>
      <c r="ADB29"/>
      <c r="ADC29"/>
      <c r="ADD29"/>
      <c r="ADE29"/>
      <c r="ADF29"/>
      <c r="ADG29"/>
      <c r="ADH29"/>
      <c r="ADI29"/>
      <c r="ADJ29"/>
      <c r="ADK29"/>
      <c r="ADL29"/>
      <c r="ADM29"/>
      <c r="ADN29"/>
      <c r="ADO29"/>
      <c r="ADP29"/>
      <c r="ADQ29"/>
      <c r="ADR29"/>
      <c r="ADS29"/>
      <c r="ADT29"/>
      <c r="ADU29"/>
      <c r="ADV29"/>
      <c r="ADW29"/>
      <c r="ADX29"/>
      <c r="ADY29"/>
      <c r="ADZ29"/>
      <c r="AEA29"/>
      <c r="AEB29"/>
      <c r="AEC29"/>
      <c r="AED29"/>
      <c r="AEE29"/>
      <c r="AEF29"/>
      <c r="AEG29"/>
      <c r="AEH29"/>
      <c r="AEI29"/>
      <c r="AEJ29"/>
      <c r="AEK29"/>
      <c r="AEL29"/>
      <c r="AEM29"/>
      <c r="AEN29"/>
      <c r="AEO29"/>
      <c r="AEP29"/>
      <c r="AEQ29"/>
      <c r="AER29"/>
      <c r="AES29"/>
      <c r="AET29"/>
      <c r="AEU29"/>
      <c r="AEV29"/>
      <c r="AEW29"/>
      <c r="AEX29"/>
      <c r="AEY29"/>
      <c r="AEZ29"/>
      <c r="AFA29"/>
      <c r="AFB29"/>
      <c r="AFC29"/>
      <c r="AFD29"/>
      <c r="AFE29"/>
      <c r="AFF29"/>
      <c r="AFG29"/>
      <c r="AFH29"/>
      <c r="AFI29"/>
      <c r="AFJ29"/>
      <c r="AFK29"/>
      <c r="AFL29"/>
      <c r="AFM29"/>
      <c r="AFN29"/>
      <c r="AFO29"/>
      <c r="AFP29"/>
      <c r="AFQ29"/>
      <c r="AFR29"/>
      <c r="AFS29"/>
      <c r="AFT29"/>
      <c r="AFU29"/>
      <c r="AFV29"/>
      <c r="AFW29"/>
      <c r="AFX29"/>
      <c r="AFY29"/>
      <c r="AFZ29"/>
      <c r="AGA29"/>
      <c r="AGB29"/>
      <c r="AGC29"/>
      <c r="AGD29"/>
      <c r="AGE29"/>
      <c r="AGF29"/>
      <c r="AGG29"/>
      <c r="AGH29"/>
      <c r="AGI29"/>
      <c r="AGJ29"/>
      <c r="AGK29"/>
      <c r="AGL29"/>
      <c r="AGM29"/>
      <c r="AGN29"/>
      <c r="AGO29"/>
      <c r="AGP29"/>
      <c r="AGQ29"/>
      <c r="AGR29"/>
      <c r="AGS29"/>
      <c r="AGT29"/>
      <c r="AGU29"/>
      <c r="AGV29"/>
      <c r="AGW29"/>
      <c r="AGX29"/>
      <c r="AGY29"/>
      <c r="AGZ29"/>
      <c r="AHA29"/>
      <c r="AHB29"/>
      <c r="AHC29"/>
      <c r="AHD29"/>
      <c r="AHE29"/>
      <c r="AHF29"/>
      <c r="AHG29"/>
      <c r="AHH29"/>
      <c r="AHI29"/>
      <c r="AHJ29"/>
      <c r="AHK29"/>
      <c r="AHL29"/>
      <c r="AHM29"/>
      <c r="AHN29"/>
      <c r="AHO29"/>
      <c r="AHP29"/>
      <c r="AHQ29"/>
      <c r="AHR29"/>
      <c r="AHS29"/>
      <c r="AHT29"/>
      <c r="AHU29"/>
      <c r="AHV29"/>
      <c r="AHW29"/>
      <c r="AHX29"/>
      <c r="AHY29"/>
      <c r="AHZ29"/>
      <c r="AIA29"/>
      <c r="AIB29"/>
      <c r="AIC29"/>
      <c r="AID29"/>
      <c r="AIE29"/>
      <c r="AIF29"/>
      <c r="AIG29"/>
      <c r="AIH29"/>
      <c r="AII29"/>
      <c r="AIJ29"/>
      <c r="AIK29"/>
      <c r="AIL29"/>
      <c r="AIM29"/>
      <c r="AIN29"/>
      <c r="AIO29"/>
      <c r="AIP29"/>
      <c r="AIQ29"/>
      <c r="AIR29"/>
      <c r="AIS29"/>
      <c r="AIT29"/>
      <c r="AIU29"/>
      <c r="AIV29"/>
      <c r="AIW29"/>
      <c r="AIX29"/>
      <c r="AIY29"/>
      <c r="AIZ29"/>
      <c r="AJA29"/>
      <c r="AJB29"/>
      <c r="AJC29"/>
      <c r="AJD29"/>
      <c r="AJE29"/>
      <c r="AJF29"/>
      <c r="AJG29"/>
      <c r="AJH29"/>
      <c r="AJI29"/>
      <c r="AJJ29"/>
      <c r="AJK29"/>
      <c r="AJL29"/>
      <c r="AJM29"/>
      <c r="AJN29"/>
      <c r="AJO29"/>
      <c r="AJP29"/>
      <c r="AJQ29"/>
      <c r="AJR29"/>
      <c r="AJS29"/>
      <c r="AJT29"/>
      <c r="AJU29"/>
      <c r="AJV29"/>
      <c r="AJW29"/>
      <c r="AJX29"/>
      <c r="AJY29"/>
      <c r="AJZ29"/>
      <c r="AKA29"/>
      <c r="AKB29"/>
      <c r="AKC29"/>
      <c r="AKD29"/>
      <c r="AKE29"/>
      <c r="AKF29"/>
      <c r="AKG29"/>
      <c r="AKH29"/>
      <c r="AKI29"/>
      <c r="AKJ29"/>
      <c r="AKK29"/>
      <c r="AKL29"/>
      <c r="AKM29"/>
      <c r="AKN29"/>
      <c r="AKO29"/>
      <c r="AKP29"/>
      <c r="AKQ29"/>
      <c r="AKR29"/>
      <c r="AKS29"/>
      <c r="AKT29"/>
      <c r="AKU29"/>
      <c r="AKV29"/>
      <c r="AKW29"/>
      <c r="AKX29"/>
      <c r="AKY29"/>
      <c r="AKZ29"/>
      <c r="ALA29"/>
      <c r="ALB29"/>
      <c r="ALC29"/>
      <c r="ALD29"/>
      <c r="ALE29"/>
      <c r="ALF29"/>
      <c r="ALG29"/>
      <c r="ALH29"/>
      <c r="ALI29"/>
      <c r="ALJ29"/>
      <c r="ALK29"/>
      <c r="ALL29"/>
      <c r="ALM29"/>
      <c r="ALN29"/>
      <c r="ALO29"/>
      <c r="ALP29"/>
      <c r="ALQ29"/>
      <c r="ALR29"/>
      <c r="ALS29"/>
      <c r="ALT29"/>
      <c r="ALU29"/>
      <c r="ALV29"/>
      <c r="ALW29"/>
      <c r="ALX29"/>
      <c r="ALY29"/>
      <c r="ALZ29"/>
      <c r="AMA29"/>
      <c r="AMB29"/>
      <c r="AMC29"/>
      <c r="AMD29"/>
      <c r="AME29"/>
      <c r="AMF29"/>
      <c r="AMG29"/>
      <c r="AMH29"/>
      <c r="AMI29"/>
      <c r="AMJ29"/>
      <c r="AMK29"/>
      <c r="AML29"/>
      <c r="AMM29"/>
      <c r="AMN29"/>
      <c r="AMO29"/>
      <c r="AMP29"/>
      <c r="AMQ29"/>
      <c r="AMR29"/>
      <c r="AMS29"/>
      <c r="AMT29"/>
      <c r="AMU29"/>
      <c r="AMV29"/>
      <c r="AMW29"/>
      <c r="AMX29"/>
      <c r="AMY29"/>
      <c r="AMZ29"/>
      <c r="ANA29"/>
      <c r="ANB29"/>
      <c r="ANC29"/>
      <c r="AND29"/>
      <c r="ANE29"/>
      <c r="ANF29"/>
      <c r="ANG29"/>
      <c r="ANH29"/>
      <c r="ANI29"/>
      <c r="ANJ29"/>
      <c r="ANK29"/>
      <c r="ANL29"/>
      <c r="ANM29"/>
      <c r="ANN29"/>
      <c r="ANO29"/>
      <c r="ANP29"/>
      <c r="ANQ29"/>
      <c r="ANR29"/>
      <c r="ANS29"/>
      <c r="ANT29"/>
      <c r="ANU29"/>
      <c r="ANV29"/>
      <c r="ANW29"/>
      <c r="ANX29"/>
      <c r="ANY29"/>
      <c r="ANZ29"/>
      <c r="AOA29"/>
      <c r="AOB29"/>
      <c r="AOC29"/>
      <c r="AOD29"/>
      <c r="AOE29"/>
      <c r="AOF29"/>
      <c r="AOG29"/>
      <c r="AOH29"/>
      <c r="AOI29"/>
      <c r="AOJ29"/>
      <c r="AOK29"/>
      <c r="AOL29"/>
      <c r="AOM29"/>
      <c r="AON29"/>
      <c r="AOO29"/>
      <c r="AOP29"/>
      <c r="AOQ29"/>
      <c r="AOR29"/>
      <c r="AOS29"/>
      <c r="AOT29"/>
      <c r="AOU29"/>
      <c r="AOV29"/>
      <c r="AOW29"/>
      <c r="AOX29"/>
      <c r="AOY29"/>
      <c r="AOZ29"/>
      <c r="APA29"/>
      <c r="APB29"/>
      <c r="APC29"/>
      <c r="APD29"/>
      <c r="APE29"/>
      <c r="APF29"/>
      <c r="APG29"/>
      <c r="APH29"/>
      <c r="API29"/>
      <c r="APJ29"/>
      <c r="APK29"/>
      <c r="APL29"/>
      <c r="APM29"/>
      <c r="APN29"/>
      <c r="APO29"/>
      <c r="APP29"/>
      <c r="APQ29"/>
      <c r="APR29"/>
      <c r="APS29"/>
      <c r="APT29"/>
      <c r="APU29"/>
      <c r="APV29"/>
      <c r="APW29"/>
      <c r="APX29"/>
      <c r="APY29"/>
      <c r="APZ29"/>
      <c r="AQA29"/>
      <c r="AQB29"/>
      <c r="AQC29"/>
      <c r="AQD29"/>
      <c r="AQE29"/>
      <c r="AQF29"/>
      <c r="AQG29"/>
      <c r="AQH29"/>
      <c r="AQI29"/>
      <c r="AQJ29"/>
      <c r="AQK29"/>
      <c r="AQL29"/>
      <c r="AQM29"/>
      <c r="AQN29"/>
      <c r="AQO29"/>
      <c r="AQP29"/>
      <c r="AQQ29"/>
      <c r="AQR29"/>
      <c r="AQS29"/>
      <c r="AQT29"/>
      <c r="AQU29"/>
      <c r="AQV29"/>
      <c r="AQW29"/>
      <c r="AQX29"/>
      <c r="AQY29"/>
      <c r="AQZ29"/>
      <c r="ARA29"/>
      <c r="ARB29"/>
      <c r="ARC29"/>
      <c r="ARD29"/>
      <c r="ARE29"/>
      <c r="ARF29"/>
      <c r="ARG29"/>
      <c r="ARH29"/>
      <c r="ARI29"/>
      <c r="ARJ29"/>
      <c r="ARK29"/>
      <c r="ARL29"/>
      <c r="ARM29"/>
      <c r="ARN29"/>
      <c r="ARO29"/>
      <c r="ARP29"/>
      <c r="ARQ29"/>
      <c r="ARR29"/>
      <c r="ARS29"/>
      <c r="ART29"/>
      <c r="ARU29"/>
      <c r="ARV29"/>
      <c r="ARW29"/>
      <c r="ARX29"/>
      <c r="ARY29"/>
      <c r="ARZ29"/>
      <c r="ASA29"/>
      <c r="ASB29"/>
      <c r="ASC29"/>
      <c r="ASD29"/>
      <c r="ASE29"/>
      <c r="ASF29"/>
      <c r="ASG29"/>
      <c r="ASH29"/>
      <c r="ASI29"/>
      <c r="ASJ29"/>
      <c r="ASK29"/>
      <c r="ASL29"/>
      <c r="ASM29"/>
      <c r="ASN29"/>
      <c r="ASO29"/>
      <c r="ASP29"/>
      <c r="ASQ29"/>
      <c r="ASR29"/>
      <c r="ASS29"/>
      <c r="AST29"/>
      <c r="ASU29"/>
      <c r="ASV29"/>
      <c r="ASW29"/>
      <c r="ASX29"/>
      <c r="ASY29"/>
      <c r="ASZ29"/>
      <c r="ATA29"/>
      <c r="ATB29"/>
      <c r="ATC29"/>
      <c r="ATD29"/>
      <c r="ATE29"/>
      <c r="ATF29"/>
      <c r="ATG29"/>
      <c r="ATH29"/>
      <c r="ATI29"/>
      <c r="ATJ29"/>
      <c r="ATK29"/>
      <c r="ATL29"/>
      <c r="ATM29"/>
      <c r="ATN29"/>
      <c r="ATO29"/>
      <c r="ATP29"/>
      <c r="ATQ29"/>
      <c r="ATR29"/>
      <c r="ATS29"/>
      <c r="ATT29"/>
      <c r="ATU29"/>
      <c r="ATV29"/>
      <c r="ATW29"/>
      <c r="ATX29"/>
      <c r="ATY29"/>
      <c r="ATZ29"/>
      <c r="AUA29"/>
      <c r="AUB29"/>
      <c r="AUC29"/>
      <c r="AUD29"/>
      <c r="AUE29"/>
      <c r="AUF29"/>
      <c r="AUG29"/>
      <c r="AUH29"/>
      <c r="AUI29"/>
      <c r="AUJ29"/>
      <c r="AUK29"/>
      <c r="AUL29"/>
      <c r="AUM29"/>
      <c r="AUN29"/>
      <c r="AUO29"/>
      <c r="AUP29"/>
      <c r="AUQ29"/>
      <c r="AUR29"/>
      <c r="AUS29"/>
      <c r="AUT29"/>
      <c r="AUU29"/>
      <c r="AUV29"/>
      <c r="AUW29"/>
      <c r="AUX29"/>
      <c r="AUY29"/>
      <c r="AUZ29"/>
      <c r="AVA29"/>
      <c r="AVB29"/>
      <c r="AVC29"/>
      <c r="AVD29"/>
      <c r="AVE29"/>
      <c r="AVF29"/>
      <c r="AVG29"/>
      <c r="AVH29"/>
      <c r="AVI29"/>
      <c r="AVJ29"/>
      <c r="AVK29"/>
      <c r="AVL29"/>
      <c r="AVM29"/>
      <c r="AVN29"/>
      <c r="AVO29"/>
      <c r="AVP29"/>
      <c r="AVQ29"/>
      <c r="AVR29"/>
      <c r="AVS29"/>
      <c r="AVT29"/>
      <c r="AVU29"/>
      <c r="AVV29"/>
      <c r="AVW29"/>
      <c r="AVX29"/>
      <c r="AVY29"/>
      <c r="AVZ29"/>
      <c r="AWA29"/>
      <c r="AWB29"/>
      <c r="AWC29"/>
      <c r="AWD29"/>
      <c r="AWE29"/>
      <c r="AWF29"/>
      <c r="AWG29"/>
      <c r="AWH29"/>
      <c r="AWI29"/>
      <c r="AWJ29"/>
      <c r="AWK29"/>
      <c r="AWL29"/>
      <c r="AWM29"/>
      <c r="AWN29"/>
      <c r="AWO29"/>
      <c r="AWP29"/>
      <c r="AWQ29"/>
      <c r="AWR29"/>
      <c r="AWS29"/>
      <c r="AWT29"/>
      <c r="AWU29"/>
      <c r="AWV29"/>
      <c r="AWW29"/>
      <c r="AWX29"/>
      <c r="AWY29"/>
      <c r="AWZ29"/>
      <c r="AXA29"/>
      <c r="AXB29"/>
      <c r="AXC29"/>
      <c r="AXD29"/>
      <c r="AXE29"/>
      <c r="AXF29"/>
      <c r="AXG29"/>
      <c r="AXH29"/>
      <c r="AXI29"/>
      <c r="AXJ29"/>
      <c r="AXK29"/>
      <c r="AXL29"/>
      <c r="AXM29"/>
      <c r="AXN29"/>
      <c r="AXO29"/>
      <c r="AXP29"/>
      <c r="AXQ29"/>
      <c r="AXR29"/>
      <c r="AXS29"/>
      <c r="AXT29"/>
      <c r="AXU29"/>
      <c r="AXV29"/>
      <c r="AXW29"/>
      <c r="AXX29"/>
      <c r="AXY29"/>
      <c r="AXZ29"/>
      <c r="AYA29"/>
      <c r="AYB29"/>
      <c r="AYC29"/>
      <c r="AYD29"/>
      <c r="AYE29"/>
      <c r="AYF29"/>
      <c r="AYG29"/>
      <c r="AYH29"/>
      <c r="AYI29"/>
      <c r="AYJ29"/>
      <c r="AYK29"/>
      <c r="AYL29"/>
      <c r="AYM29"/>
      <c r="AYN29"/>
      <c r="AYO29"/>
      <c r="AYP29"/>
      <c r="AYQ29"/>
      <c r="AYR29"/>
      <c r="AYS29"/>
      <c r="AYT29"/>
      <c r="AYU29"/>
      <c r="AYV29"/>
      <c r="AYW29"/>
      <c r="AYX29"/>
      <c r="AYY29"/>
      <c r="AYZ29"/>
      <c r="AZA29"/>
      <c r="AZB29"/>
      <c r="AZC29"/>
      <c r="AZD29"/>
      <c r="AZE29"/>
      <c r="AZF29"/>
      <c r="AZG29"/>
      <c r="AZH29"/>
      <c r="AZI29"/>
      <c r="AZJ29"/>
      <c r="AZK29"/>
      <c r="AZL29"/>
      <c r="AZM29"/>
      <c r="AZN29"/>
      <c r="AZO29"/>
      <c r="AZP29"/>
      <c r="AZQ29"/>
      <c r="AZR29"/>
      <c r="AZS29"/>
      <c r="AZT29"/>
      <c r="AZU29"/>
      <c r="AZV29"/>
      <c r="AZW29"/>
      <c r="AZX29"/>
      <c r="AZY29"/>
      <c r="AZZ29"/>
      <c r="BAA29"/>
      <c r="BAB29"/>
      <c r="BAC29"/>
      <c r="BAD29"/>
      <c r="BAE29"/>
      <c r="BAF29"/>
      <c r="BAG29"/>
      <c r="BAH29"/>
      <c r="BAI29"/>
      <c r="BAJ29"/>
      <c r="BAK29"/>
      <c r="BAL29"/>
      <c r="BAM29"/>
      <c r="BAN29"/>
      <c r="BAO29"/>
      <c r="BAP29"/>
      <c r="BAQ29"/>
      <c r="BAR29"/>
      <c r="BAS29"/>
      <c r="BAT29"/>
      <c r="BAU29"/>
      <c r="BAV29"/>
      <c r="BAW29"/>
      <c r="BAX29"/>
      <c r="BAY29"/>
      <c r="BAZ29"/>
      <c r="BBA29"/>
      <c r="BBB29"/>
      <c r="BBC29"/>
      <c r="BBD29"/>
      <c r="BBE29"/>
      <c r="BBF29"/>
      <c r="BBG29"/>
      <c r="BBH29"/>
      <c r="BBI29"/>
      <c r="BBJ29"/>
      <c r="BBK29"/>
      <c r="BBL29"/>
      <c r="BBM29"/>
      <c r="BBN29"/>
      <c r="BBO29"/>
      <c r="BBP29"/>
      <c r="BBQ29"/>
      <c r="BBR29"/>
      <c r="BBS29"/>
      <c r="BBT29"/>
      <c r="BBU29"/>
      <c r="BBV29"/>
      <c r="BBW29"/>
      <c r="BBX29"/>
      <c r="BBY29"/>
      <c r="BBZ29"/>
      <c r="BCA29"/>
      <c r="BCB29"/>
      <c r="BCC29"/>
      <c r="BCD29"/>
      <c r="BCE29"/>
      <c r="BCF29"/>
      <c r="BCG29"/>
      <c r="BCH29"/>
      <c r="BCI29"/>
      <c r="BCJ29"/>
      <c r="BCK29"/>
      <c r="BCL29"/>
      <c r="BCM29"/>
      <c r="BCN29"/>
      <c r="BCO29"/>
      <c r="BCP29"/>
      <c r="BCQ29"/>
      <c r="BCR29"/>
      <c r="BCS29"/>
      <c r="BCT29"/>
      <c r="BCU29"/>
      <c r="BCV29"/>
      <c r="BCW29"/>
      <c r="BCX29"/>
      <c r="BCY29"/>
      <c r="BCZ29"/>
      <c r="BDA29"/>
      <c r="BDB29"/>
      <c r="BDC29"/>
      <c r="BDD29"/>
      <c r="BDE29"/>
      <c r="BDF29"/>
      <c r="BDG29"/>
      <c r="BDH29"/>
      <c r="BDI29"/>
      <c r="BDJ29"/>
      <c r="BDK29"/>
      <c r="BDL29"/>
      <c r="BDM29"/>
      <c r="BDN29"/>
      <c r="BDO29"/>
      <c r="BDP29"/>
      <c r="BDQ29"/>
      <c r="BDR29"/>
      <c r="BDS29"/>
      <c r="BDT29"/>
      <c r="BDU29"/>
      <c r="BDV29"/>
      <c r="BDW29"/>
      <c r="BDX29"/>
      <c r="BDY29"/>
      <c r="BDZ29"/>
      <c r="BEA29"/>
      <c r="BEB29"/>
      <c r="BEC29"/>
      <c r="BED29"/>
      <c r="BEE29"/>
      <c r="BEF29"/>
      <c r="BEG29"/>
      <c r="BEH29"/>
      <c r="BEI29"/>
      <c r="BEJ29"/>
      <c r="BEK29"/>
      <c r="BEL29"/>
      <c r="BEM29"/>
      <c r="BEN29"/>
      <c r="BEO29"/>
      <c r="BEP29"/>
      <c r="BEQ29"/>
      <c r="BER29"/>
      <c r="BES29"/>
      <c r="BET29"/>
      <c r="BEU29"/>
      <c r="BEV29"/>
      <c r="BEW29"/>
      <c r="BEX29"/>
      <c r="BEY29"/>
      <c r="BEZ29"/>
      <c r="BFA29"/>
      <c r="BFB29"/>
      <c r="BFC29"/>
      <c r="BFD29"/>
      <c r="BFE29"/>
      <c r="BFF29"/>
      <c r="BFG29"/>
      <c r="BFH29"/>
      <c r="BFI29"/>
      <c r="BFJ29"/>
      <c r="BFK29"/>
      <c r="BFL29"/>
      <c r="BFM29"/>
      <c r="BFN29"/>
      <c r="BFO29"/>
      <c r="BFP29"/>
      <c r="BFQ29"/>
      <c r="BFR29"/>
      <c r="BFS29"/>
      <c r="BFT29"/>
      <c r="BFU29"/>
      <c r="BFV29"/>
      <c r="BFW29"/>
      <c r="BFX29"/>
      <c r="BFY29"/>
      <c r="BFZ29"/>
      <c r="BGA29"/>
      <c r="BGB29"/>
      <c r="BGC29"/>
      <c r="BGD29"/>
      <c r="BGE29"/>
      <c r="BGF29"/>
      <c r="BGG29"/>
      <c r="BGH29"/>
      <c r="BGI29"/>
      <c r="BGJ29"/>
      <c r="BGK29"/>
      <c r="BGL29"/>
      <c r="BGM29"/>
      <c r="BGN29"/>
      <c r="BGO29"/>
      <c r="BGP29"/>
      <c r="BGQ29"/>
      <c r="BGR29"/>
      <c r="BGS29"/>
      <c r="BGT29"/>
      <c r="BGU29"/>
      <c r="BGV29"/>
      <c r="BGW29"/>
      <c r="BGX29"/>
      <c r="BGY29"/>
      <c r="BGZ29"/>
      <c r="BHA29"/>
      <c r="BHB29"/>
      <c r="BHC29"/>
      <c r="BHD29"/>
      <c r="BHE29"/>
      <c r="BHF29"/>
      <c r="BHG29"/>
      <c r="BHH29"/>
      <c r="BHI29"/>
      <c r="BHJ29"/>
      <c r="BHK29"/>
      <c r="BHL29"/>
      <c r="BHM29"/>
      <c r="BHN29"/>
      <c r="BHO29"/>
      <c r="BHP29"/>
      <c r="BHQ29"/>
      <c r="BHR29"/>
      <c r="BHS29"/>
      <c r="BHT29"/>
      <c r="BHU29"/>
      <c r="BHV29"/>
      <c r="BHW29"/>
      <c r="BHX29"/>
      <c r="BHY29"/>
      <c r="BHZ29"/>
      <c r="BIA29"/>
      <c r="BIB29"/>
      <c r="BIC29"/>
      <c r="BID29"/>
      <c r="BIE29"/>
      <c r="BIF29"/>
      <c r="BIG29"/>
      <c r="BIH29"/>
      <c r="BII29"/>
      <c r="BIJ29"/>
      <c r="BIK29"/>
      <c r="BIL29"/>
      <c r="BIM29"/>
      <c r="BIN29"/>
      <c r="BIO29"/>
      <c r="BIP29"/>
      <c r="BIQ29"/>
      <c r="BIR29"/>
      <c r="BIS29"/>
      <c r="BIT29"/>
      <c r="BIU29"/>
      <c r="BIV29"/>
      <c r="BIW29"/>
      <c r="BIX29"/>
      <c r="BIY29"/>
      <c r="BIZ29"/>
      <c r="BJA29"/>
      <c r="BJB29"/>
      <c r="BJC29"/>
      <c r="BJD29"/>
      <c r="BJE29"/>
      <c r="BJF29"/>
      <c r="BJG29"/>
      <c r="BJH29"/>
      <c r="BJI29"/>
      <c r="BJJ29"/>
      <c r="BJK29"/>
      <c r="BJL29"/>
      <c r="BJM29"/>
      <c r="BJN29"/>
      <c r="BJO29"/>
      <c r="BJP29"/>
      <c r="BJQ29"/>
      <c r="BJR29"/>
      <c r="BJS29"/>
      <c r="BJT29"/>
      <c r="BJU29"/>
      <c r="BJV29"/>
      <c r="BJW29"/>
      <c r="BJX29"/>
      <c r="BJY29"/>
      <c r="BJZ29"/>
      <c r="BKA29"/>
      <c r="BKB29"/>
      <c r="BKC29"/>
      <c r="BKD29"/>
      <c r="BKE29"/>
      <c r="BKF29"/>
      <c r="BKG29"/>
      <c r="BKH29"/>
      <c r="BKI29"/>
      <c r="BKJ29"/>
      <c r="BKK29"/>
      <c r="BKL29"/>
      <c r="BKM29"/>
      <c r="BKN29"/>
      <c r="BKO29"/>
      <c r="BKP29"/>
      <c r="BKQ29"/>
      <c r="BKR29"/>
      <c r="BKS29"/>
      <c r="BKT29"/>
      <c r="BKU29"/>
      <c r="BKV29"/>
      <c r="BKW29"/>
      <c r="BKX29"/>
      <c r="BKY29"/>
      <c r="BKZ29"/>
      <c r="BLA29"/>
      <c r="BLB29"/>
      <c r="BLC29"/>
      <c r="BLD29"/>
      <c r="BLE29"/>
      <c r="BLF29"/>
      <c r="BLG29"/>
      <c r="BLH29"/>
      <c r="BLI29"/>
      <c r="BLJ29"/>
      <c r="BLK29"/>
      <c r="BLL29"/>
      <c r="BLM29"/>
      <c r="BLN29"/>
      <c r="BLO29"/>
      <c r="BLP29"/>
      <c r="BLQ29"/>
      <c r="BLR29"/>
      <c r="BLS29"/>
      <c r="BLT29"/>
      <c r="BLU29"/>
      <c r="BLV29"/>
      <c r="BLW29"/>
      <c r="BLX29"/>
      <c r="BLY29"/>
      <c r="BLZ29"/>
      <c r="BMA29"/>
      <c r="BMB29"/>
      <c r="BMC29"/>
      <c r="BMD29"/>
      <c r="BME29"/>
      <c r="BMF29"/>
      <c r="BMG29"/>
      <c r="BMH29"/>
      <c r="BMI29"/>
      <c r="BMJ29"/>
      <c r="BMK29"/>
      <c r="BML29"/>
      <c r="BMM29"/>
      <c r="BMN29"/>
      <c r="BMO29"/>
      <c r="BMP29"/>
      <c r="BMQ29"/>
      <c r="BMR29"/>
      <c r="BMS29"/>
      <c r="BMT29"/>
      <c r="BMU29"/>
      <c r="BMV29"/>
      <c r="BMW29"/>
      <c r="BMX29"/>
      <c r="BMY29"/>
      <c r="BMZ29"/>
      <c r="BNA29"/>
      <c r="BNB29"/>
      <c r="BNC29"/>
      <c r="BND29"/>
      <c r="BNE29"/>
      <c r="BNF29"/>
      <c r="BNG29"/>
      <c r="BNH29"/>
      <c r="BNI29"/>
      <c r="BNJ29"/>
      <c r="BNK29"/>
      <c r="BNL29"/>
      <c r="BNM29"/>
      <c r="BNN29"/>
      <c r="BNO29"/>
      <c r="BNP29"/>
      <c r="BNQ29"/>
      <c r="BNR29"/>
      <c r="BNS29"/>
      <c r="BNT29"/>
      <c r="BNU29"/>
      <c r="BNV29"/>
      <c r="BNW29"/>
      <c r="BNX29"/>
      <c r="BNY29"/>
      <c r="BNZ29"/>
      <c r="BOA29"/>
      <c r="BOB29"/>
      <c r="BOC29"/>
      <c r="BOD29"/>
      <c r="BOE29"/>
      <c r="BOF29"/>
      <c r="BOG29"/>
      <c r="BOH29"/>
      <c r="BOI29"/>
      <c r="BOJ29"/>
      <c r="BOK29"/>
      <c r="BOL29"/>
      <c r="BOM29"/>
      <c r="BON29"/>
      <c r="BOO29"/>
      <c r="BOP29"/>
      <c r="BOQ29"/>
      <c r="BOR29"/>
      <c r="BOS29"/>
      <c r="BOT29"/>
      <c r="BOU29"/>
      <c r="BOV29"/>
      <c r="BOW29"/>
      <c r="BOX29"/>
      <c r="BOY29"/>
      <c r="BOZ29"/>
      <c r="BPA29"/>
      <c r="BPB29"/>
      <c r="BPC29"/>
      <c r="BPD29"/>
      <c r="BPE29"/>
      <c r="BPF29"/>
      <c r="BPG29"/>
      <c r="BPH29"/>
      <c r="BPI29"/>
      <c r="BPJ29"/>
      <c r="BPK29"/>
      <c r="BPL29"/>
      <c r="BPM29"/>
      <c r="BPN29"/>
      <c r="BPO29"/>
      <c r="BPP29"/>
      <c r="BPQ29"/>
      <c r="BPR29"/>
      <c r="BPS29"/>
      <c r="BPT29"/>
      <c r="BPU29"/>
      <c r="BPV29"/>
      <c r="BPW29"/>
      <c r="BPX29"/>
      <c r="BPY29"/>
      <c r="BPZ29"/>
      <c r="BQA29"/>
      <c r="BQB29"/>
      <c r="BQC29"/>
      <c r="BQD29"/>
      <c r="BQE29"/>
      <c r="BQF29"/>
      <c r="BQG29"/>
      <c r="BQH29"/>
      <c r="BQI29"/>
      <c r="BQJ29"/>
      <c r="BQK29"/>
      <c r="BQL29"/>
      <c r="BQM29"/>
      <c r="BQN29"/>
      <c r="BQO29"/>
      <c r="BQP29"/>
      <c r="BQQ29"/>
      <c r="BQR29"/>
      <c r="BQS29"/>
      <c r="BQT29"/>
      <c r="BQU29"/>
      <c r="BQV29"/>
      <c r="BQW29"/>
      <c r="BQX29"/>
      <c r="BQY29"/>
      <c r="BQZ29"/>
      <c r="BRA29"/>
      <c r="BRB29"/>
      <c r="BRC29"/>
      <c r="BRD29"/>
      <c r="BRE29"/>
      <c r="BRF29"/>
      <c r="BRG29"/>
      <c r="BRH29"/>
      <c r="BRI29"/>
      <c r="BRJ29"/>
      <c r="BRK29"/>
      <c r="BRL29"/>
      <c r="BRM29"/>
      <c r="BRN29"/>
      <c r="BRO29"/>
      <c r="BRP29"/>
      <c r="BRQ29"/>
      <c r="BRR29"/>
      <c r="BRS29"/>
      <c r="BRT29"/>
      <c r="BRU29"/>
      <c r="BRV29"/>
      <c r="BRW29"/>
      <c r="BRX29"/>
      <c r="BRY29"/>
      <c r="BRZ29"/>
      <c r="BSA29"/>
      <c r="BSB29"/>
      <c r="BSC29"/>
      <c r="BSD29"/>
      <c r="BSE29"/>
      <c r="BSF29"/>
      <c r="BSG29"/>
      <c r="BSH29"/>
      <c r="BSI29"/>
      <c r="BSJ29"/>
      <c r="BSK29"/>
      <c r="BSL29"/>
      <c r="BSM29"/>
      <c r="BSN29"/>
      <c r="BSO29"/>
      <c r="BSP29"/>
      <c r="BSQ29"/>
      <c r="BSR29"/>
      <c r="BSS29"/>
      <c r="BST29"/>
      <c r="BSU29"/>
      <c r="BSV29"/>
      <c r="BSW29"/>
      <c r="BSX29"/>
      <c r="BSY29"/>
      <c r="BSZ29"/>
      <c r="BTA29"/>
      <c r="BTB29"/>
      <c r="BTC29"/>
      <c r="BTD29"/>
      <c r="BTE29"/>
      <c r="BTF29"/>
      <c r="BTG29"/>
      <c r="BTH29"/>
      <c r="BTI29"/>
      <c r="BTJ29"/>
      <c r="BTK29"/>
      <c r="BTL29"/>
      <c r="BTM29"/>
      <c r="BTN29"/>
      <c r="BTO29"/>
      <c r="BTP29"/>
      <c r="BTQ29"/>
      <c r="BTR29"/>
      <c r="BTS29"/>
      <c r="BTT29"/>
      <c r="BTU29"/>
      <c r="BTV29"/>
      <c r="BTW29"/>
      <c r="BTX29"/>
      <c r="BTY29"/>
      <c r="BTZ29"/>
      <c r="BUA29"/>
      <c r="BUB29"/>
      <c r="BUC29"/>
      <c r="BUD29"/>
      <c r="BUE29"/>
      <c r="BUF29"/>
      <c r="BUG29"/>
      <c r="BUH29"/>
      <c r="BUI29"/>
      <c r="BUJ29"/>
      <c r="BUK29"/>
      <c r="BUL29"/>
      <c r="BUM29"/>
      <c r="BUN29"/>
      <c r="BUO29"/>
      <c r="BUP29"/>
      <c r="BUQ29"/>
      <c r="BUR29"/>
      <c r="BUS29"/>
      <c r="BUT29"/>
      <c r="BUU29"/>
      <c r="BUV29"/>
      <c r="BUW29"/>
      <c r="BUX29"/>
      <c r="BUY29"/>
      <c r="BUZ29"/>
      <c r="BVA29"/>
      <c r="BVB29"/>
      <c r="BVC29"/>
      <c r="BVD29"/>
      <c r="BVE29"/>
      <c r="BVF29"/>
      <c r="BVG29"/>
      <c r="BVH29"/>
      <c r="BVI29"/>
      <c r="BVJ29"/>
      <c r="BVK29"/>
      <c r="BVL29"/>
      <c r="BVM29"/>
      <c r="BVN29"/>
      <c r="BVO29"/>
      <c r="BVP29"/>
      <c r="BVQ29"/>
      <c r="BVR29"/>
      <c r="BVS29"/>
      <c r="BVT29"/>
      <c r="BVU29"/>
      <c r="BVV29"/>
      <c r="BVW29"/>
      <c r="BVX29"/>
      <c r="BVY29"/>
      <c r="BVZ29"/>
      <c r="BWA29"/>
      <c r="BWB29"/>
      <c r="BWC29"/>
      <c r="BWD29"/>
      <c r="BWE29"/>
      <c r="BWF29"/>
      <c r="BWG29"/>
      <c r="BWH29"/>
      <c r="BWI29"/>
      <c r="BWJ29"/>
      <c r="BWK29"/>
      <c r="BWL29"/>
      <c r="BWM29"/>
      <c r="BWN29"/>
      <c r="BWO29"/>
      <c r="BWP29"/>
      <c r="BWQ29"/>
      <c r="BWR29"/>
      <c r="BWS29"/>
      <c r="BWT29"/>
      <c r="BWU29"/>
      <c r="BWV29"/>
      <c r="BWW29"/>
      <c r="BWX29"/>
      <c r="BWY29"/>
      <c r="BWZ29"/>
      <c r="BXA29"/>
      <c r="BXB29"/>
      <c r="BXC29"/>
      <c r="BXD29"/>
      <c r="BXE29"/>
      <c r="BXF29"/>
      <c r="BXG29"/>
      <c r="BXH29"/>
      <c r="BXI29"/>
      <c r="BXJ29"/>
      <c r="BXK29"/>
      <c r="BXL29"/>
      <c r="BXM29"/>
      <c r="BXN29"/>
      <c r="BXO29"/>
      <c r="BXP29"/>
      <c r="BXQ29"/>
      <c r="BXR29"/>
      <c r="BXS29"/>
      <c r="BXT29"/>
      <c r="BXU29"/>
      <c r="BXV29"/>
      <c r="BXW29"/>
      <c r="BXX29"/>
      <c r="BXY29"/>
      <c r="BXZ29"/>
      <c r="BYA29"/>
      <c r="BYB29"/>
      <c r="BYC29"/>
      <c r="BYD29"/>
      <c r="BYE29"/>
      <c r="BYF29"/>
      <c r="BYG29"/>
      <c r="BYH29"/>
      <c r="BYI29"/>
      <c r="BYJ29"/>
      <c r="BYK29"/>
      <c r="BYL29"/>
      <c r="BYM29"/>
      <c r="BYN29"/>
      <c r="BYO29"/>
      <c r="BYP29"/>
      <c r="BYQ29"/>
      <c r="BYR29"/>
      <c r="BYS29"/>
      <c r="BYT29"/>
      <c r="BYU29"/>
      <c r="BYV29"/>
      <c r="BYW29"/>
      <c r="BYX29"/>
      <c r="BYY29"/>
      <c r="BYZ29"/>
      <c r="BZA29"/>
      <c r="BZB29"/>
      <c r="BZC29"/>
      <c r="BZD29"/>
      <c r="BZE29"/>
      <c r="BZF29"/>
      <c r="BZG29"/>
      <c r="BZH29"/>
      <c r="BZI29"/>
      <c r="BZJ29"/>
      <c r="BZK29"/>
      <c r="BZL29"/>
      <c r="BZM29"/>
      <c r="BZN29"/>
      <c r="BZO29"/>
      <c r="BZP29"/>
      <c r="BZQ29"/>
      <c r="BZR29"/>
      <c r="BZS29"/>
      <c r="BZT29"/>
      <c r="BZU29"/>
      <c r="BZV29"/>
      <c r="BZW29"/>
      <c r="BZX29"/>
      <c r="BZY29"/>
      <c r="BZZ29"/>
      <c r="CAA29"/>
      <c r="CAB29"/>
      <c r="CAC29"/>
      <c r="CAD29"/>
      <c r="CAE29"/>
      <c r="CAF29"/>
      <c r="CAG29"/>
      <c r="CAH29"/>
      <c r="CAI29"/>
      <c r="CAJ29"/>
      <c r="CAK29"/>
      <c r="CAL29"/>
      <c r="CAM29"/>
      <c r="CAN29"/>
      <c r="CAO29"/>
      <c r="CAP29"/>
      <c r="CAQ29"/>
      <c r="CAR29"/>
      <c r="CAS29"/>
      <c r="CAT29"/>
      <c r="CAU29"/>
      <c r="CAV29"/>
      <c r="CAW29"/>
      <c r="CAX29"/>
      <c r="CAY29"/>
      <c r="CAZ29"/>
      <c r="CBA29"/>
      <c r="CBB29"/>
      <c r="CBC29"/>
      <c r="CBD29"/>
      <c r="CBE29"/>
      <c r="CBF29"/>
      <c r="CBG29"/>
      <c r="CBH29"/>
      <c r="CBI29"/>
      <c r="CBJ29"/>
      <c r="CBK29"/>
      <c r="CBL29"/>
      <c r="CBM29"/>
      <c r="CBN29"/>
      <c r="CBO29"/>
      <c r="CBP29"/>
      <c r="CBQ29"/>
      <c r="CBR29"/>
      <c r="CBS29"/>
      <c r="CBT29"/>
      <c r="CBU29"/>
      <c r="CBV29"/>
      <c r="CBW29"/>
      <c r="CBX29"/>
      <c r="CBY29"/>
      <c r="CBZ29"/>
      <c r="CCA29"/>
      <c r="CCB29"/>
      <c r="CCC29"/>
      <c r="CCD29"/>
      <c r="CCE29"/>
      <c r="CCF29"/>
      <c r="CCG29"/>
      <c r="CCH29"/>
      <c r="CCI29"/>
      <c r="CCJ29"/>
      <c r="CCK29"/>
      <c r="CCL29"/>
      <c r="CCM29"/>
      <c r="CCN29"/>
      <c r="CCO29"/>
      <c r="CCP29"/>
      <c r="CCQ29"/>
      <c r="CCR29"/>
      <c r="CCS29"/>
      <c r="CCT29"/>
      <c r="CCU29"/>
      <c r="CCV29"/>
      <c r="CCW29"/>
      <c r="CCX29"/>
      <c r="CCY29"/>
      <c r="CCZ29"/>
      <c r="CDA29"/>
      <c r="CDB29"/>
      <c r="CDC29"/>
      <c r="CDD29"/>
      <c r="CDE29"/>
      <c r="CDF29"/>
      <c r="CDG29"/>
      <c r="CDH29"/>
      <c r="CDI29"/>
      <c r="CDJ29"/>
      <c r="CDK29"/>
      <c r="CDL29"/>
      <c r="CDM29"/>
      <c r="CDN29"/>
      <c r="CDO29"/>
      <c r="CDP29"/>
      <c r="CDQ29"/>
      <c r="CDR29"/>
      <c r="CDS29"/>
      <c r="CDT29"/>
      <c r="CDU29"/>
      <c r="CDV29"/>
      <c r="CDW29"/>
      <c r="CDX29"/>
      <c r="CDY29"/>
      <c r="CDZ29"/>
      <c r="CEA29"/>
      <c r="CEB29"/>
      <c r="CEC29"/>
      <c r="CED29"/>
      <c r="CEE29"/>
      <c r="CEF29"/>
      <c r="CEG29"/>
      <c r="CEH29"/>
      <c r="CEI29"/>
      <c r="CEJ29"/>
      <c r="CEK29"/>
      <c r="CEL29"/>
      <c r="CEM29"/>
      <c r="CEN29"/>
      <c r="CEO29"/>
      <c r="CEP29"/>
      <c r="CEQ29"/>
      <c r="CER29"/>
      <c r="CES29"/>
      <c r="CET29"/>
      <c r="CEU29"/>
      <c r="CEV29"/>
      <c r="CEW29"/>
      <c r="CEX29"/>
      <c r="CEY29"/>
      <c r="CEZ29"/>
      <c r="CFA29"/>
      <c r="CFB29"/>
      <c r="CFC29"/>
      <c r="CFD29"/>
      <c r="CFE29"/>
      <c r="CFF29"/>
      <c r="CFG29"/>
      <c r="CFH29"/>
      <c r="CFI29"/>
      <c r="CFJ29"/>
      <c r="CFK29"/>
      <c r="CFL29"/>
      <c r="CFM29"/>
      <c r="CFN29"/>
      <c r="CFO29"/>
      <c r="CFP29"/>
      <c r="CFQ29"/>
      <c r="CFR29"/>
      <c r="CFS29"/>
      <c r="CFT29"/>
      <c r="CFU29"/>
      <c r="CFV29"/>
      <c r="CFW29"/>
      <c r="CFX29"/>
      <c r="CFY29"/>
      <c r="CFZ29"/>
      <c r="CGA29"/>
      <c r="CGB29"/>
      <c r="CGC29"/>
      <c r="CGD29"/>
      <c r="CGE29"/>
      <c r="CGF29"/>
      <c r="CGG29"/>
      <c r="CGH29"/>
      <c r="CGI29"/>
      <c r="CGJ29"/>
      <c r="CGK29"/>
      <c r="CGL29"/>
      <c r="CGM29"/>
      <c r="CGN29"/>
      <c r="CGO29"/>
      <c r="CGP29"/>
      <c r="CGQ29"/>
      <c r="CGR29"/>
      <c r="CGS29"/>
      <c r="CGT29"/>
      <c r="CGU29"/>
      <c r="CGV29"/>
      <c r="CGW29"/>
      <c r="CGX29"/>
      <c r="CGY29"/>
      <c r="CGZ29"/>
      <c r="CHA29"/>
      <c r="CHB29"/>
      <c r="CHC29"/>
      <c r="CHD29"/>
      <c r="CHE29"/>
      <c r="CHF29"/>
      <c r="CHG29"/>
      <c r="CHH29"/>
      <c r="CHI29"/>
      <c r="CHJ29"/>
      <c r="CHK29"/>
      <c r="CHL29"/>
      <c r="CHM29"/>
      <c r="CHN29"/>
      <c r="CHO29"/>
      <c r="CHP29"/>
      <c r="CHQ29"/>
      <c r="CHR29"/>
      <c r="CHS29"/>
      <c r="CHT29"/>
      <c r="CHU29"/>
      <c r="CHV29"/>
      <c r="CHW29"/>
      <c r="CHX29"/>
      <c r="CHY29"/>
      <c r="CHZ29"/>
      <c r="CIA29"/>
      <c r="CIB29"/>
      <c r="CIC29"/>
      <c r="CID29"/>
      <c r="CIE29"/>
      <c r="CIF29"/>
      <c r="CIG29"/>
      <c r="CIH29"/>
      <c r="CII29"/>
      <c r="CIJ29"/>
      <c r="CIK29"/>
      <c r="CIL29"/>
      <c r="CIM29"/>
      <c r="CIN29"/>
      <c r="CIO29"/>
      <c r="CIP29"/>
      <c r="CIQ29"/>
      <c r="CIR29"/>
      <c r="CIS29"/>
      <c r="CIT29"/>
      <c r="CIU29"/>
      <c r="CIV29"/>
      <c r="CIW29"/>
      <c r="CIX29"/>
      <c r="CIY29"/>
      <c r="CIZ29"/>
      <c r="CJA29"/>
      <c r="CJB29"/>
      <c r="CJC29"/>
      <c r="CJD29"/>
      <c r="CJE29"/>
      <c r="CJF29"/>
      <c r="CJG29"/>
      <c r="CJH29"/>
      <c r="CJI29"/>
      <c r="CJJ29"/>
      <c r="CJK29"/>
      <c r="CJL29"/>
      <c r="CJM29"/>
      <c r="CJN29"/>
      <c r="CJO29"/>
      <c r="CJP29"/>
      <c r="CJQ29"/>
      <c r="CJR29"/>
      <c r="CJS29"/>
      <c r="CJT29"/>
      <c r="CJU29"/>
      <c r="CJV29"/>
      <c r="CJW29"/>
      <c r="CJX29"/>
      <c r="CJY29"/>
      <c r="CJZ29"/>
      <c r="CKA29"/>
      <c r="CKB29"/>
      <c r="CKC29"/>
      <c r="CKD29"/>
      <c r="CKE29"/>
      <c r="CKF29"/>
      <c r="CKG29"/>
      <c r="CKH29"/>
      <c r="CKI29"/>
      <c r="CKJ29"/>
      <c r="CKK29"/>
      <c r="CKL29"/>
      <c r="CKM29"/>
      <c r="CKN29"/>
      <c r="CKO29"/>
      <c r="CKP29"/>
      <c r="CKQ29"/>
      <c r="CKR29"/>
      <c r="CKS29"/>
      <c r="CKT29"/>
      <c r="CKU29"/>
      <c r="CKV29"/>
      <c r="CKW29"/>
      <c r="CKX29"/>
      <c r="CKY29"/>
      <c r="CKZ29"/>
      <c r="CLA29"/>
      <c r="CLB29"/>
      <c r="CLC29"/>
      <c r="CLD29"/>
      <c r="CLE29"/>
      <c r="CLF29"/>
      <c r="CLG29"/>
      <c r="CLH29"/>
      <c r="CLI29"/>
      <c r="CLJ29"/>
      <c r="CLK29"/>
      <c r="CLL29"/>
      <c r="CLM29"/>
      <c r="CLN29"/>
      <c r="CLO29"/>
      <c r="CLP29"/>
      <c r="CLQ29"/>
      <c r="CLR29"/>
      <c r="CLS29"/>
      <c r="CLT29"/>
      <c r="CLU29"/>
      <c r="CLV29"/>
      <c r="CLW29"/>
      <c r="CLX29"/>
      <c r="CLY29"/>
      <c r="CLZ29"/>
      <c r="CMA29"/>
      <c r="CMB29"/>
      <c r="CMC29"/>
      <c r="CMD29"/>
      <c r="CME29"/>
      <c r="CMF29"/>
      <c r="CMG29"/>
      <c r="CMH29"/>
      <c r="CMI29"/>
      <c r="CMJ29"/>
      <c r="CMK29"/>
      <c r="CML29"/>
      <c r="CMM29"/>
      <c r="CMN29"/>
      <c r="CMO29"/>
      <c r="CMP29"/>
      <c r="CMQ29"/>
      <c r="CMR29"/>
      <c r="CMS29"/>
      <c r="CMT29"/>
      <c r="CMU29"/>
      <c r="CMV29"/>
      <c r="CMW29"/>
      <c r="CMX29"/>
      <c r="CMY29"/>
      <c r="CMZ29"/>
      <c r="CNA29"/>
      <c r="CNB29"/>
      <c r="CNC29"/>
      <c r="CND29"/>
      <c r="CNE29"/>
      <c r="CNF29"/>
      <c r="CNG29"/>
      <c r="CNH29"/>
      <c r="CNI29"/>
      <c r="CNJ29"/>
      <c r="CNK29"/>
      <c r="CNL29"/>
      <c r="CNM29"/>
      <c r="CNN29"/>
      <c r="CNO29"/>
      <c r="CNP29"/>
      <c r="CNQ29"/>
      <c r="CNR29"/>
      <c r="CNS29"/>
      <c r="CNT29"/>
      <c r="CNU29"/>
      <c r="CNV29"/>
      <c r="CNW29"/>
      <c r="CNX29"/>
      <c r="CNY29"/>
      <c r="CNZ29"/>
      <c r="COA29"/>
      <c r="COB29"/>
      <c r="COC29"/>
      <c r="COD29"/>
      <c r="COE29"/>
      <c r="COF29"/>
      <c r="COG29"/>
      <c r="COH29"/>
      <c r="COI29"/>
      <c r="COJ29"/>
      <c r="COK29"/>
      <c r="COL29"/>
      <c r="COM29"/>
      <c r="CON29"/>
      <c r="COO29"/>
      <c r="COP29"/>
      <c r="COQ29"/>
      <c r="COR29"/>
      <c r="COS29"/>
      <c r="COT29"/>
      <c r="COU29"/>
      <c r="COV29"/>
      <c r="COW29"/>
      <c r="COX29"/>
      <c r="COY29"/>
      <c r="COZ29"/>
      <c r="CPA29"/>
      <c r="CPB29"/>
      <c r="CPC29"/>
      <c r="CPD29"/>
      <c r="CPE29"/>
      <c r="CPF29"/>
      <c r="CPG29"/>
      <c r="CPH29"/>
      <c r="CPI29"/>
      <c r="CPJ29"/>
      <c r="CPK29"/>
      <c r="CPL29"/>
      <c r="CPM29"/>
      <c r="CPN29"/>
      <c r="CPO29"/>
      <c r="CPP29"/>
      <c r="CPQ29"/>
      <c r="CPR29"/>
      <c r="CPS29"/>
      <c r="CPT29"/>
      <c r="CPU29"/>
      <c r="CPV29"/>
      <c r="CPW29"/>
      <c r="CPX29"/>
      <c r="CPY29"/>
      <c r="CPZ29"/>
      <c r="CQA29"/>
      <c r="CQB29"/>
      <c r="CQC29"/>
      <c r="CQD29"/>
      <c r="CQE29"/>
      <c r="CQF29"/>
      <c r="CQG29"/>
      <c r="CQH29"/>
      <c r="CQI29"/>
      <c r="CQJ29"/>
      <c r="CQK29"/>
      <c r="CQL29"/>
      <c r="CQM29"/>
      <c r="CQN29"/>
      <c r="CQO29"/>
      <c r="CQP29"/>
      <c r="CQQ29"/>
      <c r="CQR29"/>
      <c r="CQS29"/>
      <c r="CQT29"/>
      <c r="CQU29"/>
      <c r="CQV29"/>
      <c r="CQW29"/>
      <c r="CQX29"/>
      <c r="CQY29"/>
      <c r="CQZ29"/>
      <c r="CRA29"/>
      <c r="CRB29"/>
      <c r="CRC29"/>
      <c r="CRD29"/>
      <c r="CRE29"/>
      <c r="CRF29"/>
      <c r="CRG29"/>
      <c r="CRH29"/>
      <c r="CRI29"/>
      <c r="CRJ29"/>
      <c r="CRK29"/>
      <c r="CRL29"/>
      <c r="CRM29"/>
      <c r="CRN29"/>
      <c r="CRO29"/>
      <c r="CRP29"/>
      <c r="CRQ29"/>
      <c r="CRR29"/>
      <c r="CRS29"/>
      <c r="CRT29"/>
      <c r="CRU29"/>
      <c r="CRV29"/>
      <c r="CRW29"/>
      <c r="CRX29"/>
      <c r="CRY29"/>
      <c r="CRZ29"/>
      <c r="CSA29"/>
      <c r="CSB29"/>
      <c r="CSC29"/>
      <c r="CSD29"/>
      <c r="CSE29"/>
      <c r="CSF29"/>
      <c r="CSG29"/>
      <c r="CSH29"/>
      <c r="CSI29"/>
      <c r="CSJ29"/>
      <c r="CSK29"/>
      <c r="CSL29"/>
      <c r="CSM29"/>
      <c r="CSN29"/>
      <c r="CSO29"/>
      <c r="CSP29"/>
      <c r="CSQ29"/>
      <c r="CSR29"/>
      <c r="CSS29"/>
      <c r="CST29"/>
      <c r="CSU29"/>
      <c r="CSV29"/>
      <c r="CSW29"/>
      <c r="CSX29"/>
      <c r="CSY29"/>
      <c r="CSZ29"/>
      <c r="CTA29"/>
      <c r="CTB29"/>
      <c r="CTC29"/>
      <c r="CTD29"/>
      <c r="CTE29"/>
      <c r="CTF29"/>
      <c r="CTG29"/>
      <c r="CTH29"/>
      <c r="CTI29"/>
      <c r="CTJ29"/>
      <c r="CTK29"/>
      <c r="CTL29"/>
      <c r="CTM29"/>
      <c r="CTN29"/>
      <c r="CTO29"/>
      <c r="CTP29"/>
      <c r="CTQ29"/>
      <c r="CTR29"/>
      <c r="CTS29"/>
      <c r="CTT29"/>
      <c r="CTU29"/>
      <c r="CTV29"/>
      <c r="CTW29"/>
      <c r="CTX29"/>
      <c r="CTY29"/>
      <c r="CTZ29"/>
      <c r="CUA29"/>
      <c r="CUB29"/>
      <c r="CUC29"/>
      <c r="CUD29"/>
      <c r="CUE29"/>
      <c r="CUF29"/>
      <c r="CUG29"/>
      <c r="CUH29"/>
      <c r="CUI29"/>
      <c r="CUJ29"/>
      <c r="CUK29"/>
      <c r="CUL29"/>
      <c r="CUM29"/>
      <c r="CUN29"/>
      <c r="CUO29"/>
      <c r="CUP29"/>
      <c r="CUQ29"/>
      <c r="CUR29"/>
      <c r="CUS29"/>
      <c r="CUT29"/>
      <c r="CUU29"/>
      <c r="CUV29"/>
      <c r="CUW29"/>
      <c r="CUX29"/>
      <c r="CUY29"/>
      <c r="CUZ29"/>
      <c r="CVA29"/>
      <c r="CVB29"/>
      <c r="CVC29"/>
      <c r="CVD29"/>
      <c r="CVE29"/>
      <c r="CVF29"/>
      <c r="CVG29"/>
      <c r="CVH29"/>
      <c r="CVI29"/>
      <c r="CVJ29"/>
      <c r="CVK29"/>
      <c r="CVL29"/>
      <c r="CVM29"/>
      <c r="CVN29"/>
      <c r="CVO29"/>
      <c r="CVP29"/>
      <c r="CVQ29"/>
      <c r="CVR29"/>
      <c r="CVS29"/>
      <c r="CVT29"/>
      <c r="CVU29"/>
      <c r="CVV29"/>
      <c r="CVW29"/>
      <c r="CVX29"/>
      <c r="CVY29"/>
      <c r="CVZ29"/>
      <c r="CWA29"/>
      <c r="CWB29"/>
      <c r="CWC29"/>
      <c r="CWD29"/>
      <c r="CWE29"/>
      <c r="CWF29"/>
      <c r="CWG29"/>
      <c r="CWH29"/>
      <c r="CWI29"/>
      <c r="CWJ29"/>
      <c r="CWK29"/>
      <c r="CWL29"/>
      <c r="CWM29"/>
      <c r="CWN29"/>
      <c r="CWO29"/>
      <c r="CWP29"/>
      <c r="CWQ29"/>
      <c r="CWR29"/>
      <c r="CWS29"/>
      <c r="CWT29"/>
      <c r="CWU29"/>
      <c r="CWV29"/>
      <c r="CWW29"/>
      <c r="CWX29"/>
      <c r="CWY29"/>
      <c r="CWZ29"/>
      <c r="CXA29"/>
      <c r="CXB29"/>
      <c r="CXC29"/>
      <c r="CXD29"/>
      <c r="CXE29"/>
      <c r="CXF29"/>
      <c r="CXG29"/>
      <c r="CXH29"/>
      <c r="CXI29"/>
      <c r="CXJ29"/>
      <c r="CXK29"/>
      <c r="CXL29"/>
      <c r="CXM29"/>
      <c r="CXN29"/>
      <c r="CXO29"/>
      <c r="CXP29"/>
      <c r="CXQ29"/>
      <c r="CXR29"/>
      <c r="CXS29"/>
      <c r="CXT29"/>
      <c r="CXU29"/>
      <c r="CXV29"/>
      <c r="CXW29"/>
      <c r="CXX29"/>
      <c r="CXY29"/>
      <c r="CXZ29"/>
      <c r="CYA29"/>
      <c r="CYB29"/>
      <c r="CYC29"/>
      <c r="CYD29"/>
      <c r="CYE29"/>
      <c r="CYF29"/>
      <c r="CYG29"/>
      <c r="CYH29"/>
      <c r="CYI29"/>
      <c r="CYJ29"/>
      <c r="CYK29"/>
      <c r="CYL29"/>
      <c r="CYM29"/>
      <c r="CYN29"/>
      <c r="CYO29"/>
      <c r="CYP29"/>
      <c r="CYQ29"/>
      <c r="CYR29"/>
      <c r="CYS29"/>
      <c r="CYT29"/>
      <c r="CYU29"/>
      <c r="CYV29"/>
      <c r="CYW29"/>
      <c r="CYX29"/>
      <c r="CYY29"/>
      <c r="CYZ29"/>
      <c r="CZA29"/>
      <c r="CZB29"/>
      <c r="CZC29"/>
      <c r="CZD29"/>
      <c r="CZE29"/>
      <c r="CZF29"/>
      <c r="CZG29"/>
      <c r="CZH29"/>
      <c r="CZI29"/>
      <c r="CZJ29"/>
      <c r="CZK29"/>
      <c r="CZL29"/>
      <c r="CZM29"/>
      <c r="CZN29"/>
      <c r="CZO29"/>
      <c r="CZP29"/>
      <c r="CZQ29"/>
      <c r="CZR29"/>
      <c r="CZS29"/>
      <c r="CZT29"/>
      <c r="CZU29"/>
      <c r="CZV29"/>
      <c r="CZW29"/>
      <c r="CZX29"/>
      <c r="CZY29"/>
      <c r="CZZ29"/>
      <c r="DAA29"/>
      <c r="DAB29"/>
      <c r="DAC29"/>
      <c r="DAD29"/>
      <c r="DAE29"/>
      <c r="DAF29"/>
      <c r="DAG29"/>
      <c r="DAH29"/>
      <c r="DAI29"/>
      <c r="DAJ29"/>
      <c r="DAK29"/>
      <c r="DAL29"/>
      <c r="DAM29"/>
      <c r="DAN29"/>
      <c r="DAO29"/>
      <c r="DAP29"/>
      <c r="DAQ29"/>
      <c r="DAR29"/>
      <c r="DAS29"/>
      <c r="DAT29"/>
      <c r="DAU29"/>
      <c r="DAV29"/>
      <c r="DAW29"/>
      <c r="DAX29"/>
      <c r="DAY29"/>
      <c r="DAZ29"/>
      <c r="DBA29"/>
      <c r="DBB29"/>
      <c r="DBC29"/>
      <c r="DBD29"/>
      <c r="DBE29"/>
      <c r="DBF29"/>
      <c r="DBG29"/>
      <c r="DBH29"/>
      <c r="DBI29"/>
      <c r="DBJ29"/>
      <c r="DBK29"/>
      <c r="DBL29"/>
      <c r="DBM29"/>
      <c r="DBN29"/>
      <c r="DBO29"/>
      <c r="DBP29"/>
      <c r="DBQ29"/>
      <c r="DBR29"/>
      <c r="DBS29"/>
      <c r="DBT29"/>
      <c r="DBU29"/>
      <c r="DBV29"/>
      <c r="DBW29"/>
      <c r="DBX29"/>
      <c r="DBY29"/>
      <c r="DBZ29"/>
      <c r="DCA29"/>
      <c r="DCB29"/>
      <c r="DCC29"/>
      <c r="DCD29"/>
      <c r="DCE29"/>
      <c r="DCF29"/>
      <c r="DCG29"/>
      <c r="DCH29"/>
      <c r="DCI29"/>
      <c r="DCJ29"/>
      <c r="DCK29"/>
      <c r="DCL29"/>
      <c r="DCM29"/>
      <c r="DCN29"/>
      <c r="DCO29"/>
      <c r="DCP29"/>
      <c r="DCQ29"/>
      <c r="DCR29"/>
      <c r="DCS29"/>
      <c r="DCT29"/>
      <c r="DCU29"/>
      <c r="DCV29"/>
      <c r="DCW29"/>
      <c r="DCX29"/>
      <c r="DCY29"/>
      <c r="DCZ29"/>
      <c r="DDA29"/>
      <c r="DDB29"/>
      <c r="DDC29"/>
      <c r="DDD29"/>
      <c r="DDE29"/>
      <c r="DDF29"/>
      <c r="DDG29"/>
      <c r="DDH29"/>
      <c r="DDI29"/>
      <c r="DDJ29"/>
      <c r="DDK29"/>
      <c r="DDL29"/>
      <c r="DDM29"/>
      <c r="DDN29"/>
      <c r="DDO29"/>
      <c r="DDP29"/>
      <c r="DDQ29"/>
      <c r="DDR29"/>
      <c r="DDS29"/>
      <c r="DDT29"/>
      <c r="DDU29"/>
      <c r="DDV29"/>
      <c r="DDW29"/>
      <c r="DDX29"/>
      <c r="DDY29"/>
      <c r="DDZ29"/>
      <c r="DEA29"/>
      <c r="DEB29"/>
      <c r="DEC29"/>
      <c r="DED29"/>
      <c r="DEE29"/>
      <c r="DEF29"/>
      <c r="DEG29"/>
      <c r="DEH29"/>
      <c r="DEI29"/>
      <c r="DEJ29"/>
      <c r="DEK29"/>
      <c r="DEL29"/>
      <c r="DEM29"/>
      <c r="DEN29"/>
      <c r="DEO29"/>
      <c r="DEP29"/>
      <c r="DEQ29"/>
      <c r="DER29"/>
      <c r="DES29"/>
      <c r="DET29"/>
      <c r="DEU29"/>
      <c r="DEV29"/>
      <c r="DEW29"/>
      <c r="DEX29"/>
      <c r="DEY29"/>
      <c r="DEZ29"/>
      <c r="DFA29"/>
      <c r="DFB29"/>
      <c r="DFC29"/>
      <c r="DFD29"/>
      <c r="DFE29"/>
      <c r="DFF29"/>
      <c r="DFG29"/>
      <c r="DFH29"/>
      <c r="DFI29"/>
      <c r="DFJ29"/>
      <c r="DFK29"/>
      <c r="DFL29"/>
      <c r="DFM29"/>
      <c r="DFN29"/>
      <c r="DFO29"/>
      <c r="DFP29"/>
      <c r="DFQ29"/>
      <c r="DFR29"/>
      <c r="DFS29"/>
      <c r="DFT29"/>
      <c r="DFU29"/>
      <c r="DFV29"/>
      <c r="DFW29"/>
      <c r="DFX29"/>
      <c r="DFY29"/>
      <c r="DFZ29"/>
      <c r="DGA29"/>
      <c r="DGB29"/>
      <c r="DGC29"/>
      <c r="DGD29"/>
      <c r="DGE29"/>
      <c r="DGF29"/>
      <c r="DGG29"/>
      <c r="DGH29"/>
      <c r="DGI29"/>
      <c r="DGJ29"/>
      <c r="DGK29"/>
      <c r="DGL29"/>
      <c r="DGM29"/>
      <c r="DGN29"/>
      <c r="DGO29"/>
      <c r="DGP29"/>
      <c r="DGQ29"/>
      <c r="DGR29"/>
      <c r="DGS29"/>
      <c r="DGT29"/>
      <c r="DGU29"/>
      <c r="DGV29"/>
      <c r="DGW29"/>
      <c r="DGX29"/>
      <c r="DGY29"/>
      <c r="DGZ29"/>
      <c r="DHA29"/>
      <c r="DHB29"/>
      <c r="DHC29"/>
      <c r="DHD29"/>
      <c r="DHE29"/>
      <c r="DHF29"/>
      <c r="DHG29"/>
      <c r="DHH29"/>
      <c r="DHI29"/>
      <c r="DHJ29"/>
      <c r="DHK29"/>
      <c r="DHL29"/>
      <c r="DHM29"/>
      <c r="DHN29"/>
      <c r="DHO29"/>
      <c r="DHP29"/>
      <c r="DHQ29"/>
      <c r="DHR29"/>
      <c r="DHS29"/>
      <c r="DHT29"/>
      <c r="DHU29"/>
      <c r="DHV29"/>
      <c r="DHW29"/>
      <c r="DHX29"/>
      <c r="DHY29"/>
      <c r="DHZ29"/>
      <c r="DIA29"/>
      <c r="DIB29"/>
      <c r="DIC29"/>
      <c r="DID29"/>
      <c r="DIE29"/>
      <c r="DIF29"/>
      <c r="DIG29"/>
      <c r="DIH29"/>
      <c r="DII29"/>
      <c r="DIJ29"/>
      <c r="DIK29"/>
      <c r="DIL29"/>
      <c r="DIM29"/>
      <c r="DIN29"/>
      <c r="DIO29"/>
      <c r="DIP29"/>
      <c r="DIQ29"/>
      <c r="DIR29"/>
      <c r="DIS29"/>
      <c r="DIT29"/>
      <c r="DIU29"/>
      <c r="DIV29"/>
      <c r="DIW29"/>
      <c r="DIX29"/>
      <c r="DIY29"/>
      <c r="DIZ29"/>
      <c r="DJA29"/>
      <c r="DJB29"/>
      <c r="DJC29"/>
      <c r="DJD29"/>
      <c r="DJE29"/>
      <c r="DJF29"/>
      <c r="DJG29"/>
      <c r="DJH29"/>
      <c r="DJI29"/>
      <c r="DJJ29"/>
      <c r="DJK29"/>
      <c r="DJL29"/>
      <c r="DJM29"/>
      <c r="DJN29"/>
      <c r="DJO29"/>
      <c r="DJP29"/>
      <c r="DJQ29"/>
      <c r="DJR29"/>
      <c r="DJS29"/>
      <c r="DJT29"/>
      <c r="DJU29"/>
      <c r="DJV29"/>
      <c r="DJW29"/>
      <c r="DJX29"/>
      <c r="DJY29"/>
      <c r="DJZ29"/>
      <c r="DKA29"/>
      <c r="DKB29"/>
      <c r="DKC29"/>
      <c r="DKD29"/>
      <c r="DKE29"/>
      <c r="DKF29"/>
      <c r="DKG29"/>
      <c r="DKH29"/>
      <c r="DKI29"/>
      <c r="DKJ29"/>
      <c r="DKK29"/>
      <c r="DKL29"/>
      <c r="DKM29"/>
      <c r="DKN29"/>
      <c r="DKO29"/>
      <c r="DKP29"/>
      <c r="DKQ29"/>
      <c r="DKR29"/>
      <c r="DKS29"/>
      <c r="DKT29"/>
      <c r="DKU29"/>
      <c r="DKV29"/>
      <c r="DKW29"/>
      <c r="DKX29"/>
      <c r="DKY29"/>
      <c r="DKZ29"/>
      <c r="DLA29"/>
      <c r="DLB29"/>
      <c r="DLC29"/>
      <c r="DLD29"/>
      <c r="DLE29"/>
      <c r="DLF29"/>
      <c r="DLG29"/>
      <c r="DLH29"/>
      <c r="DLI29"/>
      <c r="DLJ29"/>
      <c r="DLK29"/>
      <c r="DLL29"/>
      <c r="DLM29"/>
      <c r="DLN29"/>
      <c r="DLO29"/>
      <c r="DLP29"/>
      <c r="DLQ29"/>
      <c r="DLR29"/>
      <c r="DLS29"/>
      <c r="DLT29"/>
      <c r="DLU29"/>
      <c r="DLV29"/>
      <c r="DLW29"/>
      <c r="DLX29"/>
      <c r="DLY29"/>
      <c r="DLZ29"/>
      <c r="DMA29"/>
      <c r="DMB29"/>
      <c r="DMC29"/>
      <c r="DMD29"/>
      <c r="DME29"/>
      <c r="DMF29"/>
      <c r="DMG29"/>
      <c r="DMH29"/>
      <c r="DMI29"/>
      <c r="DMJ29"/>
      <c r="DMK29"/>
      <c r="DML29"/>
      <c r="DMM29"/>
      <c r="DMN29"/>
      <c r="DMO29"/>
      <c r="DMP29"/>
      <c r="DMQ29"/>
      <c r="DMR29"/>
      <c r="DMS29"/>
      <c r="DMT29"/>
      <c r="DMU29"/>
      <c r="DMV29"/>
      <c r="DMW29"/>
      <c r="DMX29"/>
      <c r="DMY29"/>
      <c r="DMZ29"/>
      <c r="DNA29"/>
      <c r="DNB29"/>
      <c r="DNC29"/>
      <c r="DND29"/>
      <c r="DNE29"/>
      <c r="DNF29"/>
      <c r="DNG29"/>
      <c r="DNH29"/>
      <c r="DNI29"/>
      <c r="DNJ29"/>
      <c r="DNK29"/>
      <c r="DNL29"/>
      <c r="DNM29"/>
      <c r="DNN29"/>
      <c r="DNO29"/>
      <c r="DNP29"/>
      <c r="DNQ29"/>
      <c r="DNR29"/>
      <c r="DNS29"/>
      <c r="DNT29"/>
      <c r="DNU29"/>
      <c r="DNV29"/>
      <c r="DNW29"/>
      <c r="DNX29"/>
      <c r="DNY29"/>
      <c r="DNZ29"/>
      <c r="DOA29"/>
      <c r="DOB29"/>
      <c r="DOC29"/>
      <c r="DOD29"/>
      <c r="DOE29"/>
      <c r="DOF29"/>
      <c r="DOG29"/>
      <c r="DOH29"/>
      <c r="DOI29"/>
      <c r="DOJ29"/>
      <c r="DOK29"/>
      <c r="DOL29"/>
      <c r="DOM29"/>
      <c r="DON29"/>
      <c r="DOO29"/>
      <c r="DOP29"/>
      <c r="DOQ29"/>
      <c r="DOR29"/>
      <c r="DOS29"/>
      <c r="DOT29"/>
      <c r="DOU29"/>
      <c r="DOV29"/>
      <c r="DOW29"/>
      <c r="DOX29"/>
      <c r="DOY29"/>
      <c r="DOZ29"/>
      <c r="DPA29"/>
      <c r="DPB29"/>
      <c r="DPC29"/>
      <c r="DPD29"/>
      <c r="DPE29"/>
      <c r="DPF29"/>
      <c r="DPG29"/>
      <c r="DPH29"/>
      <c r="DPI29"/>
      <c r="DPJ29"/>
      <c r="DPK29"/>
      <c r="DPL29"/>
      <c r="DPM29"/>
      <c r="DPN29"/>
      <c r="DPO29"/>
      <c r="DPP29"/>
      <c r="DPQ29"/>
      <c r="DPR29"/>
      <c r="DPS29"/>
      <c r="DPT29"/>
      <c r="DPU29"/>
      <c r="DPV29"/>
      <c r="DPW29"/>
      <c r="DPX29"/>
      <c r="DPY29"/>
      <c r="DPZ29"/>
      <c r="DQA29"/>
      <c r="DQB29"/>
      <c r="DQC29"/>
      <c r="DQD29"/>
      <c r="DQE29"/>
      <c r="DQF29"/>
      <c r="DQG29"/>
      <c r="DQH29"/>
      <c r="DQI29"/>
      <c r="DQJ29"/>
      <c r="DQK29"/>
      <c r="DQL29"/>
      <c r="DQM29"/>
      <c r="DQN29"/>
      <c r="DQO29"/>
      <c r="DQP29"/>
      <c r="DQQ29"/>
      <c r="DQR29"/>
      <c r="DQS29"/>
      <c r="DQT29"/>
      <c r="DQU29"/>
      <c r="DQV29"/>
      <c r="DQW29"/>
      <c r="DQX29"/>
      <c r="DQY29"/>
      <c r="DQZ29"/>
      <c r="DRA29"/>
      <c r="DRB29"/>
      <c r="DRC29"/>
      <c r="DRD29"/>
      <c r="DRE29"/>
      <c r="DRF29"/>
      <c r="DRG29"/>
      <c r="DRH29"/>
      <c r="DRI29"/>
      <c r="DRJ29"/>
      <c r="DRK29"/>
      <c r="DRL29"/>
      <c r="DRM29"/>
      <c r="DRN29"/>
      <c r="DRO29"/>
      <c r="DRP29"/>
      <c r="DRQ29"/>
      <c r="DRR29"/>
      <c r="DRS29"/>
      <c r="DRT29"/>
      <c r="DRU29"/>
      <c r="DRV29"/>
      <c r="DRW29"/>
      <c r="DRX29"/>
      <c r="DRY29"/>
      <c r="DRZ29"/>
      <c r="DSA29"/>
      <c r="DSB29"/>
      <c r="DSC29"/>
      <c r="DSD29"/>
      <c r="DSE29"/>
      <c r="DSF29"/>
      <c r="DSG29"/>
      <c r="DSH29"/>
      <c r="DSI29"/>
      <c r="DSJ29"/>
      <c r="DSK29"/>
      <c r="DSL29"/>
      <c r="DSM29"/>
      <c r="DSN29"/>
      <c r="DSO29"/>
      <c r="DSP29"/>
      <c r="DSQ29"/>
      <c r="DSR29"/>
      <c r="DSS29"/>
      <c r="DST29"/>
      <c r="DSU29"/>
      <c r="DSV29"/>
      <c r="DSW29"/>
      <c r="DSX29"/>
      <c r="DSY29"/>
      <c r="DSZ29"/>
      <c r="DTA29"/>
      <c r="DTB29"/>
      <c r="DTC29"/>
      <c r="DTD29"/>
      <c r="DTE29"/>
      <c r="DTF29"/>
      <c r="DTG29"/>
      <c r="DTH29"/>
      <c r="DTI29"/>
      <c r="DTJ29"/>
      <c r="DTK29"/>
      <c r="DTL29"/>
      <c r="DTM29"/>
      <c r="DTN29"/>
      <c r="DTO29"/>
      <c r="DTP29"/>
      <c r="DTQ29"/>
      <c r="DTR29"/>
      <c r="DTS29"/>
      <c r="DTT29"/>
      <c r="DTU29"/>
      <c r="DTV29"/>
      <c r="DTW29"/>
      <c r="DTX29"/>
      <c r="DTY29"/>
      <c r="DTZ29"/>
      <c r="DUA29"/>
      <c r="DUB29"/>
      <c r="DUC29"/>
      <c r="DUD29"/>
      <c r="DUE29"/>
      <c r="DUF29"/>
      <c r="DUG29"/>
      <c r="DUH29"/>
      <c r="DUI29"/>
      <c r="DUJ29"/>
      <c r="DUK29"/>
      <c r="DUL29"/>
      <c r="DUM29"/>
      <c r="DUN29"/>
      <c r="DUO29"/>
      <c r="DUP29"/>
      <c r="DUQ29"/>
      <c r="DUR29"/>
      <c r="DUS29"/>
      <c r="DUT29"/>
      <c r="DUU29"/>
      <c r="DUV29"/>
      <c r="DUW29"/>
      <c r="DUX29"/>
      <c r="DUY29"/>
      <c r="DUZ29"/>
      <c r="DVA29"/>
      <c r="DVB29"/>
      <c r="DVC29"/>
      <c r="DVD29"/>
      <c r="DVE29"/>
      <c r="DVF29"/>
      <c r="DVG29"/>
      <c r="DVH29"/>
      <c r="DVI29"/>
      <c r="DVJ29"/>
      <c r="DVK29"/>
      <c r="DVL29"/>
      <c r="DVM29"/>
      <c r="DVN29"/>
      <c r="DVO29"/>
      <c r="DVP29"/>
      <c r="DVQ29"/>
      <c r="DVR29"/>
      <c r="DVS29"/>
      <c r="DVT29"/>
      <c r="DVU29"/>
      <c r="DVV29"/>
      <c r="DVW29"/>
      <c r="DVX29"/>
      <c r="DVY29"/>
      <c r="DVZ29"/>
      <c r="DWA29"/>
      <c r="DWB29"/>
      <c r="DWC29"/>
      <c r="DWD29"/>
      <c r="DWE29"/>
      <c r="DWF29"/>
      <c r="DWG29"/>
      <c r="DWH29"/>
      <c r="DWI29"/>
      <c r="DWJ29"/>
      <c r="DWK29"/>
      <c r="DWL29"/>
      <c r="DWM29"/>
      <c r="DWN29"/>
      <c r="DWO29"/>
      <c r="DWP29"/>
      <c r="DWQ29"/>
      <c r="DWR29"/>
      <c r="DWS29"/>
      <c r="DWT29"/>
      <c r="DWU29"/>
      <c r="DWV29"/>
      <c r="DWW29"/>
      <c r="DWX29"/>
      <c r="DWY29"/>
      <c r="DWZ29"/>
      <c r="DXA29"/>
      <c r="DXB29"/>
      <c r="DXC29"/>
      <c r="DXD29"/>
      <c r="DXE29"/>
      <c r="DXF29"/>
      <c r="DXG29"/>
      <c r="DXH29"/>
      <c r="DXI29"/>
      <c r="DXJ29"/>
      <c r="DXK29"/>
      <c r="DXL29"/>
      <c r="DXM29"/>
      <c r="DXN29"/>
      <c r="DXO29"/>
      <c r="DXP29"/>
      <c r="DXQ29"/>
      <c r="DXR29"/>
      <c r="DXS29"/>
      <c r="DXT29"/>
      <c r="DXU29"/>
      <c r="DXV29"/>
      <c r="DXW29"/>
      <c r="DXX29"/>
      <c r="DXY29"/>
      <c r="DXZ29"/>
      <c r="DYA29"/>
      <c r="DYB29"/>
      <c r="DYC29"/>
      <c r="DYD29"/>
      <c r="DYE29"/>
      <c r="DYF29"/>
      <c r="DYG29"/>
      <c r="DYH29"/>
      <c r="DYI29"/>
      <c r="DYJ29"/>
      <c r="DYK29"/>
      <c r="DYL29"/>
      <c r="DYM29"/>
      <c r="DYN29"/>
      <c r="DYO29"/>
      <c r="DYP29"/>
      <c r="DYQ29"/>
      <c r="DYR29"/>
      <c r="DYS29"/>
      <c r="DYT29"/>
      <c r="DYU29"/>
      <c r="DYV29"/>
      <c r="DYW29"/>
      <c r="DYX29"/>
      <c r="DYY29"/>
      <c r="DYZ29"/>
      <c r="DZA29"/>
      <c r="DZB29"/>
      <c r="DZC29"/>
      <c r="DZD29"/>
      <c r="DZE29"/>
      <c r="DZF29"/>
      <c r="DZG29"/>
      <c r="DZH29"/>
      <c r="DZI29"/>
      <c r="DZJ29"/>
      <c r="DZK29"/>
      <c r="DZL29"/>
      <c r="DZM29"/>
      <c r="DZN29"/>
      <c r="DZO29"/>
      <c r="DZP29"/>
      <c r="DZQ29"/>
      <c r="DZR29"/>
      <c r="DZS29"/>
      <c r="DZT29"/>
      <c r="DZU29"/>
      <c r="DZV29"/>
      <c r="DZW29"/>
      <c r="DZX29"/>
      <c r="DZY29"/>
      <c r="DZZ29"/>
      <c r="EAA29"/>
      <c r="EAB29"/>
      <c r="EAC29"/>
      <c r="EAD29"/>
      <c r="EAE29"/>
      <c r="EAF29"/>
      <c r="EAG29"/>
      <c r="EAH29"/>
      <c r="EAI29"/>
      <c r="EAJ29"/>
      <c r="EAK29"/>
      <c r="EAL29"/>
      <c r="EAM29"/>
      <c r="EAN29"/>
      <c r="EAO29"/>
      <c r="EAP29"/>
      <c r="EAQ29"/>
      <c r="EAR29"/>
      <c r="EAS29"/>
      <c r="EAT29"/>
      <c r="EAU29"/>
      <c r="EAV29"/>
      <c r="EAW29"/>
      <c r="EAX29"/>
      <c r="EAY29"/>
      <c r="EAZ29"/>
      <c r="EBA29"/>
      <c r="EBB29"/>
      <c r="EBC29"/>
      <c r="EBD29"/>
      <c r="EBE29"/>
      <c r="EBF29"/>
      <c r="EBG29"/>
      <c r="EBH29"/>
      <c r="EBI29"/>
      <c r="EBJ29"/>
      <c r="EBK29"/>
      <c r="EBL29"/>
      <c r="EBM29"/>
      <c r="EBN29"/>
      <c r="EBO29"/>
      <c r="EBP29"/>
      <c r="EBQ29"/>
      <c r="EBR29"/>
      <c r="EBS29"/>
      <c r="EBT29"/>
      <c r="EBU29"/>
      <c r="EBV29"/>
      <c r="EBW29"/>
      <c r="EBX29"/>
      <c r="EBY29"/>
      <c r="EBZ29"/>
      <c r="ECA29"/>
      <c r="ECB29"/>
      <c r="ECC29"/>
      <c r="ECD29"/>
      <c r="ECE29"/>
      <c r="ECF29"/>
      <c r="ECG29"/>
      <c r="ECH29"/>
      <c r="ECI29"/>
      <c r="ECJ29"/>
      <c r="ECK29"/>
      <c r="ECL29"/>
      <c r="ECM29"/>
      <c r="ECN29"/>
      <c r="ECO29"/>
      <c r="ECP29"/>
      <c r="ECQ29"/>
      <c r="ECR29"/>
      <c r="ECS29"/>
      <c r="ECT29"/>
      <c r="ECU29"/>
      <c r="ECV29"/>
      <c r="ECW29"/>
      <c r="ECX29"/>
      <c r="ECY29"/>
      <c r="ECZ29"/>
      <c r="EDA29"/>
      <c r="EDB29"/>
      <c r="EDC29"/>
      <c r="EDD29"/>
      <c r="EDE29"/>
      <c r="EDF29"/>
      <c r="EDG29"/>
      <c r="EDH29"/>
      <c r="EDI29"/>
      <c r="EDJ29"/>
      <c r="EDK29"/>
      <c r="EDL29"/>
      <c r="EDM29"/>
      <c r="EDN29"/>
      <c r="EDO29"/>
      <c r="EDP29"/>
      <c r="EDQ29"/>
      <c r="EDR29"/>
      <c r="EDS29"/>
      <c r="EDT29"/>
      <c r="EDU29"/>
      <c r="EDV29"/>
      <c r="EDW29"/>
      <c r="EDX29"/>
      <c r="EDY29"/>
      <c r="EDZ29"/>
      <c r="EEA29"/>
      <c r="EEB29"/>
      <c r="EEC29"/>
      <c r="EED29"/>
      <c r="EEE29"/>
      <c r="EEF29"/>
      <c r="EEG29"/>
      <c r="EEH29"/>
      <c r="EEI29"/>
      <c r="EEJ29"/>
      <c r="EEK29"/>
      <c r="EEL29"/>
      <c r="EEM29"/>
      <c r="EEN29"/>
      <c r="EEO29"/>
      <c r="EEP29"/>
      <c r="EEQ29"/>
      <c r="EER29"/>
      <c r="EES29"/>
      <c r="EET29"/>
      <c r="EEU29"/>
      <c r="EEV29"/>
      <c r="EEW29"/>
      <c r="EEX29"/>
      <c r="EEY29"/>
      <c r="EEZ29"/>
      <c r="EFA29"/>
      <c r="EFB29"/>
      <c r="EFC29"/>
      <c r="EFD29"/>
      <c r="EFE29"/>
      <c r="EFF29"/>
      <c r="EFG29"/>
      <c r="EFH29"/>
      <c r="EFI29"/>
      <c r="EFJ29"/>
      <c r="EFK29"/>
      <c r="EFL29"/>
      <c r="EFM29"/>
      <c r="EFN29"/>
      <c r="EFO29"/>
      <c r="EFP29"/>
      <c r="EFQ29"/>
      <c r="EFR29"/>
      <c r="EFS29"/>
      <c r="EFT29"/>
      <c r="EFU29"/>
      <c r="EFV29"/>
      <c r="EFW29"/>
      <c r="EFX29"/>
      <c r="EFY29"/>
      <c r="EFZ29"/>
      <c r="EGA29"/>
      <c r="EGB29"/>
      <c r="EGC29"/>
      <c r="EGD29"/>
      <c r="EGE29"/>
      <c r="EGF29"/>
      <c r="EGG29"/>
      <c r="EGH29"/>
      <c r="EGI29"/>
      <c r="EGJ29"/>
      <c r="EGK29"/>
      <c r="EGL29"/>
      <c r="EGM29"/>
      <c r="EGN29"/>
      <c r="EGO29"/>
      <c r="EGP29"/>
      <c r="EGQ29"/>
      <c r="EGR29"/>
      <c r="EGS29"/>
      <c r="EGT29"/>
      <c r="EGU29"/>
      <c r="EGV29"/>
      <c r="EGW29"/>
      <c r="EGX29"/>
      <c r="EGY29"/>
      <c r="EGZ29"/>
      <c r="EHA29"/>
      <c r="EHB29"/>
      <c r="EHC29"/>
      <c r="EHD29"/>
      <c r="EHE29"/>
      <c r="EHF29"/>
      <c r="EHG29"/>
      <c r="EHH29"/>
      <c r="EHI29"/>
      <c r="EHJ29"/>
      <c r="EHK29"/>
      <c r="EHL29"/>
      <c r="EHM29"/>
      <c r="EHN29"/>
      <c r="EHO29"/>
      <c r="EHP29"/>
      <c r="EHQ29"/>
      <c r="EHR29"/>
      <c r="EHS29"/>
      <c r="EHT29"/>
      <c r="EHU29"/>
      <c r="EHV29"/>
      <c r="EHW29"/>
      <c r="EHX29"/>
      <c r="EHY29"/>
      <c r="EHZ29"/>
      <c r="EIA29"/>
      <c r="EIB29"/>
      <c r="EIC29"/>
      <c r="EID29"/>
      <c r="EIE29"/>
      <c r="EIF29"/>
      <c r="EIG29"/>
      <c r="EIH29"/>
      <c r="EII29"/>
      <c r="EIJ29"/>
      <c r="EIK29"/>
      <c r="EIL29"/>
      <c r="EIM29"/>
      <c r="EIN29"/>
      <c r="EIO29"/>
      <c r="EIP29"/>
      <c r="EIQ29"/>
      <c r="EIR29"/>
      <c r="EIS29"/>
      <c r="EIT29"/>
      <c r="EIU29"/>
      <c r="EIV29"/>
      <c r="EIW29"/>
      <c r="EIX29"/>
      <c r="EIY29"/>
      <c r="EIZ29"/>
      <c r="EJA29"/>
      <c r="EJB29"/>
      <c r="EJC29"/>
      <c r="EJD29"/>
      <c r="EJE29"/>
      <c r="EJF29"/>
      <c r="EJG29"/>
      <c r="EJH29"/>
      <c r="EJI29"/>
      <c r="EJJ29"/>
      <c r="EJK29"/>
      <c r="EJL29"/>
      <c r="EJM29"/>
      <c r="EJN29"/>
      <c r="EJO29"/>
      <c r="EJP29"/>
      <c r="EJQ29"/>
      <c r="EJR29"/>
      <c r="EJS29"/>
      <c r="EJT29"/>
      <c r="EJU29"/>
      <c r="EJV29"/>
      <c r="EJW29"/>
      <c r="EJX29"/>
      <c r="EJY29"/>
      <c r="EJZ29"/>
      <c r="EKA29"/>
      <c r="EKB29"/>
      <c r="EKC29"/>
      <c r="EKD29"/>
      <c r="EKE29"/>
      <c r="EKF29"/>
      <c r="EKG29"/>
      <c r="EKH29"/>
      <c r="EKI29"/>
      <c r="EKJ29"/>
      <c r="EKK29"/>
      <c r="EKL29"/>
      <c r="EKM29"/>
      <c r="EKN29"/>
      <c r="EKO29"/>
      <c r="EKP29"/>
      <c r="EKQ29"/>
      <c r="EKR29"/>
      <c r="EKS29"/>
      <c r="EKT29"/>
      <c r="EKU29"/>
      <c r="EKV29"/>
      <c r="EKW29"/>
      <c r="EKX29"/>
      <c r="EKY29"/>
      <c r="EKZ29"/>
      <c r="ELA29"/>
      <c r="ELB29"/>
      <c r="ELC29"/>
      <c r="ELD29"/>
      <c r="ELE29"/>
      <c r="ELF29"/>
      <c r="ELG29"/>
      <c r="ELH29"/>
      <c r="ELI29"/>
      <c r="ELJ29"/>
      <c r="ELK29"/>
      <c r="ELL29"/>
      <c r="ELM29"/>
      <c r="ELN29"/>
      <c r="ELO29"/>
      <c r="ELP29"/>
      <c r="ELQ29"/>
      <c r="ELR29"/>
      <c r="ELS29"/>
      <c r="ELT29"/>
      <c r="ELU29"/>
      <c r="ELV29"/>
      <c r="ELW29"/>
      <c r="ELX29"/>
      <c r="ELY29"/>
      <c r="ELZ29"/>
      <c r="EMA29"/>
      <c r="EMB29"/>
      <c r="EMC29"/>
      <c r="EMD29"/>
      <c r="EME29"/>
      <c r="EMF29"/>
      <c r="EMG29"/>
      <c r="EMH29"/>
      <c r="EMI29"/>
      <c r="EMJ29"/>
      <c r="EMK29"/>
      <c r="EML29"/>
      <c r="EMM29"/>
      <c r="EMN29"/>
      <c r="EMO29"/>
      <c r="EMP29"/>
      <c r="EMQ29"/>
      <c r="EMR29"/>
      <c r="EMS29"/>
      <c r="EMT29"/>
      <c r="EMU29"/>
      <c r="EMV29"/>
      <c r="EMW29"/>
      <c r="EMX29"/>
      <c r="EMY29"/>
      <c r="EMZ29"/>
      <c r="ENA29"/>
      <c r="ENB29"/>
      <c r="ENC29"/>
      <c r="END29"/>
      <c r="ENE29"/>
      <c r="ENF29"/>
      <c r="ENG29"/>
      <c r="ENH29"/>
      <c r="ENI29"/>
      <c r="ENJ29"/>
      <c r="ENK29"/>
      <c r="ENL29"/>
      <c r="ENM29"/>
      <c r="ENN29"/>
      <c r="ENO29"/>
      <c r="ENP29"/>
      <c r="ENQ29"/>
      <c r="ENR29"/>
      <c r="ENS29"/>
      <c r="ENT29"/>
      <c r="ENU29"/>
      <c r="ENV29"/>
      <c r="ENW29"/>
      <c r="ENX29"/>
      <c r="ENY29"/>
      <c r="ENZ29"/>
      <c r="EOA29"/>
      <c r="EOB29"/>
      <c r="EOC29"/>
      <c r="EOD29"/>
      <c r="EOE29"/>
      <c r="EOF29"/>
      <c r="EOG29"/>
      <c r="EOH29"/>
      <c r="EOI29"/>
      <c r="EOJ29"/>
      <c r="EOK29"/>
      <c r="EOL29"/>
      <c r="EOM29"/>
      <c r="EON29"/>
      <c r="EOO29"/>
      <c r="EOP29"/>
      <c r="EOQ29"/>
      <c r="EOR29"/>
      <c r="EOS29"/>
      <c r="EOT29"/>
      <c r="EOU29"/>
      <c r="EOV29"/>
      <c r="EOW29"/>
      <c r="EOX29"/>
      <c r="EOY29"/>
      <c r="EOZ29"/>
      <c r="EPA29"/>
      <c r="EPB29"/>
      <c r="EPC29"/>
      <c r="EPD29"/>
      <c r="EPE29"/>
      <c r="EPF29"/>
      <c r="EPG29"/>
      <c r="EPH29"/>
      <c r="EPI29"/>
      <c r="EPJ29"/>
      <c r="EPK29"/>
      <c r="EPL29"/>
      <c r="EPM29"/>
      <c r="EPN29"/>
      <c r="EPO29"/>
      <c r="EPP29"/>
      <c r="EPQ29"/>
      <c r="EPR29"/>
      <c r="EPS29"/>
      <c r="EPT29"/>
      <c r="EPU29"/>
      <c r="EPV29"/>
      <c r="EPW29"/>
      <c r="EPX29"/>
      <c r="EPY29"/>
      <c r="EPZ29"/>
      <c r="EQA29"/>
      <c r="EQB29"/>
      <c r="EQC29"/>
      <c r="EQD29"/>
      <c r="EQE29"/>
      <c r="EQF29"/>
      <c r="EQG29"/>
      <c r="EQH29"/>
      <c r="EQI29"/>
      <c r="EQJ29"/>
      <c r="EQK29"/>
      <c r="EQL29"/>
      <c r="EQM29"/>
      <c r="EQN29"/>
      <c r="EQO29"/>
      <c r="EQP29"/>
      <c r="EQQ29"/>
      <c r="EQR29"/>
      <c r="EQS29"/>
      <c r="EQT29"/>
      <c r="EQU29"/>
      <c r="EQV29"/>
      <c r="EQW29"/>
      <c r="EQX29"/>
      <c r="EQY29"/>
      <c r="EQZ29"/>
      <c r="ERA29"/>
      <c r="ERB29"/>
      <c r="ERC29"/>
      <c r="ERD29"/>
      <c r="ERE29"/>
      <c r="ERF29"/>
      <c r="ERG29"/>
      <c r="ERH29"/>
      <c r="ERI29"/>
      <c r="ERJ29"/>
      <c r="ERK29"/>
      <c r="ERL29"/>
      <c r="ERM29"/>
      <c r="ERN29"/>
      <c r="ERO29"/>
      <c r="ERP29"/>
      <c r="ERQ29"/>
      <c r="ERR29"/>
      <c r="ERS29"/>
      <c r="ERT29"/>
      <c r="ERU29"/>
      <c r="ERV29"/>
      <c r="ERW29"/>
      <c r="ERX29"/>
      <c r="ERY29"/>
      <c r="ERZ29"/>
      <c r="ESA29"/>
      <c r="ESB29"/>
      <c r="ESC29"/>
      <c r="ESD29"/>
      <c r="ESE29"/>
      <c r="ESF29"/>
      <c r="ESG29"/>
      <c r="ESH29"/>
      <c r="ESI29"/>
      <c r="ESJ29"/>
      <c r="ESK29"/>
      <c r="ESL29"/>
      <c r="ESM29"/>
      <c r="ESN29"/>
      <c r="ESO29"/>
      <c r="ESP29"/>
      <c r="ESQ29"/>
      <c r="ESR29"/>
      <c r="ESS29"/>
      <c r="EST29"/>
      <c r="ESU29"/>
      <c r="ESV29"/>
      <c r="ESW29"/>
      <c r="ESX29"/>
      <c r="ESY29"/>
      <c r="ESZ29"/>
      <c r="ETA29"/>
      <c r="ETB29"/>
      <c r="ETC29"/>
      <c r="ETD29"/>
      <c r="ETE29"/>
      <c r="ETF29"/>
      <c r="ETG29"/>
      <c r="ETH29"/>
      <c r="ETI29"/>
      <c r="ETJ29"/>
      <c r="ETK29"/>
      <c r="ETL29"/>
      <c r="ETM29"/>
      <c r="ETN29"/>
      <c r="ETO29"/>
      <c r="ETP29"/>
      <c r="ETQ29"/>
      <c r="ETR29"/>
      <c r="ETS29"/>
      <c r="ETT29"/>
      <c r="ETU29"/>
      <c r="ETV29"/>
      <c r="ETW29"/>
      <c r="ETX29"/>
      <c r="ETY29"/>
      <c r="ETZ29"/>
      <c r="EUA29"/>
      <c r="EUB29"/>
      <c r="EUC29"/>
      <c r="EUD29"/>
      <c r="EUE29"/>
      <c r="EUF29"/>
      <c r="EUG29"/>
      <c r="EUH29"/>
      <c r="EUI29"/>
      <c r="EUJ29"/>
      <c r="EUK29"/>
      <c r="EUL29"/>
      <c r="EUM29"/>
      <c r="EUN29"/>
      <c r="EUO29"/>
      <c r="EUP29"/>
      <c r="EUQ29"/>
      <c r="EUR29"/>
      <c r="EUS29"/>
      <c r="EUT29"/>
      <c r="EUU29"/>
      <c r="EUV29"/>
      <c r="EUW29"/>
      <c r="EUX29"/>
      <c r="EUY29"/>
      <c r="EUZ29"/>
      <c r="EVA29"/>
      <c r="EVB29"/>
      <c r="EVC29"/>
      <c r="EVD29"/>
      <c r="EVE29"/>
      <c r="EVF29"/>
      <c r="EVG29"/>
      <c r="EVH29"/>
      <c r="EVI29"/>
      <c r="EVJ29"/>
      <c r="EVK29"/>
      <c r="EVL29"/>
      <c r="EVM29"/>
      <c r="EVN29"/>
      <c r="EVO29"/>
      <c r="EVP29"/>
      <c r="EVQ29"/>
      <c r="EVR29"/>
      <c r="EVS29"/>
      <c r="EVT29"/>
      <c r="EVU29"/>
      <c r="EVV29"/>
      <c r="EVW29"/>
      <c r="EVX29"/>
      <c r="EVY29"/>
      <c r="EVZ29"/>
      <c r="EWA29"/>
      <c r="EWB29"/>
      <c r="EWC29"/>
      <c r="EWD29"/>
      <c r="EWE29"/>
      <c r="EWF29"/>
      <c r="EWG29"/>
      <c r="EWH29"/>
      <c r="EWI29"/>
      <c r="EWJ29"/>
      <c r="EWK29"/>
      <c r="EWL29"/>
      <c r="EWM29"/>
      <c r="EWN29"/>
      <c r="EWO29"/>
      <c r="EWP29"/>
      <c r="EWQ29"/>
      <c r="EWR29"/>
      <c r="EWS29"/>
      <c r="EWT29"/>
      <c r="EWU29"/>
      <c r="EWV29"/>
      <c r="EWW29"/>
      <c r="EWX29"/>
      <c r="EWY29"/>
      <c r="EWZ29"/>
      <c r="EXA29"/>
      <c r="EXB29"/>
      <c r="EXC29"/>
      <c r="EXD29"/>
      <c r="EXE29"/>
      <c r="EXF29"/>
      <c r="EXG29"/>
      <c r="EXH29"/>
      <c r="EXI29"/>
      <c r="EXJ29"/>
      <c r="EXK29"/>
      <c r="EXL29"/>
      <c r="EXM29"/>
      <c r="EXN29"/>
      <c r="EXO29"/>
      <c r="EXP29"/>
      <c r="EXQ29"/>
      <c r="EXR29"/>
      <c r="EXS29"/>
      <c r="EXT29"/>
      <c r="EXU29"/>
      <c r="EXV29"/>
      <c r="EXW29"/>
      <c r="EXX29"/>
      <c r="EXY29"/>
      <c r="EXZ29"/>
      <c r="EYA29"/>
      <c r="EYB29"/>
      <c r="EYC29"/>
      <c r="EYD29"/>
      <c r="EYE29"/>
      <c r="EYF29"/>
      <c r="EYG29"/>
      <c r="EYH29"/>
      <c r="EYI29"/>
      <c r="EYJ29"/>
      <c r="EYK29"/>
      <c r="EYL29"/>
      <c r="EYM29"/>
      <c r="EYN29"/>
      <c r="EYO29"/>
      <c r="EYP29"/>
      <c r="EYQ29"/>
      <c r="EYR29"/>
      <c r="EYS29"/>
      <c r="EYT29"/>
      <c r="EYU29"/>
      <c r="EYV29"/>
      <c r="EYW29"/>
      <c r="EYX29"/>
      <c r="EYY29"/>
      <c r="EYZ29"/>
      <c r="EZA29"/>
      <c r="EZB29"/>
      <c r="EZC29"/>
      <c r="EZD29"/>
      <c r="EZE29"/>
      <c r="EZF29"/>
      <c r="EZG29"/>
      <c r="EZH29"/>
      <c r="EZI29"/>
      <c r="EZJ29"/>
      <c r="EZK29"/>
      <c r="EZL29"/>
      <c r="EZM29"/>
      <c r="EZN29"/>
      <c r="EZO29"/>
      <c r="EZP29"/>
      <c r="EZQ29"/>
      <c r="EZR29"/>
      <c r="EZS29"/>
      <c r="EZT29"/>
      <c r="EZU29"/>
      <c r="EZV29"/>
      <c r="EZW29"/>
      <c r="EZX29"/>
      <c r="EZY29"/>
      <c r="EZZ29"/>
      <c r="FAA29"/>
      <c r="FAB29"/>
      <c r="FAC29"/>
      <c r="FAD29"/>
      <c r="FAE29"/>
      <c r="FAF29"/>
      <c r="FAG29"/>
      <c r="FAH29"/>
      <c r="FAI29"/>
      <c r="FAJ29"/>
      <c r="FAK29"/>
      <c r="FAL29"/>
      <c r="FAM29"/>
      <c r="FAN29"/>
      <c r="FAO29"/>
      <c r="FAP29"/>
      <c r="FAQ29"/>
      <c r="FAR29"/>
      <c r="FAS29"/>
      <c r="FAT29"/>
      <c r="FAU29"/>
      <c r="FAV29"/>
      <c r="FAW29"/>
      <c r="FAX29"/>
      <c r="FAY29"/>
      <c r="FAZ29"/>
      <c r="FBA29"/>
      <c r="FBB29"/>
      <c r="FBC29"/>
      <c r="FBD29"/>
      <c r="FBE29"/>
      <c r="FBF29"/>
      <c r="FBG29"/>
      <c r="FBH29"/>
      <c r="FBI29"/>
      <c r="FBJ29"/>
      <c r="FBK29"/>
      <c r="FBL29"/>
      <c r="FBM29"/>
      <c r="FBN29"/>
      <c r="FBO29"/>
      <c r="FBP29"/>
      <c r="FBQ29"/>
      <c r="FBR29"/>
      <c r="FBS29"/>
      <c r="FBT29"/>
      <c r="FBU29"/>
      <c r="FBV29"/>
      <c r="FBW29"/>
      <c r="FBX29"/>
      <c r="FBY29"/>
      <c r="FBZ29"/>
      <c r="FCA29"/>
      <c r="FCB29"/>
      <c r="FCC29"/>
      <c r="FCD29"/>
      <c r="FCE29"/>
      <c r="FCF29"/>
      <c r="FCG29"/>
      <c r="FCH29"/>
      <c r="FCI29"/>
      <c r="FCJ29"/>
      <c r="FCK29"/>
      <c r="FCL29"/>
      <c r="FCM29"/>
      <c r="FCN29"/>
      <c r="FCO29"/>
      <c r="FCP29"/>
      <c r="FCQ29"/>
      <c r="FCR29"/>
      <c r="FCS29"/>
      <c r="FCT29"/>
      <c r="FCU29"/>
      <c r="FCV29"/>
      <c r="FCW29"/>
      <c r="FCX29"/>
      <c r="FCY29"/>
      <c r="FCZ29"/>
      <c r="FDA29"/>
      <c r="FDB29"/>
      <c r="FDC29"/>
      <c r="FDD29"/>
      <c r="FDE29"/>
      <c r="FDF29"/>
      <c r="FDG29"/>
      <c r="FDH29"/>
      <c r="FDI29"/>
      <c r="FDJ29"/>
      <c r="FDK29"/>
      <c r="FDL29"/>
      <c r="FDM29"/>
      <c r="FDN29"/>
      <c r="FDO29"/>
      <c r="FDP29"/>
      <c r="FDQ29"/>
      <c r="FDR29"/>
      <c r="FDS29"/>
      <c r="FDT29"/>
      <c r="FDU29"/>
      <c r="FDV29"/>
      <c r="FDW29"/>
      <c r="FDX29"/>
      <c r="FDY29"/>
      <c r="FDZ29"/>
      <c r="FEA29"/>
      <c r="FEB29"/>
      <c r="FEC29"/>
      <c r="FED29"/>
      <c r="FEE29"/>
      <c r="FEF29"/>
      <c r="FEG29"/>
      <c r="FEH29"/>
      <c r="FEI29"/>
      <c r="FEJ29"/>
      <c r="FEK29"/>
      <c r="FEL29"/>
      <c r="FEM29"/>
      <c r="FEN29"/>
      <c r="FEO29"/>
      <c r="FEP29"/>
      <c r="FEQ29"/>
      <c r="FER29"/>
      <c r="FES29"/>
      <c r="FET29"/>
      <c r="FEU29"/>
      <c r="FEV29"/>
      <c r="FEW29"/>
      <c r="FEX29"/>
      <c r="FEY29"/>
      <c r="FEZ29"/>
      <c r="FFA29"/>
      <c r="FFB29"/>
      <c r="FFC29"/>
      <c r="FFD29"/>
      <c r="FFE29"/>
      <c r="FFF29"/>
      <c r="FFG29"/>
      <c r="FFH29"/>
      <c r="FFI29"/>
      <c r="FFJ29"/>
      <c r="FFK29"/>
      <c r="FFL29"/>
      <c r="FFM29"/>
      <c r="FFN29"/>
      <c r="FFO29"/>
      <c r="FFP29"/>
      <c r="FFQ29"/>
      <c r="FFR29"/>
      <c r="FFS29"/>
      <c r="FFT29"/>
      <c r="FFU29"/>
      <c r="FFV29"/>
      <c r="FFW29"/>
      <c r="FFX29"/>
      <c r="FFY29"/>
      <c r="FFZ29"/>
      <c r="FGA29"/>
      <c r="FGB29"/>
      <c r="FGC29"/>
      <c r="FGD29"/>
      <c r="FGE29"/>
      <c r="FGF29"/>
      <c r="FGG29"/>
      <c r="FGH29"/>
      <c r="FGI29"/>
      <c r="FGJ29"/>
      <c r="FGK29"/>
      <c r="FGL29"/>
      <c r="FGM29"/>
      <c r="FGN29"/>
      <c r="FGO29"/>
      <c r="FGP29"/>
      <c r="FGQ29"/>
      <c r="FGR29"/>
      <c r="FGS29"/>
      <c r="FGT29"/>
      <c r="FGU29"/>
      <c r="FGV29"/>
      <c r="FGW29"/>
      <c r="FGX29"/>
      <c r="FGY29"/>
      <c r="FGZ29"/>
      <c r="FHA29"/>
      <c r="FHB29"/>
      <c r="FHC29"/>
      <c r="FHD29"/>
      <c r="FHE29"/>
      <c r="FHF29"/>
      <c r="FHG29"/>
      <c r="FHH29"/>
      <c r="FHI29"/>
      <c r="FHJ29"/>
      <c r="FHK29"/>
      <c r="FHL29"/>
      <c r="FHM29"/>
      <c r="FHN29"/>
      <c r="FHO29"/>
      <c r="FHP29"/>
      <c r="FHQ29"/>
      <c r="FHR29"/>
      <c r="FHS29"/>
      <c r="FHT29"/>
      <c r="FHU29"/>
      <c r="FHV29"/>
      <c r="FHW29"/>
      <c r="FHX29"/>
      <c r="FHY29"/>
      <c r="FHZ29"/>
      <c r="FIA29"/>
      <c r="FIB29"/>
      <c r="FIC29"/>
      <c r="FID29"/>
      <c r="FIE29"/>
      <c r="FIF29"/>
      <c r="FIG29"/>
      <c r="FIH29"/>
      <c r="FII29"/>
      <c r="FIJ29"/>
      <c r="FIK29"/>
      <c r="FIL29"/>
      <c r="FIM29"/>
      <c r="FIN29"/>
      <c r="FIO29"/>
      <c r="FIP29"/>
      <c r="FIQ29"/>
      <c r="FIR29"/>
      <c r="FIS29"/>
      <c r="FIT29"/>
      <c r="FIU29"/>
      <c r="FIV29"/>
      <c r="FIW29"/>
      <c r="FIX29"/>
      <c r="FIY29"/>
      <c r="FIZ29"/>
      <c r="FJA29"/>
      <c r="FJB29"/>
      <c r="FJC29"/>
      <c r="FJD29"/>
      <c r="FJE29"/>
      <c r="FJF29"/>
      <c r="FJG29"/>
      <c r="FJH29"/>
      <c r="FJI29"/>
      <c r="FJJ29"/>
      <c r="FJK29"/>
      <c r="FJL29"/>
      <c r="FJM29"/>
      <c r="FJN29"/>
      <c r="FJO29"/>
      <c r="FJP29"/>
      <c r="FJQ29"/>
      <c r="FJR29"/>
      <c r="FJS29"/>
      <c r="FJT29"/>
      <c r="FJU29"/>
      <c r="FJV29"/>
      <c r="FJW29"/>
      <c r="FJX29"/>
      <c r="FJY29"/>
      <c r="FJZ29"/>
      <c r="FKA29"/>
      <c r="FKB29"/>
      <c r="FKC29"/>
      <c r="FKD29"/>
      <c r="FKE29"/>
      <c r="FKF29"/>
      <c r="FKG29"/>
      <c r="FKH29"/>
      <c r="FKI29"/>
      <c r="FKJ29"/>
      <c r="FKK29"/>
      <c r="FKL29"/>
      <c r="FKM29"/>
      <c r="FKN29"/>
      <c r="FKO29"/>
      <c r="FKP29"/>
      <c r="FKQ29"/>
      <c r="FKR29"/>
      <c r="FKS29"/>
      <c r="FKT29"/>
      <c r="FKU29"/>
      <c r="FKV29"/>
      <c r="FKW29"/>
      <c r="FKX29"/>
      <c r="FKY29"/>
      <c r="FKZ29"/>
      <c r="FLA29"/>
      <c r="FLB29"/>
      <c r="FLC29"/>
      <c r="FLD29"/>
      <c r="FLE29"/>
      <c r="FLF29"/>
      <c r="FLG29"/>
      <c r="FLH29"/>
      <c r="FLI29"/>
      <c r="FLJ29"/>
      <c r="FLK29"/>
      <c r="FLL29"/>
      <c r="FLM29"/>
      <c r="FLN29"/>
      <c r="FLO29"/>
      <c r="FLP29"/>
      <c r="FLQ29"/>
      <c r="FLR29"/>
      <c r="FLS29"/>
      <c r="FLT29"/>
      <c r="FLU29"/>
      <c r="FLV29"/>
      <c r="FLW29"/>
      <c r="FLX29"/>
      <c r="FLY29"/>
      <c r="FLZ29"/>
      <c r="FMA29"/>
      <c r="FMB29"/>
      <c r="FMC29"/>
      <c r="FMD29"/>
      <c r="FME29"/>
      <c r="FMF29"/>
      <c r="FMG29"/>
      <c r="FMH29"/>
      <c r="FMI29"/>
      <c r="FMJ29"/>
      <c r="FMK29"/>
      <c r="FML29"/>
      <c r="FMM29"/>
      <c r="FMN29"/>
      <c r="FMO29"/>
      <c r="FMP29"/>
      <c r="FMQ29"/>
      <c r="FMR29"/>
      <c r="FMS29"/>
      <c r="FMT29"/>
      <c r="FMU29"/>
      <c r="FMV29"/>
      <c r="FMW29"/>
      <c r="FMX29"/>
      <c r="FMY29"/>
      <c r="FMZ29"/>
      <c r="FNA29"/>
      <c r="FNB29"/>
      <c r="FNC29"/>
      <c r="FND29"/>
      <c r="FNE29"/>
      <c r="FNF29"/>
      <c r="FNG29"/>
      <c r="FNH29"/>
      <c r="FNI29"/>
      <c r="FNJ29"/>
      <c r="FNK29"/>
      <c r="FNL29"/>
      <c r="FNM29"/>
      <c r="FNN29"/>
      <c r="FNO29"/>
      <c r="FNP29"/>
      <c r="FNQ29"/>
      <c r="FNR29"/>
      <c r="FNS29"/>
      <c r="FNT29"/>
      <c r="FNU29"/>
      <c r="FNV29"/>
      <c r="FNW29"/>
      <c r="FNX29"/>
      <c r="FNY29"/>
      <c r="FNZ29"/>
      <c r="FOA29"/>
      <c r="FOB29"/>
      <c r="FOC29"/>
      <c r="FOD29"/>
      <c r="FOE29"/>
      <c r="FOF29"/>
      <c r="FOG29"/>
      <c r="FOH29"/>
      <c r="FOI29"/>
      <c r="FOJ29"/>
      <c r="FOK29"/>
      <c r="FOL29"/>
      <c r="FOM29"/>
      <c r="FON29"/>
      <c r="FOO29"/>
      <c r="FOP29"/>
      <c r="FOQ29"/>
      <c r="FOR29"/>
      <c r="FOS29"/>
      <c r="FOT29"/>
      <c r="FOU29"/>
      <c r="FOV29"/>
      <c r="FOW29"/>
      <c r="FOX29"/>
      <c r="FOY29"/>
      <c r="FOZ29"/>
      <c r="FPA29"/>
      <c r="FPB29"/>
      <c r="FPC29"/>
      <c r="FPD29"/>
      <c r="FPE29"/>
      <c r="FPF29"/>
      <c r="FPG29"/>
      <c r="FPH29"/>
      <c r="FPI29"/>
      <c r="FPJ29"/>
      <c r="FPK29"/>
      <c r="FPL29"/>
      <c r="FPM29"/>
      <c r="FPN29"/>
      <c r="FPO29"/>
      <c r="FPP29"/>
      <c r="FPQ29"/>
      <c r="FPR29"/>
      <c r="FPS29"/>
      <c r="FPT29"/>
      <c r="FPU29"/>
      <c r="FPV29"/>
      <c r="FPW29"/>
      <c r="FPX29"/>
      <c r="FPY29"/>
      <c r="FPZ29"/>
      <c r="FQA29"/>
      <c r="FQB29"/>
      <c r="FQC29"/>
      <c r="FQD29"/>
      <c r="FQE29"/>
      <c r="FQF29"/>
      <c r="FQG29"/>
      <c r="FQH29"/>
      <c r="FQI29"/>
      <c r="FQJ29"/>
      <c r="FQK29"/>
      <c r="FQL29"/>
      <c r="FQM29"/>
      <c r="FQN29"/>
      <c r="FQO29"/>
      <c r="FQP29"/>
      <c r="FQQ29"/>
      <c r="FQR29"/>
      <c r="FQS29"/>
      <c r="FQT29"/>
      <c r="FQU29"/>
      <c r="FQV29"/>
      <c r="FQW29"/>
      <c r="FQX29"/>
      <c r="FQY29"/>
      <c r="FQZ29"/>
      <c r="FRA29"/>
      <c r="FRB29"/>
      <c r="FRC29"/>
      <c r="FRD29"/>
      <c r="FRE29"/>
      <c r="FRF29"/>
      <c r="FRG29"/>
      <c r="FRH29"/>
      <c r="FRI29"/>
      <c r="FRJ29"/>
      <c r="FRK29"/>
      <c r="FRL29"/>
      <c r="FRM29"/>
      <c r="FRN29"/>
      <c r="FRO29"/>
      <c r="FRP29"/>
      <c r="FRQ29"/>
      <c r="FRR29"/>
      <c r="FRS29"/>
      <c r="FRT29"/>
      <c r="FRU29"/>
      <c r="FRV29"/>
      <c r="FRW29"/>
      <c r="FRX29"/>
      <c r="FRY29"/>
      <c r="FRZ29"/>
      <c r="FSA29"/>
      <c r="FSB29"/>
      <c r="FSC29"/>
      <c r="FSD29"/>
      <c r="FSE29"/>
      <c r="FSF29"/>
      <c r="FSG29"/>
      <c r="FSH29"/>
      <c r="FSI29"/>
      <c r="FSJ29"/>
      <c r="FSK29"/>
      <c r="FSL29"/>
      <c r="FSM29"/>
      <c r="FSN29"/>
      <c r="FSO29"/>
      <c r="FSP29"/>
      <c r="FSQ29"/>
      <c r="FSR29"/>
      <c r="FSS29"/>
      <c r="FST29"/>
      <c r="FSU29"/>
      <c r="FSV29"/>
      <c r="FSW29"/>
      <c r="FSX29"/>
      <c r="FSY29"/>
      <c r="FSZ29"/>
      <c r="FTA29"/>
      <c r="FTB29"/>
      <c r="FTC29"/>
      <c r="FTD29"/>
      <c r="FTE29"/>
      <c r="FTF29"/>
      <c r="FTG29"/>
      <c r="FTH29"/>
      <c r="FTI29"/>
      <c r="FTJ29"/>
      <c r="FTK29"/>
      <c r="FTL29"/>
      <c r="FTM29"/>
      <c r="FTN29"/>
      <c r="FTO29"/>
      <c r="FTP29"/>
      <c r="FTQ29"/>
      <c r="FTR29"/>
      <c r="FTS29"/>
      <c r="FTT29"/>
      <c r="FTU29"/>
      <c r="FTV29"/>
      <c r="FTW29"/>
      <c r="FTX29"/>
      <c r="FTY29"/>
      <c r="FTZ29"/>
      <c r="FUA29"/>
      <c r="FUB29"/>
      <c r="FUC29"/>
      <c r="FUD29"/>
      <c r="FUE29"/>
      <c r="FUF29"/>
      <c r="FUG29"/>
      <c r="FUH29"/>
      <c r="FUI29"/>
      <c r="FUJ29"/>
      <c r="FUK29"/>
      <c r="FUL29"/>
      <c r="FUM29"/>
      <c r="FUN29"/>
      <c r="FUO29"/>
      <c r="FUP29"/>
      <c r="FUQ29"/>
      <c r="FUR29"/>
      <c r="FUS29"/>
      <c r="FUT29"/>
      <c r="FUU29"/>
      <c r="FUV29"/>
      <c r="FUW29"/>
      <c r="FUX29"/>
      <c r="FUY29"/>
      <c r="FUZ29"/>
      <c r="FVA29"/>
      <c r="FVB29"/>
      <c r="FVC29"/>
      <c r="FVD29"/>
      <c r="FVE29"/>
      <c r="FVF29"/>
      <c r="FVG29"/>
      <c r="FVH29"/>
      <c r="FVI29"/>
      <c r="FVJ29"/>
      <c r="FVK29"/>
      <c r="FVL29"/>
      <c r="FVM29"/>
      <c r="FVN29"/>
      <c r="FVO29"/>
      <c r="FVP29"/>
      <c r="FVQ29"/>
      <c r="FVR29"/>
      <c r="FVS29"/>
      <c r="FVT29"/>
      <c r="FVU29"/>
      <c r="FVV29"/>
      <c r="FVW29"/>
      <c r="FVX29"/>
      <c r="FVY29"/>
      <c r="FVZ29"/>
      <c r="FWA29"/>
      <c r="FWB29"/>
      <c r="FWC29"/>
      <c r="FWD29"/>
      <c r="FWE29"/>
      <c r="FWF29"/>
      <c r="FWG29"/>
      <c r="FWH29"/>
      <c r="FWI29"/>
      <c r="FWJ29"/>
      <c r="FWK29"/>
      <c r="FWL29"/>
      <c r="FWM29"/>
      <c r="FWN29"/>
      <c r="FWO29"/>
      <c r="FWP29"/>
      <c r="FWQ29"/>
      <c r="FWR29"/>
      <c r="FWS29"/>
      <c r="FWT29"/>
      <c r="FWU29"/>
      <c r="FWV29"/>
      <c r="FWW29"/>
      <c r="FWX29"/>
      <c r="FWY29"/>
      <c r="FWZ29"/>
      <c r="FXA29"/>
      <c r="FXB29"/>
      <c r="FXC29"/>
      <c r="FXD29"/>
      <c r="FXE29"/>
      <c r="FXF29"/>
      <c r="FXG29"/>
      <c r="FXH29"/>
      <c r="FXI29"/>
      <c r="FXJ29"/>
      <c r="FXK29"/>
      <c r="FXL29"/>
      <c r="FXM29"/>
      <c r="FXN29"/>
      <c r="FXO29"/>
      <c r="FXP29"/>
      <c r="FXQ29"/>
      <c r="FXR29"/>
      <c r="FXS29"/>
      <c r="FXT29"/>
      <c r="FXU29"/>
      <c r="FXV29"/>
      <c r="FXW29"/>
      <c r="FXX29"/>
      <c r="FXY29"/>
      <c r="FXZ29"/>
      <c r="FYA29"/>
      <c r="FYB29"/>
      <c r="FYC29"/>
      <c r="FYD29"/>
      <c r="FYE29"/>
      <c r="FYF29"/>
      <c r="FYG29"/>
      <c r="FYH29"/>
      <c r="FYI29"/>
      <c r="FYJ29"/>
      <c r="FYK29"/>
      <c r="FYL29"/>
      <c r="FYM29"/>
      <c r="FYN29"/>
      <c r="FYO29"/>
      <c r="FYP29"/>
      <c r="FYQ29"/>
      <c r="FYR29"/>
      <c r="FYS29"/>
      <c r="FYT29"/>
      <c r="FYU29"/>
      <c r="FYV29"/>
      <c r="FYW29"/>
      <c r="FYX29"/>
      <c r="FYY29"/>
      <c r="FYZ29"/>
      <c r="FZA29"/>
      <c r="FZB29"/>
      <c r="FZC29"/>
      <c r="FZD29"/>
      <c r="FZE29"/>
      <c r="FZF29"/>
      <c r="FZG29"/>
      <c r="FZH29"/>
      <c r="FZI29"/>
      <c r="FZJ29"/>
      <c r="FZK29"/>
      <c r="FZL29"/>
      <c r="FZM29"/>
      <c r="FZN29"/>
      <c r="FZO29"/>
      <c r="FZP29"/>
      <c r="FZQ29"/>
      <c r="FZR29"/>
      <c r="FZS29"/>
      <c r="FZT29"/>
      <c r="FZU29"/>
      <c r="FZV29"/>
      <c r="FZW29"/>
      <c r="FZX29"/>
      <c r="FZY29"/>
      <c r="FZZ29"/>
      <c r="GAA29"/>
      <c r="GAB29"/>
      <c r="GAC29"/>
      <c r="GAD29"/>
      <c r="GAE29"/>
      <c r="GAF29"/>
      <c r="GAG29"/>
      <c r="GAH29"/>
      <c r="GAI29"/>
      <c r="GAJ29"/>
      <c r="GAK29"/>
      <c r="GAL29"/>
      <c r="GAM29"/>
      <c r="GAN29"/>
      <c r="GAO29"/>
      <c r="GAP29"/>
      <c r="GAQ29"/>
      <c r="GAR29"/>
      <c r="GAS29"/>
      <c r="GAT29"/>
      <c r="GAU29"/>
      <c r="GAV29"/>
      <c r="GAW29"/>
      <c r="GAX29"/>
      <c r="GAY29"/>
      <c r="GAZ29"/>
      <c r="GBA29"/>
      <c r="GBB29"/>
      <c r="GBC29"/>
      <c r="GBD29"/>
      <c r="GBE29"/>
      <c r="GBF29"/>
      <c r="GBG29"/>
      <c r="GBH29"/>
      <c r="GBI29"/>
      <c r="GBJ29"/>
      <c r="GBK29"/>
      <c r="GBL29"/>
      <c r="GBM29"/>
      <c r="GBN29"/>
      <c r="GBO29"/>
      <c r="GBP29"/>
      <c r="GBQ29"/>
      <c r="GBR29"/>
      <c r="GBS29"/>
      <c r="GBT29"/>
      <c r="GBU29"/>
      <c r="GBV29"/>
      <c r="GBW29"/>
      <c r="GBX29"/>
      <c r="GBY29"/>
      <c r="GBZ29"/>
      <c r="GCA29"/>
      <c r="GCB29"/>
      <c r="GCC29"/>
      <c r="GCD29"/>
      <c r="GCE29"/>
      <c r="GCF29"/>
      <c r="GCG29"/>
      <c r="GCH29"/>
      <c r="GCI29"/>
      <c r="GCJ29"/>
      <c r="GCK29"/>
      <c r="GCL29"/>
      <c r="GCM29"/>
      <c r="GCN29"/>
      <c r="GCO29"/>
      <c r="GCP29"/>
      <c r="GCQ29"/>
      <c r="GCR29"/>
      <c r="GCS29"/>
      <c r="GCT29"/>
      <c r="GCU29"/>
      <c r="GCV29"/>
      <c r="GCW29"/>
      <c r="GCX29"/>
      <c r="GCY29"/>
      <c r="GCZ29"/>
      <c r="GDA29"/>
      <c r="GDB29"/>
      <c r="GDC29"/>
      <c r="GDD29"/>
      <c r="GDE29"/>
      <c r="GDF29"/>
      <c r="GDG29"/>
      <c r="GDH29"/>
      <c r="GDI29"/>
      <c r="GDJ29"/>
      <c r="GDK29"/>
      <c r="GDL29"/>
      <c r="GDM29"/>
      <c r="GDN29"/>
      <c r="GDO29"/>
      <c r="GDP29"/>
      <c r="GDQ29"/>
      <c r="GDR29"/>
      <c r="GDS29"/>
      <c r="GDT29"/>
      <c r="GDU29"/>
      <c r="GDV29"/>
      <c r="GDW29"/>
      <c r="GDX29"/>
      <c r="GDY29"/>
      <c r="GDZ29"/>
      <c r="GEA29"/>
      <c r="GEB29"/>
      <c r="GEC29"/>
      <c r="GED29"/>
      <c r="GEE29"/>
      <c r="GEF29"/>
      <c r="GEG29"/>
      <c r="GEH29"/>
      <c r="GEI29"/>
      <c r="GEJ29"/>
      <c r="GEK29"/>
      <c r="GEL29"/>
      <c r="GEM29"/>
      <c r="GEN29"/>
      <c r="GEO29"/>
      <c r="GEP29"/>
      <c r="GEQ29"/>
      <c r="GER29"/>
      <c r="GES29"/>
      <c r="GET29"/>
      <c r="GEU29"/>
      <c r="GEV29"/>
      <c r="GEW29"/>
      <c r="GEX29"/>
      <c r="GEY29"/>
      <c r="GEZ29"/>
      <c r="GFA29"/>
      <c r="GFB29"/>
      <c r="GFC29"/>
      <c r="GFD29"/>
      <c r="GFE29"/>
      <c r="GFF29"/>
      <c r="GFG29"/>
      <c r="GFH29"/>
      <c r="GFI29"/>
      <c r="GFJ29"/>
      <c r="GFK29"/>
      <c r="GFL29"/>
      <c r="GFM29"/>
      <c r="GFN29"/>
      <c r="GFO29"/>
      <c r="GFP29"/>
      <c r="GFQ29"/>
      <c r="GFR29"/>
      <c r="GFS29"/>
      <c r="GFT29"/>
      <c r="GFU29"/>
      <c r="GFV29"/>
      <c r="GFW29"/>
      <c r="GFX29"/>
      <c r="GFY29"/>
      <c r="GFZ29"/>
      <c r="GGA29"/>
      <c r="GGB29"/>
      <c r="GGC29"/>
      <c r="GGD29"/>
      <c r="GGE29"/>
      <c r="GGF29"/>
      <c r="GGG29"/>
      <c r="GGH29"/>
      <c r="GGI29"/>
      <c r="GGJ29"/>
      <c r="GGK29"/>
      <c r="GGL29"/>
      <c r="GGM29"/>
      <c r="GGN29"/>
      <c r="GGO29"/>
      <c r="GGP29"/>
      <c r="GGQ29"/>
      <c r="GGR29"/>
      <c r="GGS29"/>
      <c r="GGT29"/>
      <c r="GGU29"/>
      <c r="GGV29"/>
      <c r="GGW29"/>
      <c r="GGX29"/>
      <c r="GGY29"/>
      <c r="GGZ29"/>
      <c r="GHA29"/>
      <c r="GHB29"/>
      <c r="GHC29"/>
      <c r="GHD29"/>
      <c r="GHE29"/>
      <c r="GHF29"/>
      <c r="GHG29"/>
      <c r="GHH29"/>
      <c r="GHI29"/>
      <c r="GHJ29"/>
      <c r="GHK29"/>
      <c r="GHL29"/>
      <c r="GHM29"/>
      <c r="GHN29"/>
      <c r="GHO29"/>
      <c r="GHP29"/>
      <c r="GHQ29"/>
      <c r="GHR29"/>
      <c r="GHS29"/>
      <c r="GHT29"/>
      <c r="GHU29"/>
      <c r="GHV29"/>
      <c r="GHW29"/>
      <c r="GHX29"/>
      <c r="GHY29"/>
      <c r="GHZ29"/>
      <c r="GIA29"/>
      <c r="GIB29"/>
      <c r="GIC29"/>
      <c r="GID29"/>
      <c r="GIE29"/>
      <c r="GIF29"/>
      <c r="GIG29"/>
      <c r="GIH29"/>
      <c r="GII29"/>
      <c r="GIJ29"/>
      <c r="GIK29"/>
      <c r="GIL29"/>
      <c r="GIM29"/>
      <c r="GIN29"/>
      <c r="GIO29"/>
      <c r="GIP29"/>
      <c r="GIQ29"/>
      <c r="GIR29"/>
      <c r="GIS29"/>
      <c r="GIT29"/>
      <c r="GIU29"/>
      <c r="GIV29"/>
      <c r="GIW29"/>
      <c r="GIX29"/>
      <c r="GIY29"/>
      <c r="GIZ29"/>
      <c r="GJA29"/>
      <c r="GJB29"/>
      <c r="GJC29"/>
      <c r="GJD29"/>
      <c r="GJE29"/>
      <c r="GJF29"/>
      <c r="GJG29"/>
      <c r="GJH29"/>
      <c r="GJI29"/>
      <c r="GJJ29"/>
      <c r="GJK29"/>
      <c r="GJL29"/>
      <c r="GJM29"/>
      <c r="GJN29"/>
      <c r="GJO29"/>
      <c r="GJP29"/>
      <c r="GJQ29"/>
      <c r="GJR29"/>
      <c r="GJS29"/>
      <c r="GJT29"/>
      <c r="GJU29"/>
      <c r="GJV29"/>
      <c r="GJW29"/>
      <c r="GJX29"/>
      <c r="GJY29"/>
      <c r="GJZ29"/>
      <c r="GKA29"/>
      <c r="GKB29"/>
      <c r="GKC29"/>
      <c r="GKD29"/>
      <c r="GKE29"/>
      <c r="GKF29"/>
      <c r="GKG29"/>
      <c r="GKH29"/>
      <c r="GKI29"/>
      <c r="GKJ29"/>
      <c r="GKK29"/>
      <c r="GKL29"/>
      <c r="GKM29"/>
      <c r="GKN29"/>
      <c r="GKO29"/>
      <c r="GKP29"/>
      <c r="GKQ29"/>
      <c r="GKR29"/>
      <c r="GKS29"/>
      <c r="GKT29"/>
      <c r="GKU29"/>
      <c r="GKV29"/>
      <c r="GKW29"/>
      <c r="GKX29"/>
      <c r="GKY29"/>
      <c r="GKZ29"/>
      <c r="GLA29"/>
      <c r="GLB29"/>
      <c r="GLC29"/>
      <c r="GLD29"/>
      <c r="GLE29"/>
      <c r="GLF29"/>
      <c r="GLG29"/>
      <c r="GLH29"/>
      <c r="GLI29"/>
      <c r="GLJ29"/>
      <c r="GLK29"/>
      <c r="GLL29"/>
      <c r="GLM29"/>
      <c r="GLN29"/>
      <c r="GLO29"/>
      <c r="GLP29"/>
      <c r="GLQ29"/>
      <c r="GLR29"/>
      <c r="GLS29"/>
      <c r="GLT29"/>
      <c r="GLU29"/>
      <c r="GLV29"/>
      <c r="GLW29"/>
      <c r="GLX29"/>
      <c r="GLY29"/>
      <c r="GLZ29"/>
      <c r="GMA29"/>
      <c r="GMB29"/>
      <c r="GMC29"/>
      <c r="GMD29"/>
      <c r="GME29"/>
      <c r="GMF29"/>
      <c r="GMG29"/>
      <c r="GMH29"/>
      <c r="GMI29"/>
      <c r="GMJ29"/>
      <c r="GMK29"/>
      <c r="GML29"/>
      <c r="GMM29"/>
      <c r="GMN29"/>
      <c r="GMO29"/>
      <c r="GMP29"/>
      <c r="GMQ29"/>
      <c r="GMR29"/>
      <c r="GMS29"/>
      <c r="GMT29"/>
      <c r="GMU29"/>
      <c r="GMV29"/>
      <c r="GMW29"/>
      <c r="GMX29"/>
      <c r="GMY29"/>
      <c r="GMZ29"/>
      <c r="GNA29"/>
      <c r="GNB29"/>
      <c r="GNC29"/>
      <c r="GND29"/>
      <c r="GNE29"/>
      <c r="GNF29"/>
      <c r="GNG29"/>
      <c r="GNH29"/>
      <c r="GNI29"/>
      <c r="GNJ29"/>
      <c r="GNK29"/>
      <c r="GNL29"/>
      <c r="GNM29"/>
      <c r="GNN29"/>
      <c r="GNO29"/>
      <c r="GNP29"/>
      <c r="GNQ29"/>
      <c r="GNR29"/>
      <c r="GNS29"/>
      <c r="GNT29"/>
      <c r="GNU29"/>
      <c r="GNV29"/>
      <c r="GNW29"/>
      <c r="GNX29"/>
      <c r="GNY29"/>
      <c r="GNZ29"/>
      <c r="GOA29"/>
      <c r="GOB29"/>
      <c r="GOC29"/>
      <c r="GOD29"/>
      <c r="GOE29"/>
      <c r="GOF29"/>
      <c r="GOG29"/>
      <c r="GOH29"/>
      <c r="GOI29"/>
      <c r="GOJ29"/>
      <c r="GOK29"/>
      <c r="GOL29"/>
      <c r="GOM29"/>
      <c r="GON29"/>
      <c r="GOO29"/>
      <c r="GOP29"/>
      <c r="GOQ29"/>
      <c r="GOR29"/>
      <c r="GOS29"/>
      <c r="GOT29"/>
      <c r="GOU29"/>
      <c r="GOV29"/>
      <c r="GOW29"/>
      <c r="GOX29"/>
      <c r="GOY29"/>
      <c r="GOZ29"/>
      <c r="GPA29"/>
      <c r="GPB29"/>
      <c r="GPC29"/>
      <c r="GPD29"/>
      <c r="GPE29"/>
      <c r="GPF29"/>
      <c r="GPG29"/>
      <c r="GPH29"/>
      <c r="GPI29"/>
      <c r="GPJ29"/>
      <c r="GPK29"/>
      <c r="GPL29"/>
      <c r="GPM29"/>
      <c r="GPN29"/>
      <c r="GPO29"/>
      <c r="GPP29"/>
      <c r="GPQ29"/>
      <c r="GPR29"/>
      <c r="GPS29"/>
      <c r="GPT29"/>
      <c r="GPU29"/>
      <c r="GPV29"/>
      <c r="GPW29"/>
      <c r="GPX29"/>
      <c r="GPY29"/>
      <c r="GPZ29"/>
      <c r="GQA29"/>
      <c r="GQB29"/>
      <c r="GQC29"/>
      <c r="GQD29"/>
      <c r="GQE29"/>
      <c r="GQF29"/>
      <c r="GQG29"/>
      <c r="GQH29"/>
      <c r="GQI29"/>
      <c r="GQJ29"/>
      <c r="GQK29"/>
      <c r="GQL29"/>
      <c r="GQM29"/>
      <c r="GQN29"/>
      <c r="GQO29"/>
      <c r="GQP29"/>
      <c r="GQQ29"/>
      <c r="GQR29"/>
      <c r="GQS29"/>
      <c r="GQT29"/>
      <c r="GQU29"/>
      <c r="GQV29"/>
      <c r="GQW29"/>
      <c r="GQX29"/>
      <c r="GQY29"/>
      <c r="GQZ29"/>
      <c r="GRA29"/>
      <c r="GRB29"/>
      <c r="GRC29"/>
      <c r="GRD29"/>
      <c r="GRE29"/>
      <c r="GRF29"/>
      <c r="GRG29"/>
      <c r="GRH29"/>
      <c r="GRI29"/>
      <c r="GRJ29"/>
      <c r="GRK29"/>
      <c r="GRL29"/>
      <c r="GRM29"/>
      <c r="GRN29"/>
      <c r="GRO29"/>
      <c r="GRP29"/>
      <c r="GRQ29"/>
      <c r="GRR29"/>
      <c r="GRS29"/>
      <c r="GRT29"/>
      <c r="GRU29"/>
      <c r="GRV29"/>
      <c r="GRW29"/>
      <c r="GRX29"/>
      <c r="GRY29"/>
      <c r="GRZ29"/>
      <c r="GSA29"/>
      <c r="GSB29"/>
      <c r="GSC29"/>
      <c r="GSD29"/>
      <c r="GSE29"/>
      <c r="GSF29"/>
      <c r="GSG29"/>
      <c r="GSH29"/>
      <c r="GSI29"/>
      <c r="GSJ29"/>
      <c r="GSK29"/>
      <c r="GSL29"/>
      <c r="GSM29"/>
      <c r="GSN29"/>
      <c r="GSO29"/>
      <c r="GSP29"/>
      <c r="GSQ29"/>
      <c r="GSR29"/>
      <c r="GSS29"/>
      <c r="GST29"/>
      <c r="GSU29"/>
      <c r="GSV29"/>
      <c r="GSW29"/>
      <c r="GSX29"/>
      <c r="GSY29"/>
      <c r="GSZ29"/>
      <c r="GTA29"/>
      <c r="GTB29"/>
      <c r="GTC29"/>
      <c r="GTD29"/>
      <c r="GTE29"/>
      <c r="GTF29"/>
      <c r="GTG29"/>
      <c r="GTH29"/>
      <c r="GTI29"/>
      <c r="GTJ29"/>
      <c r="GTK29"/>
      <c r="GTL29"/>
      <c r="GTM29"/>
      <c r="GTN29"/>
      <c r="GTO29"/>
      <c r="GTP29"/>
      <c r="GTQ29"/>
      <c r="GTR29"/>
      <c r="GTS29"/>
      <c r="GTT29"/>
      <c r="GTU29"/>
      <c r="GTV29"/>
      <c r="GTW29"/>
      <c r="GTX29"/>
      <c r="GTY29"/>
      <c r="GTZ29"/>
      <c r="GUA29"/>
      <c r="GUB29"/>
      <c r="GUC29"/>
      <c r="GUD29"/>
      <c r="GUE29"/>
      <c r="GUF29"/>
      <c r="GUG29"/>
      <c r="GUH29"/>
      <c r="GUI29"/>
      <c r="GUJ29"/>
      <c r="GUK29"/>
      <c r="GUL29"/>
      <c r="GUM29"/>
      <c r="GUN29"/>
      <c r="GUO29"/>
      <c r="GUP29"/>
      <c r="GUQ29"/>
      <c r="GUR29"/>
      <c r="GUS29"/>
      <c r="GUT29"/>
      <c r="GUU29"/>
      <c r="GUV29"/>
      <c r="GUW29"/>
      <c r="GUX29"/>
      <c r="GUY29"/>
      <c r="GUZ29"/>
      <c r="GVA29"/>
      <c r="GVB29"/>
      <c r="GVC29"/>
      <c r="GVD29"/>
      <c r="GVE29"/>
      <c r="GVF29"/>
      <c r="GVG29"/>
      <c r="GVH29"/>
      <c r="GVI29"/>
      <c r="GVJ29"/>
      <c r="GVK29"/>
      <c r="GVL29"/>
      <c r="GVM29"/>
      <c r="GVN29"/>
      <c r="GVO29"/>
      <c r="GVP29"/>
      <c r="GVQ29"/>
      <c r="GVR29"/>
      <c r="GVS29"/>
      <c r="GVT29"/>
      <c r="GVU29"/>
      <c r="GVV29"/>
      <c r="GVW29"/>
      <c r="GVX29"/>
      <c r="GVY29"/>
      <c r="GVZ29"/>
      <c r="GWA29"/>
      <c r="GWB29"/>
      <c r="GWC29"/>
      <c r="GWD29"/>
      <c r="GWE29"/>
      <c r="GWF29"/>
      <c r="GWG29"/>
      <c r="GWH29"/>
      <c r="GWI29"/>
      <c r="GWJ29"/>
      <c r="GWK29"/>
      <c r="GWL29"/>
      <c r="GWM29"/>
      <c r="GWN29"/>
      <c r="GWO29"/>
      <c r="GWP29"/>
      <c r="GWQ29"/>
      <c r="GWR29"/>
      <c r="GWS29"/>
      <c r="GWT29"/>
      <c r="GWU29"/>
      <c r="GWV29"/>
      <c r="GWW29"/>
      <c r="GWX29"/>
      <c r="GWY29"/>
      <c r="GWZ29"/>
      <c r="GXA29"/>
      <c r="GXB29"/>
      <c r="GXC29"/>
      <c r="GXD29"/>
      <c r="GXE29"/>
      <c r="GXF29"/>
      <c r="GXG29"/>
      <c r="GXH29"/>
      <c r="GXI29"/>
      <c r="GXJ29"/>
      <c r="GXK29"/>
      <c r="GXL29"/>
      <c r="GXM29"/>
      <c r="GXN29"/>
      <c r="GXO29"/>
      <c r="GXP29"/>
      <c r="GXQ29"/>
      <c r="GXR29"/>
      <c r="GXS29"/>
      <c r="GXT29"/>
      <c r="GXU29"/>
      <c r="GXV29"/>
      <c r="GXW29"/>
      <c r="GXX29"/>
      <c r="GXY29"/>
      <c r="GXZ29"/>
      <c r="GYA29"/>
      <c r="GYB29"/>
      <c r="GYC29"/>
      <c r="GYD29"/>
      <c r="GYE29"/>
      <c r="GYF29"/>
      <c r="GYG29"/>
      <c r="GYH29"/>
      <c r="GYI29"/>
      <c r="GYJ29"/>
      <c r="GYK29"/>
      <c r="GYL29"/>
      <c r="GYM29"/>
      <c r="GYN29"/>
      <c r="GYO29"/>
      <c r="GYP29"/>
      <c r="GYQ29"/>
      <c r="GYR29"/>
      <c r="GYS29"/>
      <c r="GYT29"/>
      <c r="GYU29"/>
      <c r="GYV29"/>
      <c r="GYW29"/>
      <c r="GYX29"/>
      <c r="GYY29"/>
      <c r="GYZ29"/>
      <c r="GZA29"/>
      <c r="GZB29"/>
      <c r="GZC29"/>
      <c r="GZD29"/>
      <c r="GZE29"/>
      <c r="GZF29"/>
      <c r="GZG29"/>
      <c r="GZH29"/>
      <c r="GZI29"/>
      <c r="GZJ29"/>
      <c r="GZK29"/>
      <c r="GZL29"/>
      <c r="GZM29"/>
      <c r="GZN29"/>
      <c r="GZO29"/>
      <c r="GZP29"/>
      <c r="GZQ29"/>
      <c r="GZR29"/>
      <c r="GZS29"/>
      <c r="GZT29"/>
      <c r="GZU29"/>
      <c r="GZV29"/>
      <c r="GZW29"/>
      <c r="GZX29"/>
      <c r="GZY29"/>
      <c r="GZZ29"/>
      <c r="HAA29"/>
      <c r="HAB29"/>
      <c r="HAC29"/>
      <c r="HAD29"/>
      <c r="HAE29"/>
      <c r="HAF29"/>
      <c r="HAG29"/>
      <c r="HAH29"/>
      <c r="HAI29"/>
      <c r="HAJ29"/>
      <c r="HAK29"/>
      <c r="HAL29"/>
      <c r="HAM29"/>
      <c r="HAN29"/>
      <c r="HAO29"/>
      <c r="HAP29"/>
      <c r="HAQ29"/>
      <c r="HAR29"/>
      <c r="HAS29"/>
      <c r="HAT29"/>
      <c r="HAU29"/>
      <c r="HAV29"/>
      <c r="HAW29"/>
      <c r="HAX29"/>
      <c r="HAY29"/>
      <c r="HAZ29"/>
      <c r="HBA29"/>
      <c r="HBB29"/>
      <c r="HBC29"/>
      <c r="HBD29"/>
      <c r="HBE29"/>
      <c r="HBF29"/>
      <c r="HBG29"/>
      <c r="HBH29"/>
      <c r="HBI29"/>
      <c r="HBJ29"/>
      <c r="HBK29"/>
      <c r="HBL29"/>
      <c r="HBM29"/>
      <c r="HBN29"/>
      <c r="HBO29"/>
      <c r="HBP29"/>
      <c r="HBQ29"/>
      <c r="HBR29"/>
      <c r="HBS29"/>
      <c r="HBT29"/>
      <c r="HBU29"/>
      <c r="HBV29"/>
      <c r="HBW29"/>
      <c r="HBX29"/>
      <c r="HBY29"/>
      <c r="HBZ29"/>
      <c r="HCA29"/>
      <c r="HCB29"/>
      <c r="HCC29"/>
      <c r="HCD29"/>
      <c r="HCE29"/>
      <c r="HCF29"/>
      <c r="HCG29"/>
      <c r="HCH29"/>
      <c r="HCI29"/>
      <c r="HCJ29"/>
      <c r="HCK29"/>
      <c r="HCL29"/>
      <c r="HCM29"/>
      <c r="HCN29"/>
      <c r="HCO29"/>
      <c r="HCP29"/>
      <c r="HCQ29"/>
      <c r="HCR29"/>
      <c r="HCS29"/>
      <c r="HCT29"/>
      <c r="HCU29"/>
      <c r="HCV29"/>
      <c r="HCW29"/>
      <c r="HCX29"/>
      <c r="HCY29"/>
      <c r="HCZ29"/>
      <c r="HDA29"/>
      <c r="HDB29"/>
      <c r="HDC29"/>
      <c r="HDD29"/>
      <c r="HDE29"/>
      <c r="HDF29"/>
      <c r="HDG29"/>
      <c r="HDH29"/>
      <c r="HDI29"/>
      <c r="HDJ29"/>
      <c r="HDK29"/>
      <c r="HDL29"/>
      <c r="HDM29"/>
      <c r="HDN29"/>
      <c r="HDO29"/>
      <c r="HDP29"/>
      <c r="HDQ29"/>
      <c r="HDR29"/>
      <c r="HDS29"/>
      <c r="HDT29"/>
      <c r="HDU29"/>
      <c r="HDV29"/>
      <c r="HDW29"/>
      <c r="HDX29"/>
      <c r="HDY29"/>
      <c r="HDZ29"/>
      <c r="HEA29"/>
      <c r="HEB29"/>
      <c r="HEC29"/>
      <c r="HED29"/>
      <c r="HEE29"/>
      <c r="HEF29"/>
      <c r="HEG29"/>
      <c r="HEH29"/>
      <c r="HEI29"/>
      <c r="HEJ29"/>
      <c r="HEK29"/>
      <c r="HEL29"/>
      <c r="HEM29"/>
      <c r="HEN29"/>
      <c r="HEO29"/>
      <c r="HEP29"/>
      <c r="HEQ29"/>
      <c r="HER29"/>
      <c r="HES29"/>
      <c r="HET29"/>
      <c r="HEU29"/>
      <c r="HEV29"/>
      <c r="HEW29"/>
      <c r="HEX29"/>
      <c r="HEY29"/>
      <c r="HEZ29"/>
      <c r="HFA29"/>
      <c r="HFB29"/>
      <c r="HFC29"/>
      <c r="HFD29"/>
      <c r="HFE29"/>
      <c r="HFF29"/>
      <c r="HFG29"/>
      <c r="HFH29"/>
      <c r="HFI29"/>
      <c r="HFJ29"/>
      <c r="HFK29"/>
      <c r="HFL29"/>
      <c r="HFM29"/>
      <c r="HFN29"/>
      <c r="HFO29"/>
      <c r="HFP29"/>
      <c r="HFQ29"/>
      <c r="HFR29"/>
      <c r="HFS29"/>
      <c r="HFT29"/>
      <c r="HFU29"/>
      <c r="HFV29"/>
      <c r="HFW29"/>
      <c r="HFX29"/>
      <c r="HFY29"/>
      <c r="HFZ29"/>
      <c r="HGA29"/>
      <c r="HGB29"/>
      <c r="HGC29"/>
      <c r="HGD29"/>
      <c r="HGE29"/>
      <c r="HGF29"/>
      <c r="HGG29"/>
      <c r="HGH29"/>
      <c r="HGI29"/>
      <c r="HGJ29"/>
      <c r="HGK29"/>
      <c r="HGL29"/>
      <c r="HGM29"/>
      <c r="HGN29"/>
      <c r="HGO29"/>
      <c r="HGP29"/>
      <c r="HGQ29"/>
      <c r="HGR29"/>
      <c r="HGS29"/>
      <c r="HGT29"/>
      <c r="HGU29"/>
      <c r="HGV29"/>
      <c r="HGW29"/>
      <c r="HGX29"/>
      <c r="HGY29"/>
      <c r="HGZ29"/>
      <c r="HHA29"/>
      <c r="HHB29"/>
      <c r="HHC29"/>
      <c r="HHD29"/>
      <c r="HHE29"/>
      <c r="HHF29"/>
      <c r="HHG29"/>
      <c r="HHH29"/>
      <c r="HHI29"/>
      <c r="HHJ29"/>
      <c r="HHK29"/>
      <c r="HHL29"/>
      <c r="HHM29"/>
      <c r="HHN29"/>
      <c r="HHO29"/>
      <c r="HHP29"/>
      <c r="HHQ29"/>
      <c r="HHR29"/>
      <c r="HHS29"/>
      <c r="HHT29"/>
      <c r="HHU29"/>
      <c r="HHV29"/>
      <c r="HHW29"/>
      <c r="HHX29"/>
      <c r="HHY29"/>
      <c r="HHZ29"/>
      <c r="HIA29"/>
      <c r="HIB29"/>
      <c r="HIC29"/>
      <c r="HID29"/>
      <c r="HIE29"/>
      <c r="HIF29"/>
      <c r="HIG29"/>
      <c r="HIH29"/>
      <c r="HII29"/>
      <c r="HIJ29"/>
      <c r="HIK29"/>
      <c r="HIL29"/>
      <c r="HIM29"/>
      <c r="HIN29"/>
      <c r="HIO29"/>
      <c r="HIP29"/>
      <c r="HIQ29"/>
      <c r="HIR29"/>
      <c r="HIS29"/>
      <c r="HIT29"/>
      <c r="HIU29"/>
      <c r="HIV29"/>
      <c r="HIW29"/>
      <c r="HIX29"/>
      <c r="HIY29"/>
      <c r="HIZ29"/>
      <c r="HJA29"/>
      <c r="HJB29"/>
      <c r="HJC29"/>
      <c r="HJD29"/>
      <c r="HJE29"/>
      <c r="HJF29"/>
      <c r="HJG29"/>
      <c r="HJH29"/>
      <c r="HJI29"/>
      <c r="HJJ29"/>
      <c r="HJK29"/>
      <c r="HJL29"/>
      <c r="HJM29"/>
      <c r="HJN29"/>
      <c r="HJO29"/>
      <c r="HJP29"/>
      <c r="HJQ29"/>
      <c r="HJR29"/>
      <c r="HJS29"/>
      <c r="HJT29"/>
      <c r="HJU29"/>
      <c r="HJV29"/>
      <c r="HJW29"/>
      <c r="HJX29"/>
      <c r="HJY29"/>
      <c r="HJZ29"/>
      <c r="HKA29"/>
      <c r="HKB29"/>
      <c r="HKC29"/>
      <c r="HKD29"/>
      <c r="HKE29"/>
      <c r="HKF29"/>
      <c r="HKG29"/>
      <c r="HKH29"/>
      <c r="HKI29"/>
      <c r="HKJ29"/>
      <c r="HKK29"/>
      <c r="HKL29"/>
      <c r="HKM29"/>
      <c r="HKN29"/>
      <c r="HKO29"/>
      <c r="HKP29"/>
      <c r="HKQ29"/>
      <c r="HKR29"/>
      <c r="HKS29"/>
      <c r="HKT29"/>
      <c r="HKU29"/>
      <c r="HKV29"/>
      <c r="HKW29"/>
      <c r="HKX29"/>
      <c r="HKY29"/>
      <c r="HKZ29"/>
      <c r="HLA29"/>
      <c r="HLB29"/>
      <c r="HLC29"/>
      <c r="HLD29"/>
      <c r="HLE29"/>
      <c r="HLF29"/>
      <c r="HLG29"/>
      <c r="HLH29"/>
      <c r="HLI29"/>
      <c r="HLJ29"/>
      <c r="HLK29"/>
      <c r="HLL29"/>
      <c r="HLM29"/>
      <c r="HLN29"/>
      <c r="HLO29"/>
      <c r="HLP29"/>
      <c r="HLQ29"/>
      <c r="HLR29"/>
      <c r="HLS29"/>
      <c r="HLT29"/>
      <c r="HLU29"/>
      <c r="HLV29"/>
      <c r="HLW29"/>
      <c r="HLX29"/>
      <c r="HLY29"/>
      <c r="HLZ29"/>
      <c r="HMA29"/>
      <c r="HMB29"/>
      <c r="HMC29"/>
      <c r="HMD29"/>
      <c r="HME29"/>
      <c r="HMF29"/>
      <c r="HMG29"/>
      <c r="HMH29"/>
      <c r="HMI29"/>
      <c r="HMJ29"/>
      <c r="HMK29"/>
      <c r="HML29"/>
      <c r="HMM29"/>
      <c r="HMN29"/>
      <c r="HMO29"/>
      <c r="HMP29"/>
      <c r="HMQ29"/>
      <c r="HMR29"/>
      <c r="HMS29"/>
      <c r="HMT29"/>
      <c r="HMU29"/>
      <c r="HMV29"/>
      <c r="HMW29"/>
      <c r="HMX29"/>
      <c r="HMY29"/>
      <c r="HMZ29"/>
      <c r="HNA29"/>
      <c r="HNB29"/>
      <c r="HNC29"/>
      <c r="HND29"/>
      <c r="HNE29"/>
      <c r="HNF29"/>
      <c r="HNG29"/>
      <c r="HNH29"/>
      <c r="HNI29"/>
      <c r="HNJ29"/>
      <c r="HNK29"/>
      <c r="HNL29"/>
      <c r="HNM29"/>
      <c r="HNN29"/>
      <c r="HNO29"/>
      <c r="HNP29"/>
      <c r="HNQ29"/>
      <c r="HNR29"/>
      <c r="HNS29"/>
      <c r="HNT29"/>
      <c r="HNU29"/>
      <c r="HNV29"/>
      <c r="HNW29"/>
      <c r="HNX29"/>
      <c r="HNY29"/>
      <c r="HNZ29"/>
      <c r="HOA29"/>
      <c r="HOB29"/>
      <c r="HOC29"/>
      <c r="HOD29"/>
      <c r="HOE29"/>
      <c r="HOF29"/>
      <c r="HOG29"/>
      <c r="HOH29"/>
      <c r="HOI29"/>
      <c r="HOJ29"/>
      <c r="HOK29"/>
      <c r="HOL29"/>
      <c r="HOM29"/>
      <c r="HON29"/>
      <c r="HOO29"/>
      <c r="HOP29"/>
      <c r="HOQ29"/>
      <c r="HOR29"/>
      <c r="HOS29"/>
      <c r="HOT29"/>
      <c r="HOU29"/>
      <c r="HOV29"/>
      <c r="HOW29"/>
      <c r="HOX29"/>
      <c r="HOY29"/>
      <c r="HOZ29"/>
      <c r="HPA29"/>
      <c r="HPB29"/>
      <c r="HPC29"/>
      <c r="HPD29"/>
      <c r="HPE29"/>
      <c r="HPF29"/>
      <c r="HPG29"/>
      <c r="HPH29"/>
      <c r="HPI29"/>
      <c r="HPJ29"/>
      <c r="HPK29"/>
      <c r="HPL29"/>
      <c r="HPM29"/>
      <c r="HPN29"/>
      <c r="HPO29"/>
      <c r="HPP29"/>
      <c r="HPQ29"/>
      <c r="HPR29"/>
      <c r="HPS29"/>
      <c r="HPT29"/>
      <c r="HPU29"/>
      <c r="HPV29"/>
      <c r="HPW29"/>
      <c r="HPX29"/>
      <c r="HPY29"/>
      <c r="HPZ29"/>
      <c r="HQA29"/>
      <c r="HQB29"/>
      <c r="HQC29"/>
      <c r="HQD29"/>
      <c r="HQE29"/>
      <c r="HQF29"/>
      <c r="HQG29"/>
      <c r="HQH29"/>
      <c r="HQI29"/>
      <c r="HQJ29"/>
      <c r="HQK29"/>
      <c r="HQL29"/>
      <c r="HQM29"/>
      <c r="HQN29"/>
      <c r="HQO29"/>
      <c r="HQP29"/>
      <c r="HQQ29"/>
      <c r="HQR29"/>
      <c r="HQS29"/>
      <c r="HQT29"/>
      <c r="HQU29"/>
      <c r="HQV29"/>
      <c r="HQW29"/>
      <c r="HQX29"/>
      <c r="HQY29"/>
      <c r="HQZ29"/>
      <c r="HRA29"/>
      <c r="HRB29"/>
      <c r="HRC29"/>
      <c r="HRD29"/>
      <c r="HRE29"/>
      <c r="HRF29"/>
      <c r="HRG29"/>
      <c r="HRH29"/>
      <c r="HRI29"/>
      <c r="HRJ29"/>
      <c r="HRK29"/>
      <c r="HRL29"/>
      <c r="HRM29"/>
      <c r="HRN29"/>
      <c r="HRO29"/>
      <c r="HRP29"/>
      <c r="HRQ29"/>
      <c r="HRR29"/>
      <c r="HRS29"/>
      <c r="HRT29"/>
      <c r="HRU29"/>
      <c r="HRV29"/>
      <c r="HRW29"/>
      <c r="HRX29"/>
      <c r="HRY29"/>
      <c r="HRZ29"/>
      <c r="HSA29"/>
      <c r="HSB29"/>
      <c r="HSC29"/>
      <c r="HSD29"/>
      <c r="HSE29"/>
      <c r="HSF29"/>
      <c r="HSG29"/>
      <c r="HSH29"/>
      <c r="HSI29"/>
      <c r="HSJ29"/>
      <c r="HSK29"/>
      <c r="HSL29"/>
      <c r="HSM29"/>
      <c r="HSN29"/>
      <c r="HSO29"/>
      <c r="HSP29"/>
      <c r="HSQ29"/>
      <c r="HSR29"/>
      <c r="HSS29"/>
      <c r="HST29"/>
      <c r="HSU29"/>
      <c r="HSV29"/>
      <c r="HSW29"/>
      <c r="HSX29"/>
      <c r="HSY29"/>
      <c r="HSZ29"/>
      <c r="HTA29"/>
      <c r="HTB29"/>
      <c r="HTC29"/>
      <c r="HTD29"/>
      <c r="HTE29"/>
      <c r="HTF29"/>
      <c r="HTG29"/>
      <c r="HTH29"/>
      <c r="HTI29"/>
      <c r="HTJ29"/>
      <c r="HTK29"/>
      <c r="HTL29"/>
      <c r="HTM29"/>
      <c r="HTN29"/>
      <c r="HTO29"/>
      <c r="HTP29"/>
      <c r="HTQ29"/>
      <c r="HTR29"/>
      <c r="HTS29"/>
      <c r="HTT29"/>
      <c r="HTU29"/>
      <c r="HTV29"/>
      <c r="HTW29"/>
      <c r="HTX29"/>
      <c r="HTY29"/>
      <c r="HTZ29"/>
      <c r="HUA29"/>
      <c r="HUB29"/>
      <c r="HUC29"/>
      <c r="HUD29"/>
      <c r="HUE29"/>
      <c r="HUF29"/>
      <c r="HUG29"/>
      <c r="HUH29"/>
      <c r="HUI29"/>
      <c r="HUJ29"/>
      <c r="HUK29"/>
      <c r="HUL29"/>
      <c r="HUM29"/>
      <c r="HUN29"/>
      <c r="HUO29"/>
      <c r="HUP29"/>
      <c r="HUQ29"/>
      <c r="HUR29"/>
      <c r="HUS29"/>
      <c r="HUT29"/>
      <c r="HUU29"/>
      <c r="HUV29"/>
      <c r="HUW29"/>
      <c r="HUX29"/>
      <c r="HUY29"/>
      <c r="HUZ29"/>
      <c r="HVA29"/>
      <c r="HVB29"/>
      <c r="HVC29"/>
      <c r="HVD29"/>
      <c r="HVE29"/>
      <c r="HVF29"/>
      <c r="HVG29"/>
      <c r="HVH29"/>
      <c r="HVI29"/>
      <c r="HVJ29"/>
      <c r="HVK29"/>
      <c r="HVL29"/>
      <c r="HVM29"/>
      <c r="HVN29"/>
      <c r="HVO29"/>
      <c r="HVP29"/>
      <c r="HVQ29"/>
      <c r="HVR29"/>
      <c r="HVS29"/>
      <c r="HVT29"/>
      <c r="HVU29"/>
      <c r="HVV29"/>
      <c r="HVW29"/>
      <c r="HVX29"/>
      <c r="HVY29"/>
      <c r="HVZ29"/>
      <c r="HWA29"/>
      <c r="HWB29"/>
      <c r="HWC29"/>
      <c r="HWD29"/>
      <c r="HWE29"/>
      <c r="HWF29"/>
      <c r="HWG29"/>
      <c r="HWH29"/>
      <c r="HWI29"/>
      <c r="HWJ29"/>
      <c r="HWK29"/>
      <c r="HWL29"/>
      <c r="HWM29"/>
      <c r="HWN29"/>
      <c r="HWO29"/>
      <c r="HWP29"/>
      <c r="HWQ29"/>
      <c r="HWR29"/>
      <c r="HWS29"/>
      <c r="HWT29"/>
      <c r="HWU29"/>
      <c r="HWV29"/>
      <c r="HWW29"/>
      <c r="HWX29"/>
      <c r="HWY29"/>
      <c r="HWZ29"/>
      <c r="HXA29"/>
      <c r="HXB29"/>
      <c r="HXC29"/>
      <c r="HXD29"/>
      <c r="HXE29"/>
      <c r="HXF29"/>
      <c r="HXG29"/>
      <c r="HXH29"/>
      <c r="HXI29"/>
      <c r="HXJ29"/>
      <c r="HXK29"/>
      <c r="HXL29"/>
      <c r="HXM29"/>
      <c r="HXN29"/>
      <c r="HXO29"/>
      <c r="HXP29"/>
      <c r="HXQ29"/>
      <c r="HXR29"/>
      <c r="HXS29"/>
      <c r="HXT29"/>
      <c r="HXU29"/>
      <c r="HXV29"/>
      <c r="HXW29"/>
      <c r="HXX29"/>
      <c r="HXY29"/>
      <c r="HXZ29"/>
      <c r="HYA29"/>
      <c r="HYB29"/>
      <c r="HYC29"/>
      <c r="HYD29"/>
      <c r="HYE29"/>
      <c r="HYF29"/>
      <c r="HYG29"/>
      <c r="HYH29"/>
      <c r="HYI29"/>
      <c r="HYJ29"/>
      <c r="HYK29"/>
      <c r="HYL29"/>
      <c r="HYM29"/>
      <c r="HYN29"/>
      <c r="HYO29"/>
      <c r="HYP29"/>
      <c r="HYQ29"/>
      <c r="HYR29"/>
      <c r="HYS29"/>
      <c r="HYT29"/>
      <c r="HYU29"/>
      <c r="HYV29"/>
      <c r="HYW29"/>
      <c r="HYX29"/>
      <c r="HYY29"/>
      <c r="HYZ29"/>
      <c r="HZA29"/>
      <c r="HZB29"/>
      <c r="HZC29"/>
      <c r="HZD29"/>
      <c r="HZE29"/>
      <c r="HZF29"/>
      <c r="HZG29"/>
      <c r="HZH29"/>
      <c r="HZI29"/>
      <c r="HZJ29"/>
      <c r="HZK29"/>
      <c r="HZL29"/>
      <c r="HZM29"/>
      <c r="HZN29"/>
      <c r="HZO29"/>
      <c r="HZP29"/>
      <c r="HZQ29"/>
      <c r="HZR29"/>
      <c r="HZS29"/>
      <c r="HZT29"/>
      <c r="HZU29"/>
      <c r="HZV29"/>
      <c r="HZW29"/>
      <c r="HZX29"/>
      <c r="HZY29"/>
      <c r="HZZ29"/>
      <c r="IAA29"/>
      <c r="IAB29"/>
      <c r="IAC29"/>
      <c r="IAD29"/>
      <c r="IAE29"/>
      <c r="IAF29"/>
      <c r="IAG29"/>
      <c r="IAH29"/>
      <c r="IAI29"/>
      <c r="IAJ29"/>
      <c r="IAK29"/>
      <c r="IAL29"/>
      <c r="IAM29"/>
      <c r="IAN29"/>
      <c r="IAO29"/>
      <c r="IAP29"/>
      <c r="IAQ29"/>
      <c r="IAR29"/>
      <c r="IAS29"/>
      <c r="IAT29"/>
      <c r="IAU29"/>
      <c r="IAV29"/>
      <c r="IAW29"/>
      <c r="IAX29"/>
      <c r="IAY29"/>
      <c r="IAZ29"/>
      <c r="IBA29"/>
      <c r="IBB29"/>
      <c r="IBC29"/>
      <c r="IBD29"/>
      <c r="IBE29"/>
      <c r="IBF29"/>
      <c r="IBG29"/>
      <c r="IBH29"/>
      <c r="IBI29"/>
      <c r="IBJ29"/>
      <c r="IBK29"/>
      <c r="IBL29"/>
      <c r="IBM29"/>
      <c r="IBN29"/>
      <c r="IBO29"/>
      <c r="IBP29"/>
      <c r="IBQ29"/>
      <c r="IBR29"/>
      <c r="IBS29"/>
      <c r="IBT29"/>
      <c r="IBU29"/>
      <c r="IBV29"/>
      <c r="IBW29"/>
      <c r="IBX29"/>
      <c r="IBY29"/>
      <c r="IBZ29"/>
      <c r="ICA29"/>
      <c r="ICB29"/>
      <c r="ICC29"/>
      <c r="ICD29"/>
      <c r="ICE29"/>
      <c r="ICF29"/>
      <c r="ICG29"/>
      <c r="ICH29"/>
      <c r="ICI29"/>
      <c r="ICJ29"/>
      <c r="ICK29"/>
      <c r="ICL29"/>
      <c r="ICM29"/>
      <c r="ICN29"/>
      <c r="ICO29"/>
      <c r="ICP29"/>
      <c r="ICQ29"/>
      <c r="ICR29"/>
      <c r="ICS29"/>
      <c r="ICT29"/>
      <c r="ICU29"/>
      <c r="ICV29"/>
      <c r="ICW29"/>
      <c r="ICX29"/>
      <c r="ICY29"/>
      <c r="ICZ29"/>
      <c r="IDA29"/>
      <c r="IDB29"/>
      <c r="IDC29"/>
      <c r="IDD29"/>
      <c r="IDE29"/>
      <c r="IDF29"/>
      <c r="IDG29"/>
      <c r="IDH29"/>
      <c r="IDI29"/>
      <c r="IDJ29"/>
      <c r="IDK29"/>
      <c r="IDL29"/>
      <c r="IDM29"/>
      <c r="IDN29"/>
      <c r="IDO29"/>
      <c r="IDP29"/>
      <c r="IDQ29"/>
      <c r="IDR29"/>
      <c r="IDS29"/>
      <c r="IDT29"/>
      <c r="IDU29"/>
      <c r="IDV29"/>
      <c r="IDW29"/>
      <c r="IDX29"/>
      <c r="IDY29"/>
      <c r="IDZ29"/>
      <c r="IEA29"/>
      <c r="IEB29"/>
      <c r="IEC29"/>
      <c r="IED29"/>
      <c r="IEE29"/>
      <c r="IEF29"/>
      <c r="IEG29"/>
      <c r="IEH29"/>
      <c r="IEI29"/>
      <c r="IEJ29"/>
      <c r="IEK29"/>
      <c r="IEL29"/>
      <c r="IEM29"/>
      <c r="IEN29"/>
      <c r="IEO29"/>
      <c r="IEP29"/>
      <c r="IEQ29"/>
      <c r="IER29"/>
      <c r="IES29"/>
      <c r="IET29"/>
      <c r="IEU29"/>
      <c r="IEV29"/>
      <c r="IEW29"/>
      <c r="IEX29"/>
      <c r="IEY29"/>
      <c r="IEZ29"/>
      <c r="IFA29"/>
      <c r="IFB29"/>
      <c r="IFC29"/>
      <c r="IFD29"/>
      <c r="IFE29"/>
      <c r="IFF29"/>
      <c r="IFG29"/>
      <c r="IFH29"/>
      <c r="IFI29"/>
      <c r="IFJ29"/>
      <c r="IFK29"/>
      <c r="IFL29"/>
      <c r="IFM29"/>
      <c r="IFN29"/>
      <c r="IFO29"/>
      <c r="IFP29"/>
      <c r="IFQ29"/>
      <c r="IFR29"/>
      <c r="IFS29"/>
      <c r="IFT29"/>
      <c r="IFU29"/>
      <c r="IFV29"/>
      <c r="IFW29"/>
      <c r="IFX29"/>
      <c r="IFY29"/>
      <c r="IFZ29"/>
      <c r="IGA29"/>
      <c r="IGB29"/>
      <c r="IGC29"/>
      <c r="IGD29"/>
      <c r="IGE29"/>
      <c r="IGF29"/>
      <c r="IGG29"/>
      <c r="IGH29"/>
      <c r="IGI29"/>
      <c r="IGJ29"/>
      <c r="IGK29"/>
      <c r="IGL29"/>
      <c r="IGM29"/>
      <c r="IGN29"/>
      <c r="IGO29"/>
      <c r="IGP29"/>
      <c r="IGQ29"/>
      <c r="IGR29"/>
      <c r="IGS29"/>
      <c r="IGT29"/>
      <c r="IGU29"/>
      <c r="IGV29"/>
      <c r="IGW29"/>
      <c r="IGX29"/>
      <c r="IGY29"/>
      <c r="IGZ29"/>
      <c r="IHA29"/>
      <c r="IHB29"/>
      <c r="IHC29"/>
      <c r="IHD29"/>
      <c r="IHE29"/>
      <c r="IHF29"/>
      <c r="IHG29"/>
      <c r="IHH29"/>
      <c r="IHI29"/>
      <c r="IHJ29"/>
      <c r="IHK29"/>
      <c r="IHL29"/>
      <c r="IHM29"/>
      <c r="IHN29"/>
      <c r="IHO29"/>
      <c r="IHP29"/>
      <c r="IHQ29"/>
      <c r="IHR29"/>
      <c r="IHS29"/>
      <c r="IHT29"/>
      <c r="IHU29"/>
      <c r="IHV29"/>
      <c r="IHW29"/>
      <c r="IHX29"/>
      <c r="IHY29"/>
      <c r="IHZ29"/>
      <c r="IIA29"/>
      <c r="IIB29"/>
      <c r="IIC29"/>
      <c r="IID29"/>
      <c r="IIE29"/>
      <c r="IIF29"/>
      <c r="IIG29"/>
      <c r="IIH29"/>
      <c r="III29"/>
      <c r="IIJ29"/>
      <c r="IIK29"/>
      <c r="IIL29"/>
      <c r="IIM29"/>
      <c r="IIN29"/>
      <c r="IIO29"/>
      <c r="IIP29"/>
      <c r="IIQ29"/>
      <c r="IIR29"/>
      <c r="IIS29"/>
      <c r="IIT29"/>
      <c r="IIU29"/>
      <c r="IIV29"/>
      <c r="IIW29"/>
      <c r="IIX29"/>
      <c r="IIY29"/>
      <c r="IIZ29"/>
      <c r="IJA29"/>
      <c r="IJB29"/>
      <c r="IJC29"/>
      <c r="IJD29"/>
      <c r="IJE29"/>
      <c r="IJF29"/>
      <c r="IJG29"/>
      <c r="IJH29"/>
      <c r="IJI29"/>
      <c r="IJJ29"/>
      <c r="IJK29"/>
      <c r="IJL29"/>
      <c r="IJM29"/>
      <c r="IJN29"/>
      <c r="IJO29"/>
      <c r="IJP29"/>
      <c r="IJQ29"/>
      <c r="IJR29"/>
      <c r="IJS29"/>
      <c r="IJT29"/>
      <c r="IJU29"/>
      <c r="IJV29"/>
      <c r="IJW29"/>
      <c r="IJX29"/>
      <c r="IJY29"/>
      <c r="IJZ29"/>
      <c r="IKA29"/>
      <c r="IKB29"/>
      <c r="IKC29"/>
      <c r="IKD29"/>
      <c r="IKE29"/>
      <c r="IKF29"/>
      <c r="IKG29"/>
      <c r="IKH29"/>
      <c r="IKI29"/>
      <c r="IKJ29"/>
      <c r="IKK29"/>
      <c r="IKL29"/>
      <c r="IKM29"/>
      <c r="IKN29"/>
      <c r="IKO29"/>
      <c r="IKP29"/>
      <c r="IKQ29"/>
      <c r="IKR29"/>
      <c r="IKS29"/>
      <c r="IKT29"/>
      <c r="IKU29"/>
      <c r="IKV29"/>
      <c r="IKW29"/>
      <c r="IKX29"/>
      <c r="IKY29"/>
      <c r="IKZ29"/>
      <c r="ILA29"/>
      <c r="ILB29"/>
      <c r="ILC29"/>
      <c r="ILD29"/>
      <c r="ILE29"/>
      <c r="ILF29"/>
      <c r="ILG29"/>
      <c r="ILH29"/>
      <c r="ILI29"/>
      <c r="ILJ29"/>
      <c r="ILK29"/>
      <c r="ILL29"/>
      <c r="ILM29"/>
      <c r="ILN29"/>
      <c r="ILO29"/>
      <c r="ILP29"/>
      <c r="ILQ29"/>
      <c r="ILR29"/>
      <c r="ILS29"/>
      <c r="ILT29"/>
      <c r="ILU29"/>
      <c r="ILV29"/>
      <c r="ILW29"/>
      <c r="ILX29"/>
      <c r="ILY29"/>
      <c r="ILZ29"/>
      <c r="IMA29"/>
      <c r="IMB29"/>
      <c r="IMC29"/>
      <c r="IMD29"/>
      <c r="IME29"/>
      <c r="IMF29"/>
      <c r="IMG29"/>
      <c r="IMH29"/>
      <c r="IMI29"/>
      <c r="IMJ29"/>
      <c r="IMK29"/>
      <c r="IML29"/>
      <c r="IMM29"/>
      <c r="IMN29"/>
      <c r="IMO29"/>
      <c r="IMP29"/>
      <c r="IMQ29"/>
      <c r="IMR29"/>
      <c r="IMS29"/>
      <c r="IMT29"/>
      <c r="IMU29"/>
      <c r="IMV29"/>
      <c r="IMW29"/>
      <c r="IMX29"/>
      <c r="IMY29"/>
      <c r="IMZ29"/>
      <c r="INA29"/>
      <c r="INB29"/>
      <c r="INC29"/>
      <c r="IND29"/>
      <c r="INE29"/>
      <c r="INF29"/>
      <c r="ING29"/>
      <c r="INH29"/>
      <c r="INI29"/>
      <c r="INJ29"/>
      <c r="INK29"/>
      <c r="INL29"/>
      <c r="INM29"/>
      <c r="INN29"/>
      <c r="INO29"/>
      <c r="INP29"/>
      <c r="INQ29"/>
      <c r="INR29"/>
      <c r="INS29"/>
      <c r="INT29"/>
      <c r="INU29"/>
      <c r="INV29"/>
      <c r="INW29"/>
      <c r="INX29"/>
      <c r="INY29"/>
      <c r="INZ29"/>
      <c r="IOA29"/>
      <c r="IOB29"/>
      <c r="IOC29"/>
      <c r="IOD29"/>
      <c r="IOE29"/>
      <c r="IOF29"/>
      <c r="IOG29"/>
      <c r="IOH29"/>
      <c r="IOI29"/>
      <c r="IOJ29"/>
      <c r="IOK29"/>
      <c r="IOL29"/>
      <c r="IOM29"/>
      <c r="ION29"/>
      <c r="IOO29"/>
      <c r="IOP29"/>
      <c r="IOQ29"/>
      <c r="IOR29"/>
      <c r="IOS29"/>
      <c r="IOT29"/>
      <c r="IOU29"/>
      <c r="IOV29"/>
      <c r="IOW29"/>
      <c r="IOX29"/>
      <c r="IOY29"/>
      <c r="IOZ29"/>
      <c r="IPA29"/>
      <c r="IPB29"/>
      <c r="IPC29"/>
      <c r="IPD29"/>
      <c r="IPE29"/>
      <c r="IPF29"/>
      <c r="IPG29"/>
      <c r="IPH29"/>
      <c r="IPI29"/>
      <c r="IPJ29"/>
      <c r="IPK29"/>
      <c r="IPL29"/>
      <c r="IPM29"/>
      <c r="IPN29"/>
      <c r="IPO29"/>
      <c r="IPP29"/>
      <c r="IPQ29"/>
      <c r="IPR29"/>
      <c r="IPS29"/>
      <c r="IPT29"/>
      <c r="IPU29"/>
      <c r="IPV29"/>
      <c r="IPW29"/>
      <c r="IPX29"/>
      <c r="IPY29"/>
      <c r="IPZ29"/>
      <c r="IQA29"/>
      <c r="IQB29"/>
      <c r="IQC29"/>
      <c r="IQD29"/>
      <c r="IQE29"/>
      <c r="IQF29"/>
      <c r="IQG29"/>
      <c r="IQH29"/>
      <c r="IQI29"/>
      <c r="IQJ29"/>
      <c r="IQK29"/>
      <c r="IQL29"/>
      <c r="IQM29"/>
      <c r="IQN29"/>
      <c r="IQO29"/>
      <c r="IQP29"/>
      <c r="IQQ29"/>
      <c r="IQR29"/>
      <c r="IQS29"/>
      <c r="IQT29"/>
      <c r="IQU29"/>
      <c r="IQV29"/>
      <c r="IQW29"/>
      <c r="IQX29"/>
      <c r="IQY29"/>
      <c r="IQZ29"/>
      <c r="IRA29"/>
      <c r="IRB29"/>
      <c r="IRC29"/>
      <c r="IRD29"/>
      <c r="IRE29"/>
      <c r="IRF29"/>
      <c r="IRG29"/>
      <c r="IRH29"/>
      <c r="IRI29"/>
      <c r="IRJ29"/>
      <c r="IRK29"/>
      <c r="IRL29"/>
      <c r="IRM29"/>
      <c r="IRN29"/>
      <c r="IRO29"/>
      <c r="IRP29"/>
      <c r="IRQ29"/>
      <c r="IRR29"/>
      <c r="IRS29"/>
      <c r="IRT29"/>
      <c r="IRU29"/>
      <c r="IRV29"/>
      <c r="IRW29"/>
      <c r="IRX29"/>
      <c r="IRY29"/>
      <c r="IRZ29"/>
      <c r="ISA29"/>
      <c r="ISB29"/>
      <c r="ISC29"/>
      <c r="ISD29"/>
      <c r="ISE29"/>
      <c r="ISF29"/>
      <c r="ISG29"/>
      <c r="ISH29"/>
      <c r="ISI29"/>
      <c r="ISJ29"/>
      <c r="ISK29"/>
      <c r="ISL29"/>
      <c r="ISM29"/>
      <c r="ISN29"/>
      <c r="ISO29"/>
      <c r="ISP29"/>
      <c r="ISQ29"/>
      <c r="ISR29"/>
      <c r="ISS29"/>
      <c r="IST29"/>
      <c r="ISU29"/>
      <c r="ISV29"/>
      <c r="ISW29"/>
      <c r="ISX29"/>
      <c r="ISY29"/>
      <c r="ISZ29"/>
      <c r="ITA29"/>
      <c r="ITB29"/>
      <c r="ITC29"/>
      <c r="ITD29"/>
      <c r="ITE29"/>
      <c r="ITF29"/>
      <c r="ITG29"/>
      <c r="ITH29"/>
      <c r="ITI29"/>
      <c r="ITJ29"/>
      <c r="ITK29"/>
      <c r="ITL29"/>
      <c r="ITM29"/>
      <c r="ITN29"/>
      <c r="ITO29"/>
      <c r="ITP29"/>
      <c r="ITQ29"/>
      <c r="ITR29"/>
      <c r="ITS29"/>
      <c r="ITT29"/>
      <c r="ITU29"/>
      <c r="ITV29"/>
      <c r="ITW29"/>
      <c r="ITX29"/>
      <c r="ITY29"/>
      <c r="ITZ29"/>
      <c r="IUA29"/>
      <c r="IUB29"/>
      <c r="IUC29"/>
      <c r="IUD29"/>
      <c r="IUE29"/>
      <c r="IUF29"/>
      <c r="IUG29"/>
      <c r="IUH29"/>
      <c r="IUI29"/>
      <c r="IUJ29"/>
      <c r="IUK29"/>
      <c r="IUL29"/>
      <c r="IUM29"/>
      <c r="IUN29"/>
      <c r="IUO29"/>
      <c r="IUP29"/>
      <c r="IUQ29"/>
      <c r="IUR29"/>
      <c r="IUS29"/>
      <c r="IUT29"/>
      <c r="IUU29"/>
      <c r="IUV29"/>
      <c r="IUW29"/>
      <c r="IUX29"/>
      <c r="IUY29"/>
      <c r="IUZ29"/>
      <c r="IVA29"/>
      <c r="IVB29"/>
      <c r="IVC29"/>
      <c r="IVD29"/>
      <c r="IVE29"/>
      <c r="IVF29"/>
      <c r="IVG29"/>
      <c r="IVH29"/>
      <c r="IVI29"/>
      <c r="IVJ29"/>
      <c r="IVK29"/>
      <c r="IVL29"/>
      <c r="IVM29"/>
      <c r="IVN29"/>
      <c r="IVO29"/>
      <c r="IVP29"/>
      <c r="IVQ29"/>
      <c r="IVR29"/>
      <c r="IVS29"/>
      <c r="IVT29"/>
      <c r="IVU29"/>
      <c r="IVV29"/>
      <c r="IVW29"/>
      <c r="IVX29"/>
      <c r="IVY29"/>
      <c r="IVZ29"/>
      <c r="IWA29"/>
      <c r="IWB29"/>
      <c r="IWC29"/>
      <c r="IWD29"/>
      <c r="IWE29"/>
      <c r="IWF29"/>
      <c r="IWG29"/>
      <c r="IWH29"/>
      <c r="IWI29"/>
      <c r="IWJ29"/>
      <c r="IWK29"/>
      <c r="IWL29"/>
      <c r="IWM29"/>
      <c r="IWN29"/>
      <c r="IWO29"/>
      <c r="IWP29"/>
      <c r="IWQ29"/>
      <c r="IWR29"/>
      <c r="IWS29"/>
      <c r="IWT29"/>
      <c r="IWU29"/>
      <c r="IWV29"/>
      <c r="IWW29"/>
      <c r="IWX29"/>
      <c r="IWY29"/>
      <c r="IWZ29"/>
      <c r="IXA29"/>
      <c r="IXB29"/>
      <c r="IXC29"/>
      <c r="IXD29"/>
      <c r="IXE29"/>
      <c r="IXF29"/>
      <c r="IXG29"/>
      <c r="IXH29"/>
      <c r="IXI29"/>
      <c r="IXJ29"/>
      <c r="IXK29"/>
      <c r="IXL29"/>
      <c r="IXM29"/>
      <c r="IXN29"/>
      <c r="IXO29"/>
      <c r="IXP29"/>
      <c r="IXQ29"/>
      <c r="IXR29"/>
      <c r="IXS29"/>
      <c r="IXT29"/>
      <c r="IXU29"/>
      <c r="IXV29"/>
      <c r="IXW29"/>
      <c r="IXX29"/>
      <c r="IXY29"/>
      <c r="IXZ29"/>
      <c r="IYA29"/>
      <c r="IYB29"/>
      <c r="IYC29"/>
      <c r="IYD29"/>
      <c r="IYE29"/>
      <c r="IYF29"/>
      <c r="IYG29"/>
      <c r="IYH29"/>
      <c r="IYI29"/>
      <c r="IYJ29"/>
      <c r="IYK29"/>
      <c r="IYL29"/>
      <c r="IYM29"/>
      <c r="IYN29"/>
      <c r="IYO29"/>
      <c r="IYP29"/>
      <c r="IYQ29"/>
      <c r="IYR29"/>
      <c r="IYS29"/>
      <c r="IYT29"/>
      <c r="IYU29"/>
      <c r="IYV29"/>
      <c r="IYW29"/>
      <c r="IYX29"/>
      <c r="IYY29"/>
      <c r="IYZ29"/>
      <c r="IZA29"/>
      <c r="IZB29"/>
      <c r="IZC29"/>
      <c r="IZD29"/>
      <c r="IZE29"/>
      <c r="IZF29"/>
      <c r="IZG29"/>
      <c r="IZH29"/>
      <c r="IZI29"/>
      <c r="IZJ29"/>
      <c r="IZK29"/>
      <c r="IZL29"/>
      <c r="IZM29"/>
      <c r="IZN29"/>
      <c r="IZO29"/>
      <c r="IZP29"/>
      <c r="IZQ29"/>
      <c r="IZR29"/>
      <c r="IZS29"/>
      <c r="IZT29"/>
      <c r="IZU29"/>
      <c r="IZV29"/>
      <c r="IZW29"/>
      <c r="IZX29"/>
      <c r="IZY29"/>
      <c r="IZZ29"/>
      <c r="JAA29"/>
      <c r="JAB29"/>
      <c r="JAC29"/>
      <c r="JAD29"/>
      <c r="JAE29"/>
      <c r="JAF29"/>
      <c r="JAG29"/>
      <c r="JAH29"/>
      <c r="JAI29"/>
      <c r="JAJ29"/>
      <c r="JAK29"/>
      <c r="JAL29"/>
      <c r="JAM29"/>
      <c r="JAN29"/>
      <c r="JAO29"/>
      <c r="JAP29"/>
      <c r="JAQ29"/>
      <c r="JAR29"/>
      <c r="JAS29"/>
      <c r="JAT29"/>
      <c r="JAU29"/>
      <c r="JAV29"/>
      <c r="JAW29"/>
      <c r="JAX29"/>
      <c r="JAY29"/>
      <c r="JAZ29"/>
      <c r="JBA29"/>
      <c r="JBB29"/>
      <c r="JBC29"/>
      <c r="JBD29"/>
      <c r="JBE29"/>
      <c r="JBF29"/>
      <c r="JBG29"/>
      <c r="JBH29"/>
      <c r="JBI29"/>
      <c r="JBJ29"/>
      <c r="JBK29"/>
      <c r="JBL29"/>
      <c r="JBM29"/>
      <c r="JBN29"/>
      <c r="JBO29"/>
      <c r="JBP29"/>
      <c r="JBQ29"/>
      <c r="JBR29"/>
      <c r="JBS29"/>
      <c r="JBT29"/>
      <c r="JBU29"/>
      <c r="JBV29"/>
      <c r="JBW29"/>
      <c r="JBX29"/>
      <c r="JBY29"/>
      <c r="JBZ29"/>
      <c r="JCA29"/>
      <c r="JCB29"/>
      <c r="JCC29"/>
      <c r="JCD29"/>
      <c r="JCE29"/>
      <c r="JCF29"/>
      <c r="JCG29"/>
      <c r="JCH29"/>
      <c r="JCI29"/>
      <c r="JCJ29"/>
      <c r="JCK29"/>
      <c r="JCL29"/>
      <c r="JCM29"/>
      <c r="JCN29"/>
      <c r="JCO29"/>
      <c r="JCP29"/>
      <c r="JCQ29"/>
      <c r="JCR29"/>
      <c r="JCS29"/>
      <c r="JCT29"/>
      <c r="JCU29"/>
      <c r="JCV29"/>
      <c r="JCW29"/>
      <c r="JCX29"/>
      <c r="JCY29"/>
      <c r="JCZ29"/>
      <c r="JDA29"/>
      <c r="JDB29"/>
      <c r="JDC29"/>
      <c r="JDD29"/>
      <c r="JDE29"/>
      <c r="JDF29"/>
      <c r="JDG29"/>
      <c r="JDH29"/>
      <c r="JDI29"/>
      <c r="JDJ29"/>
      <c r="JDK29"/>
      <c r="JDL29"/>
      <c r="JDM29"/>
      <c r="JDN29"/>
      <c r="JDO29"/>
      <c r="JDP29"/>
      <c r="JDQ29"/>
      <c r="JDR29"/>
      <c r="JDS29"/>
      <c r="JDT29"/>
      <c r="JDU29"/>
      <c r="JDV29"/>
      <c r="JDW29"/>
      <c r="JDX29"/>
      <c r="JDY29"/>
      <c r="JDZ29"/>
      <c r="JEA29"/>
      <c r="JEB29"/>
      <c r="JEC29"/>
      <c r="JED29"/>
      <c r="JEE29"/>
      <c r="JEF29"/>
      <c r="JEG29"/>
      <c r="JEH29"/>
      <c r="JEI29"/>
      <c r="JEJ29"/>
      <c r="JEK29"/>
      <c r="JEL29"/>
      <c r="JEM29"/>
      <c r="JEN29"/>
      <c r="JEO29"/>
      <c r="JEP29"/>
      <c r="JEQ29"/>
      <c r="JER29"/>
      <c r="JES29"/>
      <c r="JET29"/>
      <c r="JEU29"/>
      <c r="JEV29"/>
      <c r="JEW29"/>
      <c r="JEX29"/>
      <c r="JEY29"/>
      <c r="JEZ29"/>
      <c r="JFA29"/>
      <c r="JFB29"/>
      <c r="JFC29"/>
      <c r="JFD29"/>
      <c r="JFE29"/>
      <c r="JFF29"/>
      <c r="JFG29"/>
      <c r="JFH29"/>
      <c r="JFI29"/>
      <c r="JFJ29"/>
      <c r="JFK29"/>
      <c r="JFL29"/>
      <c r="JFM29"/>
      <c r="JFN29"/>
      <c r="JFO29"/>
      <c r="JFP29"/>
      <c r="JFQ29"/>
      <c r="JFR29"/>
      <c r="JFS29"/>
      <c r="JFT29"/>
      <c r="JFU29"/>
      <c r="JFV29"/>
      <c r="JFW29"/>
      <c r="JFX29"/>
      <c r="JFY29"/>
      <c r="JFZ29"/>
      <c r="JGA29"/>
      <c r="JGB29"/>
      <c r="JGC29"/>
      <c r="JGD29"/>
      <c r="JGE29"/>
      <c r="JGF29"/>
      <c r="JGG29"/>
      <c r="JGH29"/>
      <c r="JGI29"/>
      <c r="JGJ29"/>
      <c r="JGK29"/>
      <c r="JGL29"/>
      <c r="JGM29"/>
      <c r="JGN29"/>
      <c r="JGO29"/>
      <c r="JGP29"/>
      <c r="JGQ29"/>
      <c r="JGR29"/>
      <c r="JGS29"/>
      <c r="JGT29"/>
      <c r="JGU29"/>
      <c r="JGV29"/>
      <c r="JGW29"/>
      <c r="JGX29"/>
      <c r="JGY29"/>
      <c r="JGZ29"/>
      <c r="JHA29"/>
      <c r="JHB29"/>
      <c r="JHC29"/>
      <c r="JHD29"/>
      <c r="JHE29"/>
      <c r="JHF29"/>
      <c r="JHG29"/>
      <c r="JHH29"/>
      <c r="JHI29"/>
      <c r="JHJ29"/>
      <c r="JHK29"/>
      <c r="JHL29"/>
      <c r="JHM29"/>
      <c r="JHN29"/>
      <c r="JHO29"/>
      <c r="JHP29"/>
      <c r="JHQ29"/>
      <c r="JHR29"/>
      <c r="JHS29"/>
      <c r="JHT29"/>
      <c r="JHU29"/>
      <c r="JHV29"/>
      <c r="JHW29"/>
      <c r="JHX29"/>
      <c r="JHY29"/>
      <c r="JHZ29"/>
      <c r="JIA29"/>
      <c r="JIB29"/>
      <c r="JIC29"/>
      <c r="JID29"/>
      <c r="JIE29"/>
      <c r="JIF29"/>
      <c r="JIG29"/>
      <c r="JIH29"/>
      <c r="JII29"/>
      <c r="JIJ29"/>
      <c r="JIK29"/>
      <c r="JIL29"/>
      <c r="JIM29"/>
      <c r="JIN29"/>
      <c r="JIO29"/>
      <c r="JIP29"/>
      <c r="JIQ29"/>
      <c r="JIR29"/>
      <c r="JIS29"/>
      <c r="JIT29"/>
      <c r="JIU29"/>
      <c r="JIV29"/>
      <c r="JIW29"/>
      <c r="JIX29"/>
      <c r="JIY29"/>
      <c r="JIZ29"/>
      <c r="JJA29"/>
      <c r="JJB29"/>
      <c r="JJC29"/>
      <c r="JJD29"/>
      <c r="JJE29"/>
      <c r="JJF29"/>
      <c r="JJG29"/>
      <c r="JJH29"/>
      <c r="JJI29"/>
      <c r="JJJ29"/>
      <c r="JJK29"/>
      <c r="JJL29"/>
      <c r="JJM29"/>
      <c r="JJN29"/>
      <c r="JJO29"/>
      <c r="JJP29"/>
      <c r="JJQ29"/>
      <c r="JJR29"/>
      <c r="JJS29"/>
      <c r="JJT29"/>
      <c r="JJU29"/>
      <c r="JJV29"/>
      <c r="JJW29"/>
      <c r="JJX29"/>
      <c r="JJY29"/>
      <c r="JJZ29"/>
      <c r="JKA29"/>
      <c r="JKB29"/>
      <c r="JKC29"/>
      <c r="JKD29"/>
      <c r="JKE29"/>
      <c r="JKF29"/>
      <c r="JKG29"/>
      <c r="JKH29"/>
      <c r="JKI29"/>
      <c r="JKJ29"/>
      <c r="JKK29"/>
      <c r="JKL29"/>
      <c r="JKM29"/>
      <c r="JKN29"/>
      <c r="JKO29"/>
      <c r="JKP29"/>
      <c r="JKQ29"/>
      <c r="JKR29"/>
      <c r="JKS29"/>
      <c r="JKT29"/>
      <c r="JKU29"/>
      <c r="JKV29"/>
      <c r="JKW29"/>
      <c r="JKX29"/>
      <c r="JKY29"/>
      <c r="JKZ29"/>
      <c r="JLA29"/>
      <c r="JLB29"/>
      <c r="JLC29"/>
      <c r="JLD29"/>
      <c r="JLE29"/>
      <c r="JLF29"/>
      <c r="JLG29"/>
      <c r="JLH29"/>
      <c r="JLI29"/>
      <c r="JLJ29"/>
      <c r="JLK29"/>
      <c r="JLL29"/>
      <c r="JLM29"/>
      <c r="JLN29"/>
      <c r="JLO29"/>
      <c r="JLP29"/>
      <c r="JLQ29"/>
      <c r="JLR29"/>
      <c r="JLS29"/>
      <c r="JLT29"/>
      <c r="JLU29"/>
      <c r="JLV29"/>
      <c r="JLW29"/>
      <c r="JLX29"/>
      <c r="JLY29"/>
      <c r="JLZ29"/>
      <c r="JMA29"/>
      <c r="JMB29"/>
      <c r="JMC29"/>
      <c r="JMD29"/>
      <c r="JME29"/>
      <c r="JMF29"/>
      <c r="JMG29"/>
      <c r="JMH29"/>
      <c r="JMI29"/>
      <c r="JMJ29"/>
      <c r="JMK29"/>
      <c r="JML29"/>
      <c r="JMM29"/>
      <c r="JMN29"/>
      <c r="JMO29"/>
      <c r="JMP29"/>
      <c r="JMQ29"/>
      <c r="JMR29"/>
      <c r="JMS29"/>
      <c r="JMT29"/>
      <c r="JMU29"/>
      <c r="JMV29"/>
      <c r="JMW29"/>
      <c r="JMX29"/>
      <c r="JMY29"/>
      <c r="JMZ29"/>
      <c r="JNA29"/>
      <c r="JNB29"/>
      <c r="JNC29"/>
      <c r="JND29"/>
      <c r="JNE29"/>
      <c r="JNF29"/>
      <c r="JNG29"/>
      <c r="JNH29"/>
      <c r="JNI29"/>
      <c r="JNJ29"/>
      <c r="JNK29"/>
      <c r="JNL29"/>
      <c r="JNM29"/>
      <c r="JNN29"/>
      <c r="JNO29"/>
      <c r="JNP29"/>
      <c r="JNQ29"/>
      <c r="JNR29"/>
      <c r="JNS29"/>
      <c r="JNT29"/>
      <c r="JNU29"/>
      <c r="JNV29"/>
      <c r="JNW29"/>
      <c r="JNX29"/>
      <c r="JNY29"/>
      <c r="JNZ29"/>
      <c r="JOA29"/>
      <c r="JOB29"/>
      <c r="JOC29"/>
      <c r="JOD29"/>
      <c r="JOE29"/>
      <c r="JOF29"/>
      <c r="JOG29"/>
      <c r="JOH29"/>
      <c r="JOI29"/>
      <c r="JOJ29"/>
      <c r="JOK29"/>
      <c r="JOL29"/>
      <c r="JOM29"/>
      <c r="JON29"/>
      <c r="JOO29"/>
      <c r="JOP29"/>
      <c r="JOQ29"/>
      <c r="JOR29"/>
      <c r="JOS29"/>
      <c r="JOT29"/>
      <c r="JOU29"/>
      <c r="JOV29"/>
      <c r="JOW29"/>
      <c r="JOX29"/>
      <c r="JOY29"/>
      <c r="JOZ29"/>
      <c r="JPA29"/>
      <c r="JPB29"/>
      <c r="JPC29"/>
      <c r="JPD29"/>
      <c r="JPE29"/>
      <c r="JPF29"/>
      <c r="JPG29"/>
      <c r="JPH29"/>
      <c r="JPI29"/>
      <c r="JPJ29"/>
      <c r="JPK29"/>
      <c r="JPL29"/>
      <c r="JPM29"/>
      <c r="JPN29"/>
      <c r="JPO29"/>
      <c r="JPP29"/>
      <c r="JPQ29"/>
      <c r="JPR29"/>
      <c r="JPS29"/>
      <c r="JPT29"/>
      <c r="JPU29"/>
      <c r="JPV29"/>
      <c r="JPW29"/>
      <c r="JPX29"/>
      <c r="JPY29"/>
      <c r="JPZ29"/>
      <c r="JQA29"/>
      <c r="JQB29"/>
      <c r="JQC29"/>
      <c r="JQD29"/>
      <c r="JQE29"/>
      <c r="JQF29"/>
      <c r="JQG29"/>
      <c r="JQH29"/>
      <c r="JQI29"/>
      <c r="JQJ29"/>
      <c r="JQK29"/>
      <c r="JQL29"/>
      <c r="JQM29"/>
      <c r="JQN29"/>
      <c r="JQO29"/>
      <c r="JQP29"/>
      <c r="JQQ29"/>
      <c r="JQR29"/>
      <c r="JQS29"/>
      <c r="JQT29"/>
      <c r="JQU29"/>
      <c r="JQV29"/>
      <c r="JQW29"/>
      <c r="JQX29"/>
      <c r="JQY29"/>
      <c r="JQZ29"/>
      <c r="JRA29"/>
      <c r="JRB29"/>
      <c r="JRC29"/>
      <c r="JRD29"/>
      <c r="JRE29"/>
      <c r="JRF29"/>
      <c r="JRG29"/>
      <c r="JRH29"/>
      <c r="JRI29"/>
      <c r="JRJ29"/>
      <c r="JRK29"/>
      <c r="JRL29"/>
      <c r="JRM29"/>
      <c r="JRN29"/>
      <c r="JRO29"/>
      <c r="JRP29"/>
      <c r="JRQ29"/>
      <c r="JRR29"/>
      <c r="JRS29"/>
      <c r="JRT29"/>
      <c r="JRU29"/>
      <c r="JRV29"/>
      <c r="JRW29"/>
      <c r="JRX29"/>
      <c r="JRY29"/>
      <c r="JRZ29"/>
      <c r="JSA29"/>
      <c r="JSB29"/>
      <c r="JSC29"/>
      <c r="JSD29"/>
      <c r="JSE29"/>
      <c r="JSF29"/>
      <c r="JSG29"/>
      <c r="JSH29"/>
      <c r="JSI29"/>
      <c r="JSJ29"/>
      <c r="JSK29"/>
      <c r="JSL29"/>
      <c r="JSM29"/>
      <c r="JSN29"/>
      <c r="JSO29"/>
      <c r="JSP29"/>
      <c r="JSQ29"/>
      <c r="JSR29"/>
      <c r="JSS29"/>
      <c r="JST29"/>
      <c r="JSU29"/>
      <c r="JSV29"/>
      <c r="JSW29"/>
      <c r="JSX29"/>
      <c r="JSY29"/>
      <c r="JSZ29"/>
      <c r="JTA29"/>
      <c r="JTB29"/>
      <c r="JTC29"/>
      <c r="JTD29"/>
      <c r="JTE29"/>
      <c r="JTF29"/>
      <c r="JTG29"/>
      <c r="JTH29"/>
      <c r="JTI29"/>
      <c r="JTJ29"/>
      <c r="JTK29"/>
      <c r="JTL29"/>
      <c r="JTM29"/>
      <c r="JTN29"/>
      <c r="JTO29"/>
      <c r="JTP29"/>
      <c r="JTQ29"/>
      <c r="JTR29"/>
      <c r="JTS29"/>
      <c r="JTT29"/>
      <c r="JTU29"/>
      <c r="JTV29"/>
      <c r="JTW29"/>
      <c r="JTX29"/>
      <c r="JTY29"/>
      <c r="JTZ29"/>
      <c r="JUA29"/>
      <c r="JUB29"/>
      <c r="JUC29"/>
      <c r="JUD29"/>
      <c r="JUE29"/>
      <c r="JUF29"/>
      <c r="JUG29"/>
      <c r="JUH29"/>
      <c r="JUI29"/>
      <c r="JUJ29"/>
      <c r="JUK29"/>
      <c r="JUL29"/>
      <c r="JUM29"/>
      <c r="JUN29"/>
      <c r="JUO29"/>
      <c r="JUP29"/>
      <c r="JUQ29"/>
      <c r="JUR29"/>
      <c r="JUS29"/>
      <c r="JUT29"/>
      <c r="JUU29"/>
      <c r="JUV29"/>
      <c r="JUW29"/>
      <c r="JUX29"/>
      <c r="JUY29"/>
      <c r="JUZ29"/>
      <c r="JVA29"/>
      <c r="JVB29"/>
      <c r="JVC29"/>
      <c r="JVD29"/>
      <c r="JVE29"/>
      <c r="JVF29"/>
      <c r="JVG29"/>
      <c r="JVH29"/>
      <c r="JVI29"/>
      <c r="JVJ29"/>
      <c r="JVK29"/>
      <c r="JVL29"/>
      <c r="JVM29"/>
      <c r="JVN29"/>
      <c r="JVO29"/>
      <c r="JVP29"/>
      <c r="JVQ29"/>
      <c r="JVR29"/>
      <c r="JVS29"/>
      <c r="JVT29"/>
      <c r="JVU29"/>
      <c r="JVV29"/>
      <c r="JVW29"/>
      <c r="JVX29"/>
      <c r="JVY29"/>
      <c r="JVZ29"/>
      <c r="JWA29"/>
      <c r="JWB29"/>
      <c r="JWC29"/>
      <c r="JWD29"/>
      <c r="JWE29"/>
      <c r="JWF29"/>
      <c r="JWG29"/>
      <c r="JWH29"/>
      <c r="JWI29"/>
      <c r="JWJ29"/>
      <c r="JWK29"/>
      <c r="JWL29"/>
      <c r="JWM29"/>
      <c r="JWN29"/>
      <c r="JWO29"/>
      <c r="JWP29"/>
      <c r="JWQ29"/>
      <c r="JWR29"/>
      <c r="JWS29"/>
      <c r="JWT29"/>
      <c r="JWU29"/>
      <c r="JWV29"/>
      <c r="JWW29"/>
      <c r="JWX29"/>
      <c r="JWY29"/>
      <c r="JWZ29"/>
      <c r="JXA29"/>
      <c r="JXB29"/>
      <c r="JXC29"/>
      <c r="JXD29"/>
      <c r="JXE29"/>
      <c r="JXF29"/>
      <c r="JXG29"/>
      <c r="JXH29"/>
      <c r="JXI29"/>
      <c r="JXJ29"/>
      <c r="JXK29"/>
      <c r="JXL29"/>
      <c r="JXM29"/>
      <c r="JXN29"/>
      <c r="JXO29"/>
      <c r="JXP29"/>
      <c r="JXQ29"/>
      <c r="JXR29"/>
      <c r="JXS29"/>
      <c r="JXT29"/>
      <c r="JXU29"/>
      <c r="JXV29"/>
      <c r="JXW29"/>
      <c r="JXX29"/>
      <c r="JXY29"/>
      <c r="JXZ29"/>
      <c r="JYA29"/>
      <c r="JYB29"/>
      <c r="JYC29"/>
      <c r="JYD29"/>
      <c r="JYE29"/>
      <c r="JYF29"/>
      <c r="JYG29"/>
      <c r="JYH29"/>
      <c r="JYI29"/>
      <c r="JYJ29"/>
      <c r="JYK29"/>
      <c r="JYL29"/>
      <c r="JYM29"/>
      <c r="JYN29"/>
      <c r="JYO29"/>
      <c r="JYP29"/>
      <c r="JYQ29"/>
      <c r="JYR29"/>
      <c r="JYS29"/>
      <c r="JYT29"/>
      <c r="JYU29"/>
      <c r="JYV29"/>
      <c r="JYW29"/>
      <c r="JYX29"/>
      <c r="JYY29"/>
      <c r="JYZ29"/>
      <c r="JZA29"/>
      <c r="JZB29"/>
      <c r="JZC29"/>
      <c r="JZD29"/>
      <c r="JZE29"/>
      <c r="JZF29"/>
      <c r="JZG29"/>
      <c r="JZH29"/>
      <c r="JZI29"/>
      <c r="JZJ29"/>
      <c r="JZK29"/>
      <c r="JZL29"/>
      <c r="JZM29"/>
      <c r="JZN29"/>
      <c r="JZO29"/>
      <c r="JZP29"/>
      <c r="JZQ29"/>
      <c r="JZR29"/>
      <c r="JZS29"/>
      <c r="JZT29"/>
      <c r="JZU29"/>
      <c r="JZV29"/>
      <c r="JZW29"/>
      <c r="JZX29"/>
      <c r="JZY29"/>
      <c r="JZZ29"/>
      <c r="KAA29"/>
      <c r="KAB29"/>
      <c r="KAC29"/>
      <c r="KAD29"/>
      <c r="KAE29"/>
      <c r="KAF29"/>
      <c r="KAG29"/>
      <c r="KAH29"/>
      <c r="KAI29"/>
      <c r="KAJ29"/>
      <c r="KAK29"/>
      <c r="KAL29"/>
      <c r="KAM29"/>
      <c r="KAN29"/>
      <c r="KAO29"/>
      <c r="KAP29"/>
      <c r="KAQ29"/>
      <c r="KAR29"/>
      <c r="KAS29"/>
      <c r="KAT29"/>
      <c r="KAU29"/>
      <c r="KAV29"/>
      <c r="KAW29"/>
      <c r="KAX29"/>
      <c r="KAY29"/>
      <c r="KAZ29"/>
      <c r="KBA29"/>
      <c r="KBB29"/>
      <c r="KBC29"/>
      <c r="KBD29"/>
      <c r="KBE29"/>
      <c r="KBF29"/>
      <c r="KBG29"/>
      <c r="KBH29"/>
      <c r="KBI29"/>
      <c r="KBJ29"/>
      <c r="KBK29"/>
      <c r="KBL29"/>
      <c r="KBM29"/>
      <c r="KBN29"/>
      <c r="KBO29"/>
      <c r="KBP29"/>
      <c r="KBQ29"/>
      <c r="KBR29"/>
      <c r="KBS29"/>
      <c r="KBT29"/>
      <c r="KBU29"/>
      <c r="KBV29"/>
      <c r="KBW29"/>
      <c r="KBX29"/>
      <c r="KBY29"/>
      <c r="KBZ29"/>
      <c r="KCA29"/>
      <c r="KCB29"/>
      <c r="KCC29"/>
      <c r="KCD29"/>
      <c r="KCE29"/>
      <c r="KCF29"/>
      <c r="KCG29"/>
      <c r="KCH29"/>
      <c r="KCI29"/>
      <c r="KCJ29"/>
      <c r="KCK29"/>
      <c r="KCL29"/>
      <c r="KCM29"/>
      <c r="KCN29"/>
      <c r="KCO29"/>
      <c r="KCP29"/>
      <c r="KCQ29"/>
      <c r="KCR29"/>
      <c r="KCS29"/>
      <c r="KCT29"/>
      <c r="KCU29"/>
      <c r="KCV29"/>
      <c r="KCW29"/>
      <c r="KCX29"/>
      <c r="KCY29"/>
      <c r="KCZ29"/>
      <c r="KDA29"/>
      <c r="KDB29"/>
      <c r="KDC29"/>
      <c r="KDD29"/>
      <c r="KDE29"/>
      <c r="KDF29"/>
      <c r="KDG29"/>
      <c r="KDH29"/>
      <c r="KDI29"/>
      <c r="KDJ29"/>
      <c r="KDK29"/>
      <c r="KDL29"/>
      <c r="KDM29"/>
      <c r="KDN29"/>
      <c r="KDO29"/>
      <c r="KDP29"/>
      <c r="KDQ29"/>
      <c r="KDR29"/>
      <c r="KDS29"/>
      <c r="KDT29"/>
      <c r="KDU29"/>
      <c r="KDV29"/>
      <c r="KDW29"/>
      <c r="KDX29"/>
      <c r="KDY29"/>
      <c r="KDZ29"/>
      <c r="KEA29"/>
      <c r="KEB29"/>
      <c r="KEC29"/>
      <c r="KED29"/>
      <c r="KEE29"/>
      <c r="KEF29"/>
      <c r="KEG29"/>
      <c r="KEH29"/>
      <c r="KEI29"/>
      <c r="KEJ29"/>
      <c r="KEK29"/>
      <c r="KEL29"/>
      <c r="KEM29"/>
      <c r="KEN29"/>
      <c r="KEO29"/>
      <c r="KEP29"/>
      <c r="KEQ29"/>
      <c r="KER29"/>
      <c r="KES29"/>
      <c r="KET29"/>
      <c r="KEU29"/>
      <c r="KEV29"/>
      <c r="KEW29"/>
      <c r="KEX29"/>
      <c r="KEY29"/>
      <c r="KEZ29"/>
      <c r="KFA29"/>
      <c r="KFB29"/>
      <c r="KFC29"/>
      <c r="KFD29"/>
      <c r="KFE29"/>
      <c r="KFF29"/>
      <c r="KFG29"/>
      <c r="KFH29"/>
      <c r="KFI29"/>
      <c r="KFJ29"/>
      <c r="KFK29"/>
      <c r="KFL29"/>
      <c r="KFM29"/>
      <c r="KFN29"/>
      <c r="KFO29"/>
      <c r="KFP29"/>
      <c r="KFQ29"/>
      <c r="KFR29"/>
      <c r="KFS29"/>
      <c r="KFT29"/>
      <c r="KFU29"/>
      <c r="KFV29"/>
      <c r="KFW29"/>
      <c r="KFX29"/>
      <c r="KFY29"/>
      <c r="KFZ29"/>
      <c r="KGA29"/>
      <c r="KGB29"/>
      <c r="KGC29"/>
      <c r="KGD29"/>
      <c r="KGE29"/>
      <c r="KGF29"/>
      <c r="KGG29"/>
      <c r="KGH29"/>
      <c r="KGI29"/>
      <c r="KGJ29"/>
      <c r="KGK29"/>
      <c r="KGL29"/>
      <c r="KGM29"/>
      <c r="KGN29"/>
      <c r="KGO29"/>
      <c r="KGP29"/>
      <c r="KGQ29"/>
      <c r="KGR29"/>
      <c r="KGS29"/>
      <c r="KGT29"/>
      <c r="KGU29"/>
      <c r="KGV29"/>
      <c r="KGW29"/>
      <c r="KGX29"/>
      <c r="KGY29"/>
      <c r="KGZ29"/>
      <c r="KHA29"/>
      <c r="KHB29"/>
      <c r="KHC29"/>
      <c r="KHD29"/>
      <c r="KHE29"/>
      <c r="KHF29"/>
      <c r="KHG29"/>
      <c r="KHH29"/>
      <c r="KHI29"/>
      <c r="KHJ29"/>
      <c r="KHK29"/>
      <c r="KHL29"/>
      <c r="KHM29"/>
      <c r="KHN29"/>
      <c r="KHO29"/>
      <c r="KHP29"/>
      <c r="KHQ29"/>
      <c r="KHR29"/>
      <c r="KHS29"/>
      <c r="KHT29"/>
      <c r="KHU29"/>
      <c r="KHV29"/>
      <c r="KHW29"/>
      <c r="KHX29"/>
      <c r="KHY29"/>
      <c r="KHZ29"/>
      <c r="KIA29"/>
      <c r="KIB29"/>
      <c r="KIC29"/>
      <c r="KID29"/>
      <c r="KIE29"/>
      <c r="KIF29"/>
      <c r="KIG29"/>
      <c r="KIH29"/>
      <c r="KII29"/>
      <c r="KIJ29"/>
      <c r="KIK29"/>
      <c r="KIL29"/>
      <c r="KIM29"/>
      <c r="KIN29"/>
      <c r="KIO29"/>
      <c r="KIP29"/>
      <c r="KIQ29"/>
      <c r="KIR29"/>
      <c r="KIS29"/>
      <c r="KIT29"/>
      <c r="KIU29"/>
      <c r="KIV29"/>
      <c r="KIW29"/>
      <c r="KIX29"/>
      <c r="KIY29"/>
      <c r="KIZ29"/>
      <c r="KJA29"/>
      <c r="KJB29"/>
      <c r="KJC29"/>
      <c r="KJD29"/>
      <c r="KJE29"/>
      <c r="KJF29"/>
      <c r="KJG29"/>
      <c r="KJH29"/>
      <c r="KJI29"/>
      <c r="KJJ29"/>
      <c r="KJK29"/>
      <c r="KJL29"/>
      <c r="KJM29"/>
      <c r="KJN29"/>
      <c r="KJO29"/>
      <c r="KJP29"/>
      <c r="KJQ29"/>
      <c r="KJR29"/>
      <c r="KJS29"/>
      <c r="KJT29"/>
      <c r="KJU29"/>
      <c r="KJV29"/>
      <c r="KJW29"/>
      <c r="KJX29"/>
      <c r="KJY29"/>
      <c r="KJZ29"/>
      <c r="KKA29"/>
      <c r="KKB29"/>
      <c r="KKC29"/>
      <c r="KKD29"/>
      <c r="KKE29"/>
      <c r="KKF29"/>
      <c r="KKG29"/>
      <c r="KKH29"/>
      <c r="KKI29"/>
      <c r="KKJ29"/>
      <c r="KKK29"/>
      <c r="KKL29"/>
      <c r="KKM29"/>
      <c r="KKN29"/>
      <c r="KKO29"/>
      <c r="KKP29"/>
      <c r="KKQ29"/>
      <c r="KKR29"/>
      <c r="KKS29"/>
      <c r="KKT29"/>
      <c r="KKU29"/>
      <c r="KKV29"/>
      <c r="KKW29"/>
      <c r="KKX29"/>
      <c r="KKY29"/>
      <c r="KKZ29"/>
      <c r="KLA29"/>
      <c r="KLB29"/>
      <c r="KLC29"/>
      <c r="KLD29"/>
      <c r="KLE29"/>
      <c r="KLF29"/>
      <c r="KLG29"/>
      <c r="KLH29"/>
      <c r="KLI29"/>
      <c r="KLJ29"/>
      <c r="KLK29"/>
      <c r="KLL29"/>
      <c r="KLM29"/>
      <c r="KLN29"/>
      <c r="KLO29"/>
      <c r="KLP29"/>
      <c r="KLQ29"/>
      <c r="KLR29"/>
      <c r="KLS29"/>
      <c r="KLT29"/>
      <c r="KLU29"/>
      <c r="KLV29"/>
      <c r="KLW29"/>
      <c r="KLX29"/>
      <c r="KLY29"/>
      <c r="KLZ29"/>
      <c r="KMA29"/>
      <c r="KMB29"/>
      <c r="KMC29"/>
      <c r="KMD29"/>
      <c r="KME29"/>
      <c r="KMF29"/>
      <c r="KMG29"/>
      <c r="KMH29"/>
      <c r="KMI29"/>
      <c r="KMJ29"/>
      <c r="KMK29"/>
      <c r="KML29"/>
      <c r="KMM29"/>
      <c r="KMN29"/>
      <c r="KMO29"/>
      <c r="KMP29"/>
      <c r="KMQ29"/>
      <c r="KMR29"/>
      <c r="KMS29"/>
      <c r="KMT29"/>
      <c r="KMU29"/>
      <c r="KMV29"/>
      <c r="KMW29"/>
      <c r="KMX29"/>
      <c r="KMY29"/>
      <c r="KMZ29"/>
      <c r="KNA29"/>
      <c r="KNB29"/>
      <c r="KNC29"/>
      <c r="KND29"/>
      <c r="KNE29"/>
      <c r="KNF29"/>
      <c r="KNG29"/>
      <c r="KNH29"/>
      <c r="KNI29"/>
      <c r="KNJ29"/>
      <c r="KNK29"/>
      <c r="KNL29"/>
      <c r="KNM29"/>
      <c r="KNN29"/>
      <c r="KNO29"/>
      <c r="KNP29"/>
      <c r="KNQ29"/>
      <c r="KNR29"/>
      <c r="KNS29"/>
      <c r="KNT29"/>
      <c r="KNU29"/>
      <c r="KNV29"/>
      <c r="KNW29"/>
      <c r="KNX29"/>
      <c r="KNY29"/>
      <c r="KNZ29"/>
      <c r="KOA29"/>
      <c r="KOB29"/>
      <c r="KOC29"/>
      <c r="KOD29"/>
      <c r="KOE29"/>
      <c r="KOF29"/>
      <c r="KOG29"/>
      <c r="KOH29"/>
      <c r="KOI29"/>
      <c r="KOJ29"/>
      <c r="KOK29"/>
      <c r="KOL29"/>
      <c r="KOM29"/>
      <c r="KON29"/>
      <c r="KOO29"/>
      <c r="KOP29"/>
      <c r="KOQ29"/>
      <c r="KOR29"/>
      <c r="KOS29"/>
      <c r="KOT29"/>
      <c r="KOU29"/>
      <c r="KOV29"/>
      <c r="KOW29"/>
      <c r="KOX29"/>
      <c r="KOY29"/>
      <c r="KOZ29"/>
      <c r="KPA29"/>
      <c r="KPB29"/>
      <c r="KPC29"/>
      <c r="KPD29"/>
      <c r="KPE29"/>
      <c r="KPF29"/>
      <c r="KPG29"/>
      <c r="KPH29"/>
      <c r="KPI29"/>
      <c r="KPJ29"/>
      <c r="KPK29"/>
      <c r="KPL29"/>
      <c r="KPM29"/>
      <c r="KPN29"/>
      <c r="KPO29"/>
      <c r="KPP29"/>
      <c r="KPQ29"/>
      <c r="KPR29"/>
      <c r="KPS29"/>
      <c r="KPT29"/>
      <c r="KPU29"/>
      <c r="KPV29"/>
      <c r="KPW29"/>
      <c r="KPX29"/>
      <c r="KPY29"/>
      <c r="KPZ29"/>
      <c r="KQA29"/>
      <c r="KQB29"/>
      <c r="KQC29"/>
      <c r="KQD29"/>
      <c r="KQE29"/>
      <c r="KQF29"/>
      <c r="KQG29"/>
      <c r="KQH29"/>
      <c r="KQI29"/>
      <c r="KQJ29"/>
      <c r="KQK29"/>
      <c r="KQL29"/>
      <c r="KQM29"/>
      <c r="KQN29"/>
      <c r="KQO29"/>
      <c r="KQP29"/>
      <c r="KQQ29"/>
      <c r="KQR29"/>
      <c r="KQS29"/>
      <c r="KQT29"/>
      <c r="KQU29"/>
      <c r="KQV29"/>
      <c r="KQW29"/>
      <c r="KQX29"/>
      <c r="KQY29"/>
      <c r="KQZ29"/>
      <c r="KRA29"/>
      <c r="KRB29"/>
      <c r="KRC29"/>
      <c r="KRD29"/>
      <c r="KRE29"/>
      <c r="KRF29"/>
      <c r="KRG29"/>
      <c r="KRH29"/>
      <c r="KRI29"/>
      <c r="KRJ29"/>
      <c r="KRK29"/>
      <c r="KRL29"/>
      <c r="KRM29"/>
      <c r="KRN29"/>
      <c r="KRO29"/>
      <c r="KRP29"/>
      <c r="KRQ29"/>
      <c r="KRR29"/>
      <c r="KRS29"/>
      <c r="KRT29"/>
      <c r="KRU29"/>
      <c r="KRV29"/>
      <c r="KRW29"/>
      <c r="KRX29"/>
      <c r="KRY29"/>
      <c r="KRZ29"/>
      <c r="KSA29"/>
      <c r="KSB29"/>
      <c r="KSC29"/>
      <c r="KSD29"/>
      <c r="KSE29"/>
      <c r="KSF29"/>
      <c r="KSG29"/>
      <c r="KSH29"/>
      <c r="KSI29"/>
      <c r="KSJ29"/>
      <c r="KSK29"/>
      <c r="KSL29"/>
      <c r="KSM29"/>
      <c r="KSN29"/>
      <c r="KSO29"/>
      <c r="KSP29"/>
      <c r="KSQ29"/>
      <c r="KSR29"/>
      <c r="KSS29"/>
      <c r="KST29"/>
      <c r="KSU29"/>
      <c r="KSV29"/>
      <c r="KSW29"/>
      <c r="KSX29"/>
      <c r="KSY29"/>
      <c r="KSZ29"/>
      <c r="KTA29"/>
      <c r="KTB29"/>
      <c r="KTC29"/>
      <c r="KTD29"/>
      <c r="KTE29"/>
      <c r="KTF29"/>
      <c r="KTG29"/>
      <c r="KTH29"/>
      <c r="KTI29"/>
      <c r="KTJ29"/>
      <c r="KTK29"/>
      <c r="KTL29"/>
      <c r="KTM29"/>
      <c r="KTN29"/>
      <c r="KTO29"/>
      <c r="KTP29"/>
      <c r="KTQ29"/>
      <c r="KTR29"/>
      <c r="KTS29"/>
      <c r="KTT29"/>
      <c r="KTU29"/>
      <c r="KTV29"/>
      <c r="KTW29"/>
      <c r="KTX29"/>
      <c r="KTY29"/>
      <c r="KTZ29"/>
      <c r="KUA29"/>
      <c r="KUB29"/>
      <c r="KUC29"/>
      <c r="KUD29"/>
      <c r="KUE29"/>
      <c r="KUF29"/>
      <c r="KUG29"/>
      <c r="KUH29"/>
      <c r="KUI29"/>
      <c r="KUJ29"/>
      <c r="KUK29"/>
      <c r="KUL29"/>
      <c r="KUM29"/>
      <c r="KUN29"/>
      <c r="KUO29"/>
      <c r="KUP29"/>
      <c r="KUQ29"/>
      <c r="KUR29"/>
      <c r="KUS29"/>
      <c r="KUT29"/>
      <c r="KUU29"/>
      <c r="KUV29"/>
      <c r="KUW29"/>
      <c r="KUX29"/>
      <c r="KUY29"/>
      <c r="KUZ29"/>
      <c r="KVA29"/>
      <c r="KVB29"/>
      <c r="KVC29"/>
      <c r="KVD29"/>
      <c r="KVE29"/>
      <c r="KVF29"/>
      <c r="KVG29"/>
      <c r="KVH29"/>
      <c r="KVI29"/>
      <c r="KVJ29"/>
      <c r="KVK29"/>
      <c r="KVL29"/>
      <c r="KVM29"/>
      <c r="KVN29"/>
      <c r="KVO29"/>
      <c r="KVP29"/>
      <c r="KVQ29"/>
      <c r="KVR29"/>
      <c r="KVS29"/>
      <c r="KVT29"/>
      <c r="KVU29"/>
      <c r="KVV29"/>
      <c r="KVW29"/>
      <c r="KVX29"/>
      <c r="KVY29"/>
      <c r="KVZ29"/>
      <c r="KWA29"/>
      <c r="KWB29"/>
      <c r="KWC29"/>
      <c r="KWD29"/>
      <c r="KWE29"/>
      <c r="KWF29"/>
      <c r="KWG29"/>
      <c r="KWH29"/>
      <c r="KWI29"/>
      <c r="KWJ29"/>
      <c r="KWK29"/>
      <c r="KWL29"/>
      <c r="KWM29"/>
      <c r="KWN29"/>
      <c r="KWO29"/>
      <c r="KWP29"/>
      <c r="KWQ29"/>
      <c r="KWR29"/>
      <c r="KWS29"/>
      <c r="KWT29"/>
      <c r="KWU29"/>
      <c r="KWV29"/>
      <c r="KWW29"/>
      <c r="KWX29"/>
      <c r="KWY29"/>
      <c r="KWZ29"/>
      <c r="KXA29"/>
      <c r="KXB29"/>
      <c r="KXC29"/>
      <c r="KXD29"/>
      <c r="KXE29"/>
      <c r="KXF29"/>
      <c r="KXG29"/>
      <c r="KXH29"/>
      <c r="KXI29"/>
      <c r="KXJ29"/>
      <c r="KXK29"/>
      <c r="KXL29"/>
      <c r="KXM29"/>
      <c r="KXN29"/>
      <c r="KXO29"/>
      <c r="KXP29"/>
      <c r="KXQ29"/>
      <c r="KXR29"/>
      <c r="KXS29"/>
      <c r="KXT29"/>
      <c r="KXU29"/>
      <c r="KXV29"/>
      <c r="KXW29"/>
      <c r="KXX29"/>
      <c r="KXY29"/>
      <c r="KXZ29"/>
      <c r="KYA29"/>
      <c r="KYB29"/>
      <c r="KYC29"/>
      <c r="KYD29"/>
      <c r="KYE29"/>
      <c r="KYF29"/>
      <c r="KYG29"/>
      <c r="KYH29"/>
      <c r="KYI29"/>
      <c r="KYJ29"/>
      <c r="KYK29"/>
      <c r="KYL29"/>
      <c r="KYM29"/>
      <c r="KYN29"/>
      <c r="KYO29"/>
      <c r="KYP29"/>
      <c r="KYQ29"/>
      <c r="KYR29"/>
      <c r="KYS29"/>
      <c r="KYT29"/>
      <c r="KYU29"/>
      <c r="KYV29"/>
      <c r="KYW29"/>
      <c r="KYX29"/>
      <c r="KYY29"/>
      <c r="KYZ29"/>
      <c r="KZA29"/>
      <c r="KZB29"/>
      <c r="KZC29"/>
      <c r="KZD29"/>
      <c r="KZE29"/>
      <c r="KZF29"/>
      <c r="KZG29"/>
      <c r="KZH29"/>
      <c r="KZI29"/>
      <c r="KZJ29"/>
      <c r="KZK29"/>
      <c r="KZL29"/>
      <c r="KZM29"/>
      <c r="KZN29"/>
      <c r="KZO29"/>
      <c r="KZP29"/>
      <c r="KZQ29"/>
      <c r="KZR29"/>
      <c r="KZS29"/>
      <c r="KZT29"/>
      <c r="KZU29"/>
      <c r="KZV29"/>
      <c r="KZW29"/>
      <c r="KZX29"/>
      <c r="KZY29"/>
      <c r="KZZ29"/>
      <c r="LAA29"/>
      <c r="LAB29"/>
      <c r="LAC29"/>
      <c r="LAD29"/>
      <c r="LAE29"/>
      <c r="LAF29"/>
      <c r="LAG29"/>
      <c r="LAH29"/>
      <c r="LAI29"/>
      <c r="LAJ29"/>
      <c r="LAK29"/>
      <c r="LAL29"/>
      <c r="LAM29"/>
      <c r="LAN29"/>
      <c r="LAO29"/>
      <c r="LAP29"/>
      <c r="LAQ29"/>
      <c r="LAR29"/>
      <c r="LAS29"/>
      <c r="LAT29"/>
      <c r="LAU29"/>
      <c r="LAV29"/>
      <c r="LAW29"/>
      <c r="LAX29"/>
      <c r="LAY29"/>
      <c r="LAZ29"/>
      <c r="LBA29"/>
      <c r="LBB29"/>
      <c r="LBC29"/>
      <c r="LBD29"/>
      <c r="LBE29"/>
      <c r="LBF29"/>
      <c r="LBG29"/>
      <c r="LBH29"/>
      <c r="LBI29"/>
      <c r="LBJ29"/>
      <c r="LBK29"/>
      <c r="LBL29"/>
      <c r="LBM29"/>
      <c r="LBN29"/>
      <c r="LBO29"/>
      <c r="LBP29"/>
      <c r="LBQ29"/>
      <c r="LBR29"/>
      <c r="LBS29"/>
      <c r="LBT29"/>
      <c r="LBU29"/>
      <c r="LBV29"/>
      <c r="LBW29"/>
      <c r="LBX29"/>
      <c r="LBY29"/>
      <c r="LBZ29"/>
      <c r="LCA29"/>
      <c r="LCB29"/>
      <c r="LCC29"/>
      <c r="LCD29"/>
      <c r="LCE29"/>
      <c r="LCF29"/>
      <c r="LCG29"/>
      <c r="LCH29"/>
      <c r="LCI29"/>
      <c r="LCJ29"/>
      <c r="LCK29"/>
      <c r="LCL29"/>
      <c r="LCM29"/>
      <c r="LCN29"/>
      <c r="LCO29"/>
      <c r="LCP29"/>
      <c r="LCQ29"/>
      <c r="LCR29"/>
      <c r="LCS29"/>
      <c r="LCT29"/>
      <c r="LCU29"/>
      <c r="LCV29"/>
      <c r="LCW29"/>
      <c r="LCX29"/>
      <c r="LCY29"/>
      <c r="LCZ29"/>
      <c r="LDA29"/>
      <c r="LDB29"/>
      <c r="LDC29"/>
      <c r="LDD29"/>
      <c r="LDE29"/>
      <c r="LDF29"/>
      <c r="LDG29"/>
      <c r="LDH29"/>
      <c r="LDI29"/>
      <c r="LDJ29"/>
      <c r="LDK29"/>
      <c r="LDL29"/>
      <c r="LDM29"/>
      <c r="LDN29"/>
      <c r="LDO29"/>
      <c r="LDP29"/>
      <c r="LDQ29"/>
      <c r="LDR29"/>
      <c r="LDS29"/>
      <c r="LDT29"/>
      <c r="LDU29"/>
      <c r="LDV29"/>
      <c r="LDW29"/>
      <c r="LDX29"/>
      <c r="LDY29"/>
      <c r="LDZ29"/>
      <c r="LEA29"/>
      <c r="LEB29"/>
      <c r="LEC29"/>
      <c r="LED29"/>
      <c r="LEE29"/>
      <c r="LEF29"/>
      <c r="LEG29"/>
      <c r="LEH29"/>
      <c r="LEI29"/>
      <c r="LEJ29"/>
      <c r="LEK29"/>
      <c r="LEL29"/>
      <c r="LEM29"/>
      <c r="LEN29"/>
      <c r="LEO29"/>
      <c r="LEP29"/>
      <c r="LEQ29"/>
      <c r="LER29"/>
      <c r="LES29"/>
      <c r="LET29"/>
      <c r="LEU29"/>
      <c r="LEV29"/>
      <c r="LEW29"/>
      <c r="LEX29"/>
      <c r="LEY29"/>
      <c r="LEZ29"/>
      <c r="LFA29"/>
      <c r="LFB29"/>
      <c r="LFC29"/>
      <c r="LFD29"/>
      <c r="LFE29"/>
      <c r="LFF29"/>
      <c r="LFG29"/>
      <c r="LFH29"/>
      <c r="LFI29"/>
      <c r="LFJ29"/>
      <c r="LFK29"/>
      <c r="LFL29"/>
      <c r="LFM29"/>
      <c r="LFN29"/>
      <c r="LFO29"/>
      <c r="LFP29"/>
      <c r="LFQ29"/>
      <c r="LFR29"/>
      <c r="LFS29"/>
      <c r="LFT29"/>
      <c r="LFU29"/>
      <c r="LFV29"/>
      <c r="LFW29"/>
      <c r="LFX29"/>
      <c r="LFY29"/>
      <c r="LFZ29"/>
      <c r="LGA29"/>
      <c r="LGB29"/>
      <c r="LGC29"/>
      <c r="LGD29"/>
      <c r="LGE29"/>
      <c r="LGF29"/>
      <c r="LGG29"/>
      <c r="LGH29"/>
      <c r="LGI29"/>
      <c r="LGJ29"/>
      <c r="LGK29"/>
      <c r="LGL29"/>
      <c r="LGM29"/>
      <c r="LGN29"/>
      <c r="LGO29"/>
      <c r="LGP29"/>
      <c r="LGQ29"/>
      <c r="LGR29"/>
      <c r="LGS29"/>
      <c r="LGT29"/>
      <c r="LGU29"/>
      <c r="LGV29"/>
      <c r="LGW29"/>
      <c r="LGX29"/>
      <c r="LGY29"/>
      <c r="LGZ29"/>
      <c r="LHA29"/>
      <c r="LHB29"/>
      <c r="LHC29"/>
      <c r="LHD29"/>
      <c r="LHE29"/>
      <c r="LHF29"/>
      <c r="LHG29"/>
      <c r="LHH29"/>
      <c r="LHI29"/>
      <c r="LHJ29"/>
      <c r="LHK29"/>
      <c r="LHL29"/>
      <c r="LHM29"/>
      <c r="LHN29"/>
      <c r="LHO29"/>
      <c r="LHP29"/>
      <c r="LHQ29"/>
      <c r="LHR29"/>
      <c r="LHS29"/>
      <c r="LHT29"/>
      <c r="LHU29"/>
      <c r="LHV29"/>
      <c r="LHW29"/>
      <c r="LHX29"/>
      <c r="LHY29"/>
      <c r="LHZ29"/>
      <c r="LIA29"/>
      <c r="LIB29"/>
      <c r="LIC29"/>
      <c r="LID29"/>
      <c r="LIE29"/>
      <c r="LIF29"/>
      <c r="LIG29"/>
      <c r="LIH29"/>
      <c r="LII29"/>
      <c r="LIJ29"/>
      <c r="LIK29"/>
      <c r="LIL29"/>
      <c r="LIM29"/>
      <c r="LIN29"/>
      <c r="LIO29"/>
      <c r="LIP29"/>
      <c r="LIQ29"/>
      <c r="LIR29"/>
      <c r="LIS29"/>
      <c r="LIT29"/>
      <c r="LIU29"/>
      <c r="LIV29"/>
      <c r="LIW29"/>
      <c r="LIX29"/>
      <c r="LIY29"/>
      <c r="LIZ29"/>
      <c r="LJA29"/>
      <c r="LJB29"/>
      <c r="LJC29"/>
      <c r="LJD29"/>
      <c r="LJE29"/>
      <c r="LJF29"/>
      <c r="LJG29"/>
      <c r="LJH29"/>
      <c r="LJI29"/>
      <c r="LJJ29"/>
      <c r="LJK29"/>
      <c r="LJL29"/>
      <c r="LJM29"/>
      <c r="LJN29"/>
      <c r="LJO29"/>
      <c r="LJP29"/>
      <c r="LJQ29"/>
      <c r="LJR29"/>
      <c r="LJS29"/>
      <c r="LJT29"/>
      <c r="LJU29"/>
      <c r="LJV29"/>
      <c r="LJW29"/>
      <c r="LJX29"/>
      <c r="LJY29"/>
      <c r="LJZ29"/>
      <c r="LKA29"/>
      <c r="LKB29"/>
      <c r="LKC29"/>
      <c r="LKD29"/>
      <c r="LKE29"/>
      <c r="LKF29"/>
      <c r="LKG29"/>
      <c r="LKH29"/>
      <c r="LKI29"/>
      <c r="LKJ29"/>
      <c r="LKK29"/>
      <c r="LKL29"/>
      <c r="LKM29"/>
      <c r="LKN29"/>
      <c r="LKO29"/>
      <c r="LKP29"/>
      <c r="LKQ29"/>
      <c r="LKR29"/>
      <c r="LKS29"/>
      <c r="LKT29"/>
      <c r="LKU29"/>
      <c r="LKV29"/>
      <c r="LKW29"/>
      <c r="LKX29"/>
      <c r="LKY29"/>
      <c r="LKZ29"/>
      <c r="LLA29"/>
      <c r="LLB29"/>
      <c r="LLC29"/>
      <c r="LLD29"/>
      <c r="LLE29"/>
      <c r="LLF29"/>
      <c r="LLG29"/>
      <c r="LLH29"/>
      <c r="LLI29"/>
      <c r="LLJ29"/>
      <c r="LLK29"/>
      <c r="LLL29"/>
      <c r="LLM29"/>
      <c r="LLN29"/>
      <c r="LLO29"/>
      <c r="LLP29"/>
      <c r="LLQ29"/>
      <c r="LLR29"/>
      <c r="LLS29"/>
      <c r="LLT29"/>
      <c r="LLU29"/>
      <c r="LLV29"/>
      <c r="LLW29"/>
      <c r="LLX29"/>
      <c r="LLY29"/>
      <c r="LLZ29"/>
      <c r="LMA29"/>
      <c r="LMB29"/>
      <c r="LMC29"/>
      <c r="LMD29"/>
      <c r="LME29"/>
      <c r="LMF29"/>
      <c r="LMG29"/>
      <c r="LMH29"/>
      <c r="LMI29"/>
      <c r="LMJ29"/>
      <c r="LMK29"/>
      <c r="LML29"/>
      <c r="LMM29"/>
      <c r="LMN29"/>
      <c r="LMO29"/>
      <c r="LMP29"/>
      <c r="LMQ29"/>
      <c r="LMR29"/>
      <c r="LMS29"/>
      <c r="LMT29"/>
      <c r="LMU29"/>
      <c r="LMV29"/>
      <c r="LMW29"/>
      <c r="LMX29"/>
      <c r="LMY29"/>
      <c r="LMZ29"/>
      <c r="LNA29"/>
      <c r="LNB29"/>
      <c r="LNC29"/>
      <c r="LND29"/>
      <c r="LNE29"/>
      <c r="LNF29"/>
      <c r="LNG29"/>
      <c r="LNH29"/>
      <c r="LNI29"/>
      <c r="LNJ29"/>
      <c r="LNK29"/>
      <c r="LNL29"/>
      <c r="LNM29"/>
      <c r="LNN29"/>
      <c r="LNO29"/>
      <c r="LNP29"/>
      <c r="LNQ29"/>
      <c r="LNR29"/>
      <c r="LNS29"/>
      <c r="LNT29"/>
      <c r="LNU29"/>
      <c r="LNV29"/>
      <c r="LNW29"/>
      <c r="LNX29"/>
      <c r="LNY29"/>
      <c r="LNZ29"/>
      <c r="LOA29"/>
      <c r="LOB29"/>
      <c r="LOC29"/>
      <c r="LOD29"/>
      <c r="LOE29"/>
      <c r="LOF29"/>
      <c r="LOG29"/>
      <c r="LOH29"/>
      <c r="LOI29"/>
      <c r="LOJ29"/>
      <c r="LOK29"/>
      <c r="LOL29"/>
      <c r="LOM29"/>
      <c r="LON29"/>
      <c r="LOO29"/>
      <c r="LOP29"/>
      <c r="LOQ29"/>
      <c r="LOR29"/>
      <c r="LOS29"/>
      <c r="LOT29"/>
      <c r="LOU29"/>
      <c r="LOV29"/>
      <c r="LOW29"/>
      <c r="LOX29"/>
      <c r="LOY29"/>
      <c r="LOZ29"/>
      <c r="LPA29"/>
      <c r="LPB29"/>
      <c r="LPC29"/>
      <c r="LPD29"/>
      <c r="LPE29"/>
      <c r="LPF29"/>
      <c r="LPG29"/>
      <c r="LPH29"/>
      <c r="LPI29"/>
      <c r="LPJ29"/>
      <c r="LPK29"/>
      <c r="LPL29"/>
      <c r="LPM29"/>
      <c r="LPN29"/>
      <c r="LPO29"/>
      <c r="LPP29"/>
      <c r="LPQ29"/>
      <c r="LPR29"/>
      <c r="LPS29"/>
      <c r="LPT29"/>
      <c r="LPU29"/>
      <c r="LPV29"/>
      <c r="LPW29"/>
      <c r="LPX29"/>
      <c r="LPY29"/>
      <c r="LPZ29"/>
      <c r="LQA29"/>
      <c r="LQB29"/>
      <c r="LQC29"/>
      <c r="LQD29"/>
      <c r="LQE29"/>
      <c r="LQF29"/>
      <c r="LQG29"/>
      <c r="LQH29"/>
      <c r="LQI29"/>
      <c r="LQJ29"/>
      <c r="LQK29"/>
      <c r="LQL29"/>
      <c r="LQM29"/>
      <c r="LQN29"/>
      <c r="LQO29"/>
      <c r="LQP29"/>
      <c r="LQQ29"/>
      <c r="LQR29"/>
      <c r="LQS29"/>
      <c r="LQT29"/>
      <c r="LQU29"/>
      <c r="LQV29"/>
      <c r="LQW29"/>
      <c r="LQX29"/>
      <c r="LQY29"/>
      <c r="LQZ29"/>
      <c r="LRA29"/>
      <c r="LRB29"/>
      <c r="LRC29"/>
      <c r="LRD29"/>
      <c r="LRE29"/>
      <c r="LRF29"/>
      <c r="LRG29"/>
      <c r="LRH29"/>
      <c r="LRI29"/>
      <c r="LRJ29"/>
      <c r="LRK29"/>
      <c r="LRL29"/>
      <c r="LRM29"/>
      <c r="LRN29"/>
      <c r="LRO29"/>
      <c r="LRP29"/>
      <c r="LRQ29"/>
      <c r="LRR29"/>
      <c r="LRS29"/>
      <c r="LRT29"/>
      <c r="LRU29"/>
      <c r="LRV29"/>
      <c r="LRW29"/>
      <c r="LRX29"/>
      <c r="LRY29"/>
      <c r="LRZ29"/>
      <c r="LSA29"/>
      <c r="LSB29"/>
      <c r="LSC29"/>
      <c r="LSD29"/>
      <c r="LSE29"/>
      <c r="LSF29"/>
      <c r="LSG29"/>
      <c r="LSH29"/>
      <c r="LSI29"/>
      <c r="LSJ29"/>
      <c r="LSK29"/>
      <c r="LSL29"/>
      <c r="LSM29"/>
      <c r="LSN29"/>
      <c r="LSO29"/>
      <c r="LSP29"/>
      <c r="LSQ29"/>
      <c r="LSR29"/>
      <c r="LSS29"/>
      <c r="LST29"/>
      <c r="LSU29"/>
      <c r="LSV29"/>
      <c r="LSW29"/>
      <c r="LSX29"/>
      <c r="LSY29"/>
      <c r="LSZ29"/>
      <c r="LTA29"/>
      <c r="LTB29"/>
      <c r="LTC29"/>
      <c r="LTD29"/>
      <c r="LTE29"/>
      <c r="LTF29"/>
      <c r="LTG29"/>
      <c r="LTH29"/>
      <c r="LTI29"/>
      <c r="LTJ29"/>
      <c r="LTK29"/>
      <c r="LTL29"/>
      <c r="LTM29"/>
      <c r="LTN29"/>
      <c r="LTO29"/>
      <c r="LTP29"/>
      <c r="LTQ29"/>
      <c r="LTR29"/>
      <c r="LTS29"/>
      <c r="LTT29"/>
      <c r="LTU29"/>
      <c r="LTV29"/>
      <c r="LTW29"/>
      <c r="LTX29"/>
      <c r="LTY29"/>
      <c r="LTZ29"/>
      <c r="LUA29"/>
      <c r="LUB29"/>
      <c r="LUC29"/>
      <c r="LUD29"/>
      <c r="LUE29"/>
      <c r="LUF29"/>
      <c r="LUG29"/>
      <c r="LUH29"/>
      <c r="LUI29"/>
      <c r="LUJ29"/>
      <c r="LUK29"/>
      <c r="LUL29"/>
      <c r="LUM29"/>
      <c r="LUN29"/>
      <c r="LUO29"/>
      <c r="LUP29"/>
      <c r="LUQ29"/>
      <c r="LUR29"/>
      <c r="LUS29"/>
      <c r="LUT29"/>
      <c r="LUU29"/>
      <c r="LUV29"/>
      <c r="LUW29"/>
      <c r="LUX29"/>
      <c r="LUY29"/>
      <c r="LUZ29"/>
      <c r="LVA29"/>
      <c r="LVB29"/>
      <c r="LVC29"/>
      <c r="LVD29"/>
      <c r="LVE29"/>
      <c r="LVF29"/>
      <c r="LVG29"/>
      <c r="LVH29"/>
      <c r="LVI29"/>
      <c r="LVJ29"/>
      <c r="LVK29"/>
      <c r="LVL29"/>
      <c r="LVM29"/>
      <c r="LVN29"/>
      <c r="LVO29"/>
      <c r="LVP29"/>
      <c r="LVQ29"/>
      <c r="LVR29"/>
      <c r="LVS29"/>
      <c r="LVT29"/>
      <c r="LVU29"/>
      <c r="LVV29"/>
      <c r="LVW29"/>
      <c r="LVX29"/>
      <c r="LVY29"/>
      <c r="LVZ29"/>
      <c r="LWA29"/>
      <c r="LWB29"/>
      <c r="LWC29"/>
      <c r="LWD29"/>
      <c r="LWE29"/>
      <c r="LWF29"/>
      <c r="LWG29"/>
      <c r="LWH29"/>
      <c r="LWI29"/>
      <c r="LWJ29"/>
      <c r="LWK29"/>
      <c r="LWL29"/>
      <c r="LWM29"/>
      <c r="LWN29"/>
      <c r="LWO29"/>
      <c r="LWP29"/>
      <c r="LWQ29"/>
      <c r="LWR29"/>
      <c r="LWS29"/>
      <c r="LWT29"/>
      <c r="LWU29"/>
      <c r="LWV29"/>
      <c r="LWW29"/>
      <c r="LWX29"/>
      <c r="LWY29"/>
      <c r="LWZ29"/>
      <c r="LXA29"/>
      <c r="LXB29"/>
      <c r="LXC29"/>
      <c r="LXD29"/>
      <c r="LXE29"/>
      <c r="LXF29"/>
      <c r="LXG29"/>
      <c r="LXH29"/>
      <c r="LXI29"/>
      <c r="LXJ29"/>
      <c r="LXK29"/>
      <c r="LXL29"/>
      <c r="LXM29"/>
      <c r="LXN29"/>
      <c r="LXO29"/>
      <c r="LXP29"/>
      <c r="LXQ29"/>
      <c r="LXR29"/>
      <c r="LXS29"/>
      <c r="LXT29"/>
      <c r="LXU29"/>
      <c r="LXV29"/>
      <c r="LXW29"/>
      <c r="LXX29"/>
      <c r="LXY29"/>
      <c r="LXZ29"/>
      <c r="LYA29"/>
      <c r="LYB29"/>
      <c r="LYC29"/>
      <c r="LYD29"/>
      <c r="LYE29"/>
      <c r="LYF29"/>
      <c r="LYG29"/>
      <c r="LYH29"/>
      <c r="LYI29"/>
      <c r="LYJ29"/>
      <c r="LYK29"/>
      <c r="LYL29"/>
      <c r="LYM29"/>
      <c r="LYN29"/>
      <c r="LYO29"/>
      <c r="LYP29"/>
      <c r="LYQ29"/>
      <c r="LYR29"/>
      <c r="LYS29"/>
      <c r="LYT29"/>
      <c r="LYU29"/>
      <c r="LYV29"/>
      <c r="LYW29"/>
      <c r="LYX29"/>
      <c r="LYY29"/>
      <c r="LYZ29"/>
      <c r="LZA29"/>
      <c r="LZB29"/>
      <c r="LZC29"/>
      <c r="LZD29"/>
      <c r="LZE29"/>
      <c r="LZF29"/>
      <c r="LZG29"/>
      <c r="LZH29"/>
      <c r="LZI29"/>
      <c r="LZJ29"/>
      <c r="LZK29"/>
      <c r="LZL29"/>
      <c r="LZM29"/>
      <c r="LZN29"/>
      <c r="LZO29"/>
      <c r="LZP29"/>
      <c r="LZQ29"/>
      <c r="LZR29"/>
      <c r="LZS29"/>
      <c r="LZT29"/>
      <c r="LZU29"/>
      <c r="LZV29"/>
      <c r="LZW29"/>
      <c r="LZX29"/>
      <c r="LZY29"/>
      <c r="LZZ29"/>
      <c r="MAA29"/>
      <c r="MAB29"/>
      <c r="MAC29"/>
      <c r="MAD29"/>
      <c r="MAE29"/>
      <c r="MAF29"/>
      <c r="MAG29"/>
      <c r="MAH29"/>
      <c r="MAI29"/>
      <c r="MAJ29"/>
      <c r="MAK29"/>
      <c r="MAL29"/>
      <c r="MAM29"/>
      <c r="MAN29"/>
      <c r="MAO29"/>
      <c r="MAP29"/>
      <c r="MAQ29"/>
      <c r="MAR29"/>
      <c r="MAS29"/>
      <c r="MAT29"/>
      <c r="MAU29"/>
      <c r="MAV29"/>
      <c r="MAW29"/>
      <c r="MAX29"/>
      <c r="MAY29"/>
      <c r="MAZ29"/>
      <c r="MBA29"/>
      <c r="MBB29"/>
      <c r="MBC29"/>
      <c r="MBD29"/>
      <c r="MBE29"/>
      <c r="MBF29"/>
      <c r="MBG29"/>
      <c r="MBH29"/>
      <c r="MBI29"/>
      <c r="MBJ29"/>
      <c r="MBK29"/>
      <c r="MBL29"/>
      <c r="MBM29"/>
      <c r="MBN29"/>
      <c r="MBO29"/>
      <c r="MBP29"/>
      <c r="MBQ29"/>
      <c r="MBR29"/>
      <c r="MBS29"/>
      <c r="MBT29"/>
      <c r="MBU29"/>
      <c r="MBV29"/>
      <c r="MBW29"/>
      <c r="MBX29"/>
      <c r="MBY29"/>
      <c r="MBZ29"/>
      <c r="MCA29"/>
      <c r="MCB29"/>
      <c r="MCC29"/>
      <c r="MCD29"/>
      <c r="MCE29"/>
      <c r="MCF29"/>
      <c r="MCG29"/>
      <c r="MCH29"/>
      <c r="MCI29"/>
      <c r="MCJ29"/>
      <c r="MCK29"/>
      <c r="MCL29"/>
      <c r="MCM29"/>
      <c r="MCN29"/>
      <c r="MCO29"/>
      <c r="MCP29"/>
      <c r="MCQ29"/>
      <c r="MCR29"/>
      <c r="MCS29"/>
      <c r="MCT29"/>
      <c r="MCU29"/>
      <c r="MCV29"/>
      <c r="MCW29"/>
      <c r="MCX29"/>
      <c r="MCY29"/>
      <c r="MCZ29"/>
      <c r="MDA29"/>
      <c r="MDB29"/>
      <c r="MDC29"/>
      <c r="MDD29"/>
      <c r="MDE29"/>
      <c r="MDF29"/>
      <c r="MDG29"/>
      <c r="MDH29"/>
      <c r="MDI29"/>
      <c r="MDJ29"/>
      <c r="MDK29"/>
      <c r="MDL29"/>
      <c r="MDM29"/>
      <c r="MDN29"/>
      <c r="MDO29"/>
      <c r="MDP29"/>
      <c r="MDQ29"/>
      <c r="MDR29"/>
      <c r="MDS29"/>
      <c r="MDT29"/>
      <c r="MDU29"/>
      <c r="MDV29"/>
      <c r="MDW29"/>
      <c r="MDX29"/>
      <c r="MDY29"/>
      <c r="MDZ29"/>
      <c r="MEA29"/>
      <c r="MEB29"/>
      <c r="MEC29"/>
      <c r="MED29"/>
      <c r="MEE29"/>
      <c r="MEF29"/>
      <c r="MEG29"/>
      <c r="MEH29"/>
      <c r="MEI29"/>
      <c r="MEJ29"/>
      <c r="MEK29"/>
      <c r="MEL29"/>
      <c r="MEM29"/>
      <c r="MEN29"/>
      <c r="MEO29"/>
      <c r="MEP29"/>
      <c r="MEQ29"/>
      <c r="MER29"/>
      <c r="MES29"/>
      <c r="MET29"/>
      <c r="MEU29"/>
      <c r="MEV29"/>
      <c r="MEW29"/>
      <c r="MEX29"/>
      <c r="MEY29"/>
      <c r="MEZ29"/>
      <c r="MFA29"/>
      <c r="MFB29"/>
      <c r="MFC29"/>
      <c r="MFD29"/>
      <c r="MFE29"/>
      <c r="MFF29"/>
      <c r="MFG29"/>
      <c r="MFH29"/>
      <c r="MFI29"/>
      <c r="MFJ29"/>
      <c r="MFK29"/>
      <c r="MFL29"/>
      <c r="MFM29"/>
      <c r="MFN29"/>
      <c r="MFO29"/>
      <c r="MFP29"/>
      <c r="MFQ29"/>
      <c r="MFR29"/>
      <c r="MFS29"/>
      <c r="MFT29"/>
      <c r="MFU29"/>
      <c r="MFV29"/>
      <c r="MFW29"/>
      <c r="MFX29"/>
      <c r="MFY29"/>
      <c r="MFZ29"/>
      <c r="MGA29"/>
      <c r="MGB29"/>
      <c r="MGC29"/>
      <c r="MGD29"/>
      <c r="MGE29"/>
      <c r="MGF29"/>
      <c r="MGG29"/>
      <c r="MGH29"/>
      <c r="MGI29"/>
      <c r="MGJ29"/>
      <c r="MGK29"/>
      <c r="MGL29"/>
      <c r="MGM29"/>
      <c r="MGN29"/>
      <c r="MGO29"/>
      <c r="MGP29"/>
      <c r="MGQ29"/>
      <c r="MGR29"/>
      <c r="MGS29"/>
      <c r="MGT29"/>
      <c r="MGU29"/>
      <c r="MGV29"/>
      <c r="MGW29"/>
      <c r="MGX29"/>
      <c r="MGY29"/>
      <c r="MGZ29"/>
      <c r="MHA29"/>
      <c r="MHB29"/>
      <c r="MHC29"/>
      <c r="MHD29"/>
      <c r="MHE29"/>
      <c r="MHF29"/>
      <c r="MHG29"/>
      <c r="MHH29"/>
      <c r="MHI29"/>
      <c r="MHJ29"/>
      <c r="MHK29"/>
      <c r="MHL29"/>
      <c r="MHM29"/>
      <c r="MHN29"/>
      <c r="MHO29"/>
      <c r="MHP29"/>
      <c r="MHQ29"/>
      <c r="MHR29"/>
      <c r="MHS29"/>
      <c r="MHT29"/>
      <c r="MHU29"/>
      <c r="MHV29"/>
      <c r="MHW29"/>
      <c r="MHX29"/>
      <c r="MHY29"/>
      <c r="MHZ29"/>
      <c r="MIA29"/>
      <c r="MIB29"/>
      <c r="MIC29"/>
      <c r="MID29"/>
      <c r="MIE29"/>
      <c r="MIF29"/>
      <c r="MIG29"/>
      <c r="MIH29"/>
      <c r="MII29"/>
      <c r="MIJ29"/>
      <c r="MIK29"/>
      <c r="MIL29"/>
      <c r="MIM29"/>
      <c r="MIN29"/>
      <c r="MIO29"/>
      <c r="MIP29"/>
      <c r="MIQ29"/>
      <c r="MIR29"/>
      <c r="MIS29"/>
      <c r="MIT29"/>
      <c r="MIU29"/>
      <c r="MIV29"/>
      <c r="MIW29"/>
      <c r="MIX29"/>
      <c r="MIY29"/>
      <c r="MIZ29"/>
      <c r="MJA29"/>
      <c r="MJB29"/>
      <c r="MJC29"/>
      <c r="MJD29"/>
      <c r="MJE29"/>
      <c r="MJF29"/>
      <c r="MJG29"/>
      <c r="MJH29"/>
      <c r="MJI29"/>
      <c r="MJJ29"/>
      <c r="MJK29"/>
      <c r="MJL29"/>
      <c r="MJM29"/>
      <c r="MJN29"/>
      <c r="MJO29"/>
      <c r="MJP29"/>
      <c r="MJQ29"/>
      <c r="MJR29"/>
      <c r="MJS29"/>
      <c r="MJT29"/>
      <c r="MJU29"/>
      <c r="MJV29"/>
      <c r="MJW29"/>
      <c r="MJX29"/>
      <c r="MJY29"/>
      <c r="MJZ29"/>
      <c r="MKA29"/>
      <c r="MKB29"/>
      <c r="MKC29"/>
      <c r="MKD29"/>
      <c r="MKE29"/>
      <c r="MKF29"/>
      <c r="MKG29"/>
      <c r="MKH29"/>
      <c r="MKI29"/>
      <c r="MKJ29"/>
      <c r="MKK29"/>
      <c r="MKL29"/>
      <c r="MKM29"/>
      <c r="MKN29"/>
      <c r="MKO29"/>
      <c r="MKP29"/>
      <c r="MKQ29"/>
      <c r="MKR29"/>
      <c r="MKS29"/>
      <c r="MKT29"/>
      <c r="MKU29"/>
      <c r="MKV29"/>
      <c r="MKW29"/>
      <c r="MKX29"/>
      <c r="MKY29"/>
      <c r="MKZ29"/>
      <c r="MLA29"/>
      <c r="MLB29"/>
      <c r="MLC29"/>
      <c r="MLD29"/>
      <c r="MLE29"/>
      <c r="MLF29"/>
      <c r="MLG29"/>
      <c r="MLH29"/>
      <c r="MLI29"/>
      <c r="MLJ29"/>
      <c r="MLK29"/>
      <c r="MLL29"/>
      <c r="MLM29"/>
      <c r="MLN29"/>
      <c r="MLO29"/>
      <c r="MLP29"/>
      <c r="MLQ29"/>
      <c r="MLR29"/>
      <c r="MLS29"/>
      <c r="MLT29"/>
      <c r="MLU29"/>
      <c r="MLV29"/>
      <c r="MLW29"/>
      <c r="MLX29"/>
      <c r="MLY29"/>
      <c r="MLZ29"/>
      <c r="MMA29"/>
      <c r="MMB29"/>
      <c r="MMC29"/>
      <c r="MMD29"/>
      <c r="MME29"/>
      <c r="MMF29"/>
      <c r="MMG29"/>
      <c r="MMH29"/>
      <c r="MMI29"/>
      <c r="MMJ29"/>
      <c r="MMK29"/>
      <c r="MML29"/>
      <c r="MMM29"/>
      <c r="MMN29"/>
      <c r="MMO29"/>
      <c r="MMP29"/>
      <c r="MMQ29"/>
      <c r="MMR29"/>
      <c r="MMS29"/>
      <c r="MMT29"/>
      <c r="MMU29"/>
      <c r="MMV29"/>
      <c r="MMW29"/>
      <c r="MMX29"/>
      <c r="MMY29"/>
      <c r="MMZ29"/>
      <c r="MNA29"/>
      <c r="MNB29"/>
      <c r="MNC29"/>
      <c r="MND29"/>
      <c r="MNE29"/>
      <c r="MNF29"/>
      <c r="MNG29"/>
      <c r="MNH29"/>
      <c r="MNI29"/>
      <c r="MNJ29"/>
      <c r="MNK29"/>
      <c r="MNL29"/>
      <c r="MNM29"/>
      <c r="MNN29"/>
      <c r="MNO29"/>
      <c r="MNP29"/>
      <c r="MNQ29"/>
      <c r="MNR29"/>
      <c r="MNS29"/>
      <c r="MNT29"/>
      <c r="MNU29"/>
      <c r="MNV29"/>
      <c r="MNW29"/>
      <c r="MNX29"/>
      <c r="MNY29"/>
      <c r="MNZ29"/>
      <c r="MOA29"/>
      <c r="MOB29"/>
      <c r="MOC29"/>
      <c r="MOD29"/>
      <c r="MOE29"/>
      <c r="MOF29"/>
      <c r="MOG29"/>
      <c r="MOH29"/>
      <c r="MOI29"/>
      <c r="MOJ29"/>
      <c r="MOK29"/>
      <c r="MOL29"/>
      <c r="MOM29"/>
      <c r="MON29"/>
      <c r="MOO29"/>
      <c r="MOP29"/>
      <c r="MOQ29"/>
      <c r="MOR29"/>
      <c r="MOS29"/>
      <c r="MOT29"/>
      <c r="MOU29"/>
      <c r="MOV29"/>
      <c r="MOW29"/>
      <c r="MOX29"/>
      <c r="MOY29"/>
      <c r="MOZ29"/>
      <c r="MPA29"/>
      <c r="MPB29"/>
      <c r="MPC29"/>
      <c r="MPD29"/>
      <c r="MPE29"/>
      <c r="MPF29"/>
      <c r="MPG29"/>
      <c r="MPH29"/>
      <c r="MPI29"/>
      <c r="MPJ29"/>
      <c r="MPK29"/>
      <c r="MPL29"/>
      <c r="MPM29"/>
      <c r="MPN29"/>
      <c r="MPO29"/>
      <c r="MPP29"/>
      <c r="MPQ29"/>
      <c r="MPR29"/>
      <c r="MPS29"/>
      <c r="MPT29"/>
      <c r="MPU29"/>
      <c r="MPV29"/>
      <c r="MPW29"/>
      <c r="MPX29"/>
      <c r="MPY29"/>
      <c r="MPZ29"/>
      <c r="MQA29"/>
      <c r="MQB29"/>
      <c r="MQC29"/>
      <c r="MQD29"/>
      <c r="MQE29"/>
      <c r="MQF29"/>
      <c r="MQG29"/>
      <c r="MQH29"/>
      <c r="MQI29"/>
      <c r="MQJ29"/>
      <c r="MQK29"/>
      <c r="MQL29"/>
      <c r="MQM29"/>
      <c r="MQN29"/>
      <c r="MQO29"/>
      <c r="MQP29"/>
      <c r="MQQ29"/>
      <c r="MQR29"/>
      <c r="MQS29"/>
      <c r="MQT29"/>
      <c r="MQU29"/>
      <c r="MQV29"/>
      <c r="MQW29"/>
      <c r="MQX29"/>
      <c r="MQY29"/>
      <c r="MQZ29"/>
      <c r="MRA29"/>
      <c r="MRB29"/>
      <c r="MRC29"/>
      <c r="MRD29"/>
      <c r="MRE29"/>
      <c r="MRF29"/>
      <c r="MRG29"/>
      <c r="MRH29"/>
      <c r="MRI29"/>
      <c r="MRJ29"/>
      <c r="MRK29"/>
      <c r="MRL29"/>
      <c r="MRM29"/>
      <c r="MRN29"/>
      <c r="MRO29"/>
      <c r="MRP29"/>
      <c r="MRQ29"/>
      <c r="MRR29"/>
      <c r="MRS29"/>
      <c r="MRT29"/>
      <c r="MRU29"/>
      <c r="MRV29"/>
      <c r="MRW29"/>
      <c r="MRX29"/>
      <c r="MRY29"/>
      <c r="MRZ29"/>
      <c r="MSA29"/>
      <c r="MSB29"/>
      <c r="MSC29"/>
      <c r="MSD29"/>
      <c r="MSE29"/>
      <c r="MSF29"/>
      <c r="MSG29"/>
      <c r="MSH29"/>
      <c r="MSI29"/>
      <c r="MSJ29"/>
      <c r="MSK29"/>
      <c r="MSL29"/>
      <c r="MSM29"/>
      <c r="MSN29"/>
      <c r="MSO29"/>
      <c r="MSP29"/>
      <c r="MSQ29"/>
      <c r="MSR29"/>
      <c r="MSS29"/>
      <c r="MST29"/>
      <c r="MSU29"/>
      <c r="MSV29"/>
      <c r="MSW29"/>
      <c r="MSX29"/>
      <c r="MSY29"/>
      <c r="MSZ29"/>
      <c r="MTA29"/>
      <c r="MTB29"/>
      <c r="MTC29"/>
      <c r="MTD29"/>
      <c r="MTE29"/>
      <c r="MTF29"/>
      <c r="MTG29"/>
      <c r="MTH29"/>
      <c r="MTI29"/>
      <c r="MTJ29"/>
      <c r="MTK29"/>
      <c r="MTL29"/>
      <c r="MTM29"/>
      <c r="MTN29"/>
      <c r="MTO29"/>
      <c r="MTP29"/>
      <c r="MTQ29"/>
      <c r="MTR29"/>
      <c r="MTS29"/>
      <c r="MTT29"/>
      <c r="MTU29"/>
      <c r="MTV29"/>
      <c r="MTW29"/>
      <c r="MTX29"/>
      <c r="MTY29"/>
      <c r="MTZ29"/>
      <c r="MUA29"/>
      <c r="MUB29"/>
      <c r="MUC29"/>
      <c r="MUD29"/>
      <c r="MUE29"/>
      <c r="MUF29"/>
      <c r="MUG29"/>
      <c r="MUH29"/>
      <c r="MUI29"/>
      <c r="MUJ29"/>
      <c r="MUK29"/>
      <c r="MUL29"/>
      <c r="MUM29"/>
      <c r="MUN29"/>
      <c r="MUO29"/>
      <c r="MUP29"/>
      <c r="MUQ29"/>
      <c r="MUR29"/>
      <c r="MUS29"/>
      <c r="MUT29"/>
      <c r="MUU29"/>
      <c r="MUV29"/>
      <c r="MUW29"/>
      <c r="MUX29"/>
      <c r="MUY29"/>
      <c r="MUZ29"/>
      <c r="MVA29"/>
      <c r="MVB29"/>
      <c r="MVC29"/>
      <c r="MVD29"/>
      <c r="MVE29"/>
      <c r="MVF29"/>
      <c r="MVG29"/>
      <c r="MVH29"/>
      <c r="MVI29"/>
      <c r="MVJ29"/>
      <c r="MVK29"/>
      <c r="MVL29"/>
      <c r="MVM29"/>
      <c r="MVN29"/>
      <c r="MVO29"/>
      <c r="MVP29"/>
      <c r="MVQ29"/>
      <c r="MVR29"/>
      <c r="MVS29"/>
      <c r="MVT29"/>
      <c r="MVU29"/>
      <c r="MVV29"/>
      <c r="MVW29"/>
      <c r="MVX29"/>
      <c r="MVY29"/>
      <c r="MVZ29"/>
      <c r="MWA29"/>
      <c r="MWB29"/>
      <c r="MWC29"/>
      <c r="MWD29"/>
      <c r="MWE29"/>
      <c r="MWF29"/>
      <c r="MWG29"/>
      <c r="MWH29"/>
      <c r="MWI29"/>
      <c r="MWJ29"/>
      <c r="MWK29"/>
      <c r="MWL29"/>
      <c r="MWM29"/>
      <c r="MWN29"/>
      <c r="MWO29"/>
      <c r="MWP29"/>
      <c r="MWQ29"/>
      <c r="MWR29"/>
      <c r="MWS29"/>
      <c r="MWT29"/>
      <c r="MWU29"/>
      <c r="MWV29"/>
      <c r="MWW29"/>
      <c r="MWX29"/>
      <c r="MWY29"/>
      <c r="MWZ29"/>
      <c r="MXA29"/>
      <c r="MXB29"/>
      <c r="MXC29"/>
      <c r="MXD29"/>
      <c r="MXE29"/>
      <c r="MXF29"/>
      <c r="MXG29"/>
      <c r="MXH29"/>
      <c r="MXI29"/>
      <c r="MXJ29"/>
      <c r="MXK29"/>
      <c r="MXL29"/>
      <c r="MXM29"/>
      <c r="MXN29"/>
      <c r="MXO29"/>
      <c r="MXP29"/>
      <c r="MXQ29"/>
      <c r="MXR29"/>
      <c r="MXS29"/>
      <c r="MXT29"/>
      <c r="MXU29"/>
      <c r="MXV29"/>
      <c r="MXW29"/>
      <c r="MXX29"/>
      <c r="MXY29"/>
      <c r="MXZ29"/>
      <c r="MYA29"/>
      <c r="MYB29"/>
      <c r="MYC29"/>
      <c r="MYD29"/>
      <c r="MYE29"/>
      <c r="MYF29"/>
      <c r="MYG29"/>
      <c r="MYH29"/>
      <c r="MYI29"/>
      <c r="MYJ29"/>
      <c r="MYK29"/>
      <c r="MYL29"/>
      <c r="MYM29"/>
      <c r="MYN29"/>
      <c r="MYO29"/>
      <c r="MYP29"/>
      <c r="MYQ29"/>
      <c r="MYR29"/>
      <c r="MYS29"/>
      <c r="MYT29"/>
      <c r="MYU29"/>
      <c r="MYV29"/>
      <c r="MYW29"/>
      <c r="MYX29"/>
      <c r="MYY29"/>
      <c r="MYZ29"/>
      <c r="MZA29"/>
      <c r="MZB29"/>
      <c r="MZC29"/>
      <c r="MZD29"/>
      <c r="MZE29"/>
      <c r="MZF29"/>
      <c r="MZG29"/>
      <c r="MZH29"/>
      <c r="MZI29"/>
      <c r="MZJ29"/>
      <c r="MZK29"/>
      <c r="MZL29"/>
      <c r="MZM29"/>
      <c r="MZN29"/>
      <c r="MZO29"/>
      <c r="MZP29"/>
      <c r="MZQ29"/>
      <c r="MZR29"/>
      <c r="MZS29"/>
      <c r="MZT29"/>
      <c r="MZU29"/>
      <c r="MZV29"/>
      <c r="MZW29"/>
      <c r="MZX29"/>
      <c r="MZY29"/>
      <c r="MZZ29"/>
      <c r="NAA29"/>
      <c r="NAB29"/>
      <c r="NAC29"/>
      <c r="NAD29"/>
      <c r="NAE29"/>
      <c r="NAF29"/>
      <c r="NAG29"/>
      <c r="NAH29"/>
      <c r="NAI29"/>
      <c r="NAJ29"/>
      <c r="NAK29"/>
      <c r="NAL29"/>
      <c r="NAM29"/>
      <c r="NAN29"/>
      <c r="NAO29"/>
      <c r="NAP29"/>
      <c r="NAQ29"/>
      <c r="NAR29"/>
      <c r="NAS29"/>
      <c r="NAT29"/>
      <c r="NAU29"/>
      <c r="NAV29"/>
      <c r="NAW29"/>
      <c r="NAX29"/>
      <c r="NAY29"/>
      <c r="NAZ29"/>
      <c r="NBA29"/>
      <c r="NBB29"/>
      <c r="NBC29"/>
      <c r="NBD29"/>
      <c r="NBE29"/>
      <c r="NBF29"/>
      <c r="NBG29"/>
      <c r="NBH29"/>
      <c r="NBI29"/>
      <c r="NBJ29"/>
      <c r="NBK29"/>
      <c r="NBL29"/>
      <c r="NBM29"/>
      <c r="NBN29"/>
      <c r="NBO29"/>
      <c r="NBP29"/>
      <c r="NBQ29"/>
      <c r="NBR29"/>
      <c r="NBS29"/>
      <c r="NBT29"/>
      <c r="NBU29"/>
      <c r="NBV29"/>
      <c r="NBW29"/>
      <c r="NBX29"/>
      <c r="NBY29"/>
      <c r="NBZ29"/>
      <c r="NCA29"/>
      <c r="NCB29"/>
      <c r="NCC29"/>
      <c r="NCD29"/>
      <c r="NCE29"/>
      <c r="NCF29"/>
      <c r="NCG29"/>
      <c r="NCH29"/>
      <c r="NCI29"/>
      <c r="NCJ29"/>
      <c r="NCK29"/>
      <c r="NCL29"/>
      <c r="NCM29"/>
      <c r="NCN29"/>
      <c r="NCO29"/>
      <c r="NCP29"/>
      <c r="NCQ29"/>
      <c r="NCR29"/>
      <c r="NCS29"/>
      <c r="NCT29"/>
      <c r="NCU29"/>
      <c r="NCV29"/>
      <c r="NCW29"/>
      <c r="NCX29"/>
      <c r="NCY29"/>
      <c r="NCZ29"/>
      <c r="NDA29"/>
      <c r="NDB29"/>
      <c r="NDC29"/>
      <c r="NDD29"/>
      <c r="NDE29"/>
      <c r="NDF29"/>
      <c r="NDG29"/>
      <c r="NDH29"/>
      <c r="NDI29"/>
      <c r="NDJ29"/>
      <c r="NDK29"/>
      <c r="NDL29"/>
      <c r="NDM29"/>
      <c r="NDN29"/>
      <c r="NDO29"/>
      <c r="NDP29"/>
      <c r="NDQ29"/>
      <c r="NDR29"/>
      <c r="NDS29"/>
      <c r="NDT29"/>
      <c r="NDU29"/>
      <c r="NDV29"/>
      <c r="NDW29"/>
      <c r="NDX29"/>
      <c r="NDY29"/>
      <c r="NDZ29"/>
      <c r="NEA29"/>
      <c r="NEB29"/>
      <c r="NEC29"/>
      <c r="NED29"/>
      <c r="NEE29"/>
      <c r="NEF29"/>
      <c r="NEG29"/>
      <c r="NEH29"/>
      <c r="NEI29"/>
      <c r="NEJ29"/>
      <c r="NEK29"/>
      <c r="NEL29"/>
      <c r="NEM29"/>
      <c r="NEN29"/>
      <c r="NEO29"/>
      <c r="NEP29"/>
      <c r="NEQ29"/>
      <c r="NER29"/>
      <c r="NES29"/>
      <c r="NET29"/>
      <c r="NEU29"/>
      <c r="NEV29"/>
      <c r="NEW29"/>
      <c r="NEX29"/>
      <c r="NEY29"/>
      <c r="NEZ29"/>
      <c r="NFA29"/>
      <c r="NFB29"/>
      <c r="NFC29"/>
      <c r="NFD29"/>
      <c r="NFE29"/>
      <c r="NFF29"/>
      <c r="NFG29"/>
      <c r="NFH29"/>
      <c r="NFI29"/>
      <c r="NFJ29"/>
      <c r="NFK29"/>
      <c r="NFL29"/>
      <c r="NFM29"/>
      <c r="NFN29"/>
      <c r="NFO29"/>
      <c r="NFP29"/>
      <c r="NFQ29"/>
      <c r="NFR29"/>
      <c r="NFS29"/>
      <c r="NFT29"/>
      <c r="NFU29"/>
      <c r="NFV29"/>
      <c r="NFW29"/>
      <c r="NFX29"/>
      <c r="NFY29"/>
      <c r="NFZ29"/>
      <c r="NGA29"/>
      <c r="NGB29"/>
      <c r="NGC29"/>
      <c r="NGD29"/>
      <c r="NGE29"/>
      <c r="NGF29"/>
      <c r="NGG29"/>
      <c r="NGH29"/>
      <c r="NGI29"/>
      <c r="NGJ29"/>
      <c r="NGK29"/>
      <c r="NGL29"/>
      <c r="NGM29"/>
      <c r="NGN29"/>
      <c r="NGO29"/>
      <c r="NGP29"/>
      <c r="NGQ29"/>
      <c r="NGR29"/>
      <c r="NGS29"/>
      <c r="NGT29"/>
      <c r="NGU29"/>
      <c r="NGV29"/>
      <c r="NGW29"/>
      <c r="NGX29"/>
      <c r="NGY29"/>
      <c r="NGZ29"/>
      <c r="NHA29"/>
      <c r="NHB29"/>
      <c r="NHC29"/>
      <c r="NHD29"/>
      <c r="NHE29"/>
      <c r="NHF29"/>
      <c r="NHG29"/>
      <c r="NHH29"/>
      <c r="NHI29"/>
      <c r="NHJ29"/>
      <c r="NHK29"/>
      <c r="NHL29"/>
      <c r="NHM29"/>
      <c r="NHN29"/>
      <c r="NHO29"/>
      <c r="NHP29"/>
      <c r="NHQ29"/>
      <c r="NHR29"/>
      <c r="NHS29"/>
      <c r="NHT29"/>
      <c r="NHU29"/>
      <c r="NHV29"/>
      <c r="NHW29"/>
      <c r="NHX29"/>
      <c r="NHY29"/>
      <c r="NHZ29"/>
      <c r="NIA29"/>
      <c r="NIB29"/>
      <c r="NIC29"/>
      <c r="NID29"/>
      <c r="NIE29"/>
      <c r="NIF29"/>
      <c r="NIG29"/>
      <c r="NIH29"/>
      <c r="NII29"/>
      <c r="NIJ29"/>
      <c r="NIK29"/>
      <c r="NIL29"/>
      <c r="NIM29"/>
      <c r="NIN29"/>
      <c r="NIO29"/>
      <c r="NIP29"/>
      <c r="NIQ29"/>
      <c r="NIR29"/>
      <c r="NIS29"/>
      <c r="NIT29"/>
      <c r="NIU29"/>
      <c r="NIV29"/>
      <c r="NIW29"/>
      <c r="NIX29"/>
      <c r="NIY29"/>
      <c r="NIZ29"/>
      <c r="NJA29"/>
      <c r="NJB29"/>
      <c r="NJC29"/>
      <c r="NJD29"/>
      <c r="NJE29"/>
      <c r="NJF29"/>
      <c r="NJG29"/>
      <c r="NJH29"/>
      <c r="NJI29"/>
      <c r="NJJ29"/>
      <c r="NJK29"/>
      <c r="NJL29"/>
      <c r="NJM29"/>
      <c r="NJN29"/>
      <c r="NJO29"/>
      <c r="NJP29"/>
      <c r="NJQ29"/>
      <c r="NJR29"/>
      <c r="NJS29"/>
      <c r="NJT29"/>
      <c r="NJU29"/>
      <c r="NJV29"/>
      <c r="NJW29"/>
      <c r="NJX29"/>
      <c r="NJY29"/>
      <c r="NJZ29"/>
      <c r="NKA29"/>
      <c r="NKB29"/>
      <c r="NKC29"/>
      <c r="NKD29"/>
      <c r="NKE29"/>
      <c r="NKF29"/>
      <c r="NKG29"/>
      <c r="NKH29"/>
      <c r="NKI29"/>
      <c r="NKJ29"/>
      <c r="NKK29"/>
      <c r="NKL29"/>
      <c r="NKM29"/>
      <c r="NKN29"/>
      <c r="NKO29"/>
      <c r="NKP29"/>
      <c r="NKQ29"/>
      <c r="NKR29"/>
      <c r="NKS29"/>
      <c r="NKT29"/>
      <c r="NKU29"/>
      <c r="NKV29"/>
      <c r="NKW29"/>
      <c r="NKX29"/>
      <c r="NKY29"/>
      <c r="NKZ29"/>
      <c r="NLA29"/>
      <c r="NLB29"/>
      <c r="NLC29"/>
      <c r="NLD29"/>
      <c r="NLE29"/>
      <c r="NLF29"/>
      <c r="NLG29"/>
      <c r="NLH29"/>
      <c r="NLI29"/>
      <c r="NLJ29"/>
      <c r="NLK29"/>
      <c r="NLL29"/>
      <c r="NLM29"/>
      <c r="NLN29"/>
      <c r="NLO29"/>
      <c r="NLP29"/>
      <c r="NLQ29"/>
      <c r="NLR29"/>
      <c r="NLS29"/>
      <c r="NLT29"/>
      <c r="NLU29"/>
      <c r="NLV29"/>
      <c r="NLW29"/>
      <c r="NLX29"/>
      <c r="NLY29"/>
      <c r="NLZ29"/>
      <c r="NMA29"/>
      <c r="NMB29"/>
      <c r="NMC29"/>
      <c r="NMD29"/>
      <c r="NME29"/>
      <c r="NMF29"/>
      <c r="NMG29"/>
      <c r="NMH29"/>
      <c r="NMI29"/>
      <c r="NMJ29"/>
      <c r="NMK29"/>
      <c r="NML29"/>
      <c r="NMM29"/>
      <c r="NMN29"/>
      <c r="NMO29"/>
      <c r="NMP29"/>
      <c r="NMQ29"/>
      <c r="NMR29"/>
      <c r="NMS29"/>
      <c r="NMT29"/>
      <c r="NMU29"/>
      <c r="NMV29"/>
      <c r="NMW29"/>
      <c r="NMX29"/>
      <c r="NMY29"/>
      <c r="NMZ29"/>
      <c r="NNA29"/>
      <c r="NNB29"/>
      <c r="NNC29"/>
      <c r="NND29"/>
      <c r="NNE29"/>
      <c r="NNF29"/>
      <c r="NNG29"/>
      <c r="NNH29"/>
      <c r="NNI29"/>
      <c r="NNJ29"/>
      <c r="NNK29"/>
      <c r="NNL29"/>
      <c r="NNM29"/>
      <c r="NNN29"/>
      <c r="NNO29"/>
      <c r="NNP29"/>
      <c r="NNQ29"/>
      <c r="NNR29"/>
      <c r="NNS29"/>
      <c r="NNT29"/>
      <c r="NNU29"/>
      <c r="NNV29"/>
      <c r="NNW29"/>
      <c r="NNX29"/>
      <c r="NNY29"/>
      <c r="NNZ29"/>
      <c r="NOA29"/>
      <c r="NOB29"/>
      <c r="NOC29"/>
      <c r="NOD29"/>
      <c r="NOE29"/>
      <c r="NOF29"/>
      <c r="NOG29"/>
      <c r="NOH29"/>
      <c r="NOI29"/>
      <c r="NOJ29"/>
      <c r="NOK29"/>
      <c r="NOL29"/>
      <c r="NOM29"/>
      <c r="NON29"/>
      <c r="NOO29"/>
      <c r="NOP29"/>
      <c r="NOQ29"/>
      <c r="NOR29"/>
      <c r="NOS29"/>
      <c r="NOT29"/>
      <c r="NOU29"/>
      <c r="NOV29"/>
      <c r="NOW29"/>
      <c r="NOX29"/>
      <c r="NOY29"/>
      <c r="NOZ29"/>
      <c r="NPA29"/>
      <c r="NPB29"/>
      <c r="NPC29"/>
      <c r="NPD29"/>
      <c r="NPE29"/>
      <c r="NPF29"/>
      <c r="NPG29"/>
      <c r="NPH29"/>
      <c r="NPI29"/>
      <c r="NPJ29"/>
      <c r="NPK29"/>
      <c r="NPL29"/>
      <c r="NPM29"/>
      <c r="NPN29"/>
      <c r="NPO29"/>
      <c r="NPP29"/>
      <c r="NPQ29"/>
      <c r="NPR29"/>
      <c r="NPS29"/>
      <c r="NPT29"/>
      <c r="NPU29"/>
      <c r="NPV29"/>
      <c r="NPW29"/>
      <c r="NPX29"/>
      <c r="NPY29"/>
      <c r="NPZ29"/>
      <c r="NQA29"/>
      <c r="NQB29"/>
      <c r="NQC29"/>
      <c r="NQD29"/>
      <c r="NQE29"/>
      <c r="NQF29"/>
      <c r="NQG29"/>
      <c r="NQH29"/>
      <c r="NQI29"/>
      <c r="NQJ29"/>
      <c r="NQK29"/>
      <c r="NQL29"/>
      <c r="NQM29"/>
      <c r="NQN29"/>
      <c r="NQO29"/>
      <c r="NQP29"/>
      <c r="NQQ29"/>
      <c r="NQR29"/>
      <c r="NQS29"/>
      <c r="NQT29"/>
      <c r="NQU29"/>
      <c r="NQV29"/>
      <c r="NQW29"/>
      <c r="NQX29"/>
      <c r="NQY29"/>
      <c r="NQZ29"/>
      <c r="NRA29"/>
      <c r="NRB29"/>
      <c r="NRC29"/>
      <c r="NRD29"/>
      <c r="NRE29"/>
      <c r="NRF29"/>
      <c r="NRG29"/>
      <c r="NRH29"/>
      <c r="NRI29"/>
      <c r="NRJ29"/>
      <c r="NRK29"/>
      <c r="NRL29"/>
      <c r="NRM29"/>
      <c r="NRN29"/>
      <c r="NRO29"/>
      <c r="NRP29"/>
      <c r="NRQ29"/>
      <c r="NRR29"/>
      <c r="NRS29"/>
      <c r="NRT29"/>
      <c r="NRU29"/>
      <c r="NRV29"/>
      <c r="NRW29"/>
      <c r="NRX29"/>
      <c r="NRY29"/>
      <c r="NRZ29"/>
      <c r="NSA29"/>
      <c r="NSB29"/>
      <c r="NSC29"/>
      <c r="NSD29"/>
      <c r="NSE29"/>
      <c r="NSF29"/>
      <c r="NSG29"/>
      <c r="NSH29"/>
      <c r="NSI29"/>
      <c r="NSJ29"/>
      <c r="NSK29"/>
      <c r="NSL29"/>
      <c r="NSM29"/>
      <c r="NSN29"/>
      <c r="NSO29"/>
      <c r="NSP29"/>
      <c r="NSQ29"/>
      <c r="NSR29"/>
      <c r="NSS29"/>
      <c r="NST29"/>
      <c r="NSU29"/>
      <c r="NSV29"/>
      <c r="NSW29"/>
      <c r="NSX29"/>
      <c r="NSY29"/>
      <c r="NSZ29"/>
      <c r="NTA29"/>
      <c r="NTB29"/>
      <c r="NTC29"/>
      <c r="NTD29"/>
      <c r="NTE29"/>
      <c r="NTF29"/>
      <c r="NTG29"/>
      <c r="NTH29"/>
      <c r="NTI29"/>
      <c r="NTJ29"/>
      <c r="NTK29"/>
      <c r="NTL29"/>
      <c r="NTM29"/>
      <c r="NTN29"/>
      <c r="NTO29"/>
      <c r="NTP29"/>
      <c r="NTQ29"/>
      <c r="NTR29"/>
      <c r="NTS29"/>
      <c r="NTT29"/>
      <c r="NTU29"/>
      <c r="NTV29"/>
      <c r="NTW29"/>
      <c r="NTX29"/>
      <c r="NTY29"/>
      <c r="NTZ29"/>
      <c r="NUA29"/>
      <c r="NUB29"/>
      <c r="NUC29"/>
      <c r="NUD29"/>
      <c r="NUE29"/>
      <c r="NUF29"/>
      <c r="NUG29"/>
      <c r="NUH29"/>
      <c r="NUI29"/>
      <c r="NUJ29"/>
      <c r="NUK29"/>
      <c r="NUL29"/>
      <c r="NUM29"/>
      <c r="NUN29"/>
      <c r="NUO29"/>
      <c r="NUP29"/>
      <c r="NUQ29"/>
      <c r="NUR29"/>
      <c r="NUS29"/>
      <c r="NUT29"/>
      <c r="NUU29"/>
      <c r="NUV29"/>
      <c r="NUW29"/>
      <c r="NUX29"/>
      <c r="NUY29"/>
      <c r="NUZ29"/>
      <c r="NVA29"/>
      <c r="NVB29"/>
      <c r="NVC29"/>
      <c r="NVD29"/>
      <c r="NVE29"/>
      <c r="NVF29"/>
      <c r="NVG29"/>
      <c r="NVH29"/>
      <c r="NVI29"/>
      <c r="NVJ29"/>
      <c r="NVK29"/>
      <c r="NVL29"/>
      <c r="NVM29"/>
      <c r="NVN29"/>
      <c r="NVO29"/>
      <c r="NVP29"/>
      <c r="NVQ29"/>
      <c r="NVR29"/>
      <c r="NVS29"/>
      <c r="NVT29"/>
      <c r="NVU29"/>
      <c r="NVV29"/>
      <c r="NVW29"/>
      <c r="NVX29"/>
      <c r="NVY29"/>
      <c r="NVZ29"/>
      <c r="NWA29"/>
      <c r="NWB29"/>
      <c r="NWC29"/>
      <c r="NWD29"/>
      <c r="NWE29"/>
      <c r="NWF29"/>
      <c r="NWG29"/>
      <c r="NWH29"/>
      <c r="NWI29"/>
      <c r="NWJ29"/>
      <c r="NWK29"/>
      <c r="NWL29"/>
      <c r="NWM29"/>
      <c r="NWN29"/>
      <c r="NWO29"/>
      <c r="NWP29"/>
      <c r="NWQ29"/>
      <c r="NWR29"/>
      <c r="NWS29"/>
      <c r="NWT29"/>
      <c r="NWU29"/>
      <c r="NWV29"/>
      <c r="NWW29"/>
      <c r="NWX29"/>
      <c r="NWY29"/>
      <c r="NWZ29"/>
      <c r="NXA29"/>
      <c r="NXB29"/>
      <c r="NXC29"/>
      <c r="NXD29"/>
      <c r="NXE29"/>
      <c r="NXF29"/>
      <c r="NXG29"/>
      <c r="NXH29"/>
      <c r="NXI29"/>
      <c r="NXJ29"/>
      <c r="NXK29"/>
      <c r="NXL29"/>
      <c r="NXM29"/>
      <c r="NXN29"/>
      <c r="NXO29"/>
      <c r="NXP29"/>
      <c r="NXQ29"/>
      <c r="NXR29"/>
      <c r="NXS29"/>
      <c r="NXT29"/>
      <c r="NXU29"/>
      <c r="NXV29"/>
      <c r="NXW29"/>
      <c r="NXX29"/>
      <c r="NXY29"/>
      <c r="NXZ29"/>
      <c r="NYA29"/>
      <c r="NYB29"/>
      <c r="NYC29"/>
      <c r="NYD29"/>
      <c r="NYE29"/>
      <c r="NYF29"/>
      <c r="NYG29"/>
      <c r="NYH29"/>
      <c r="NYI29"/>
      <c r="NYJ29"/>
      <c r="NYK29"/>
      <c r="NYL29"/>
      <c r="NYM29"/>
      <c r="NYN29"/>
      <c r="NYO29"/>
      <c r="NYP29"/>
      <c r="NYQ29"/>
      <c r="NYR29"/>
      <c r="NYS29"/>
      <c r="NYT29"/>
      <c r="NYU29"/>
      <c r="NYV29"/>
      <c r="NYW29"/>
      <c r="NYX29"/>
      <c r="NYY29"/>
      <c r="NYZ29"/>
      <c r="NZA29"/>
      <c r="NZB29"/>
      <c r="NZC29"/>
      <c r="NZD29"/>
      <c r="NZE29"/>
      <c r="NZF29"/>
      <c r="NZG29"/>
      <c r="NZH29"/>
      <c r="NZI29"/>
      <c r="NZJ29"/>
      <c r="NZK29"/>
      <c r="NZL29"/>
      <c r="NZM29"/>
      <c r="NZN29"/>
      <c r="NZO29"/>
      <c r="NZP29"/>
      <c r="NZQ29"/>
      <c r="NZR29"/>
      <c r="NZS29"/>
      <c r="NZT29"/>
      <c r="NZU29"/>
      <c r="NZV29"/>
      <c r="NZW29"/>
      <c r="NZX29"/>
      <c r="NZY29"/>
      <c r="NZZ29"/>
      <c r="OAA29"/>
      <c r="OAB29"/>
      <c r="OAC29"/>
      <c r="OAD29"/>
      <c r="OAE29"/>
      <c r="OAF29"/>
      <c r="OAG29"/>
      <c r="OAH29"/>
      <c r="OAI29"/>
      <c r="OAJ29"/>
      <c r="OAK29"/>
      <c r="OAL29"/>
      <c r="OAM29"/>
      <c r="OAN29"/>
      <c r="OAO29"/>
      <c r="OAP29"/>
      <c r="OAQ29"/>
      <c r="OAR29"/>
      <c r="OAS29"/>
      <c r="OAT29"/>
      <c r="OAU29"/>
      <c r="OAV29"/>
      <c r="OAW29"/>
      <c r="OAX29"/>
      <c r="OAY29"/>
      <c r="OAZ29"/>
      <c r="OBA29"/>
      <c r="OBB29"/>
      <c r="OBC29"/>
      <c r="OBD29"/>
      <c r="OBE29"/>
      <c r="OBF29"/>
      <c r="OBG29"/>
      <c r="OBH29"/>
      <c r="OBI29"/>
      <c r="OBJ29"/>
      <c r="OBK29"/>
      <c r="OBL29"/>
      <c r="OBM29"/>
      <c r="OBN29"/>
      <c r="OBO29"/>
      <c r="OBP29"/>
      <c r="OBQ29"/>
      <c r="OBR29"/>
      <c r="OBS29"/>
      <c r="OBT29"/>
      <c r="OBU29"/>
      <c r="OBV29"/>
      <c r="OBW29"/>
      <c r="OBX29"/>
      <c r="OBY29"/>
      <c r="OBZ29"/>
      <c r="OCA29"/>
      <c r="OCB29"/>
      <c r="OCC29"/>
      <c r="OCD29"/>
      <c r="OCE29"/>
      <c r="OCF29"/>
      <c r="OCG29"/>
      <c r="OCH29"/>
      <c r="OCI29"/>
      <c r="OCJ29"/>
      <c r="OCK29"/>
      <c r="OCL29"/>
      <c r="OCM29"/>
      <c r="OCN29"/>
      <c r="OCO29"/>
      <c r="OCP29"/>
      <c r="OCQ29"/>
      <c r="OCR29"/>
      <c r="OCS29"/>
      <c r="OCT29"/>
      <c r="OCU29"/>
      <c r="OCV29"/>
      <c r="OCW29"/>
      <c r="OCX29"/>
      <c r="OCY29"/>
      <c r="OCZ29"/>
      <c r="ODA29"/>
      <c r="ODB29"/>
      <c r="ODC29"/>
      <c r="ODD29"/>
      <c r="ODE29"/>
      <c r="ODF29"/>
      <c r="ODG29"/>
      <c r="ODH29"/>
      <c r="ODI29"/>
      <c r="ODJ29"/>
      <c r="ODK29"/>
      <c r="ODL29"/>
      <c r="ODM29"/>
      <c r="ODN29"/>
      <c r="ODO29"/>
      <c r="ODP29"/>
      <c r="ODQ29"/>
      <c r="ODR29"/>
      <c r="ODS29"/>
      <c r="ODT29"/>
      <c r="ODU29"/>
      <c r="ODV29"/>
      <c r="ODW29"/>
      <c r="ODX29"/>
      <c r="ODY29"/>
      <c r="ODZ29"/>
      <c r="OEA29"/>
      <c r="OEB29"/>
      <c r="OEC29"/>
      <c r="OED29"/>
      <c r="OEE29"/>
      <c r="OEF29"/>
      <c r="OEG29"/>
      <c r="OEH29"/>
      <c r="OEI29"/>
      <c r="OEJ29"/>
      <c r="OEK29"/>
      <c r="OEL29"/>
      <c r="OEM29"/>
      <c r="OEN29"/>
      <c r="OEO29"/>
      <c r="OEP29"/>
      <c r="OEQ29"/>
      <c r="OER29"/>
      <c r="OES29"/>
      <c r="OET29"/>
      <c r="OEU29"/>
      <c r="OEV29"/>
      <c r="OEW29"/>
      <c r="OEX29"/>
      <c r="OEY29"/>
      <c r="OEZ29"/>
      <c r="OFA29"/>
      <c r="OFB29"/>
      <c r="OFC29"/>
      <c r="OFD29"/>
      <c r="OFE29"/>
      <c r="OFF29"/>
      <c r="OFG29"/>
      <c r="OFH29"/>
      <c r="OFI29"/>
      <c r="OFJ29"/>
      <c r="OFK29"/>
      <c r="OFL29"/>
      <c r="OFM29"/>
      <c r="OFN29"/>
      <c r="OFO29"/>
      <c r="OFP29"/>
      <c r="OFQ29"/>
      <c r="OFR29"/>
      <c r="OFS29"/>
      <c r="OFT29"/>
      <c r="OFU29"/>
      <c r="OFV29"/>
      <c r="OFW29"/>
      <c r="OFX29"/>
      <c r="OFY29"/>
      <c r="OFZ29"/>
      <c r="OGA29"/>
      <c r="OGB29"/>
      <c r="OGC29"/>
      <c r="OGD29"/>
      <c r="OGE29"/>
      <c r="OGF29"/>
      <c r="OGG29"/>
      <c r="OGH29"/>
      <c r="OGI29"/>
      <c r="OGJ29"/>
      <c r="OGK29"/>
      <c r="OGL29"/>
      <c r="OGM29"/>
      <c r="OGN29"/>
      <c r="OGO29"/>
      <c r="OGP29"/>
      <c r="OGQ29"/>
      <c r="OGR29"/>
      <c r="OGS29"/>
      <c r="OGT29"/>
      <c r="OGU29"/>
      <c r="OGV29"/>
      <c r="OGW29"/>
      <c r="OGX29"/>
      <c r="OGY29"/>
      <c r="OGZ29"/>
      <c r="OHA29"/>
      <c r="OHB29"/>
      <c r="OHC29"/>
      <c r="OHD29"/>
      <c r="OHE29"/>
      <c r="OHF29"/>
      <c r="OHG29"/>
      <c r="OHH29"/>
      <c r="OHI29"/>
      <c r="OHJ29"/>
      <c r="OHK29"/>
      <c r="OHL29"/>
      <c r="OHM29"/>
      <c r="OHN29"/>
      <c r="OHO29"/>
      <c r="OHP29"/>
      <c r="OHQ29"/>
      <c r="OHR29"/>
      <c r="OHS29"/>
      <c r="OHT29"/>
      <c r="OHU29"/>
      <c r="OHV29"/>
      <c r="OHW29"/>
      <c r="OHX29"/>
      <c r="OHY29"/>
      <c r="OHZ29"/>
      <c r="OIA29"/>
      <c r="OIB29"/>
      <c r="OIC29"/>
      <c r="OID29"/>
      <c r="OIE29"/>
      <c r="OIF29"/>
      <c r="OIG29"/>
      <c r="OIH29"/>
      <c r="OII29"/>
      <c r="OIJ29"/>
      <c r="OIK29"/>
      <c r="OIL29"/>
      <c r="OIM29"/>
      <c r="OIN29"/>
      <c r="OIO29"/>
      <c r="OIP29"/>
      <c r="OIQ29"/>
      <c r="OIR29"/>
      <c r="OIS29"/>
      <c r="OIT29"/>
      <c r="OIU29"/>
      <c r="OIV29"/>
      <c r="OIW29"/>
      <c r="OIX29"/>
      <c r="OIY29"/>
      <c r="OIZ29"/>
      <c r="OJA29"/>
      <c r="OJB29"/>
      <c r="OJC29"/>
      <c r="OJD29"/>
      <c r="OJE29"/>
      <c r="OJF29"/>
      <c r="OJG29"/>
      <c r="OJH29"/>
      <c r="OJI29"/>
      <c r="OJJ29"/>
      <c r="OJK29"/>
      <c r="OJL29"/>
      <c r="OJM29"/>
      <c r="OJN29"/>
      <c r="OJO29"/>
      <c r="OJP29"/>
      <c r="OJQ29"/>
      <c r="OJR29"/>
      <c r="OJS29"/>
      <c r="OJT29"/>
      <c r="OJU29"/>
      <c r="OJV29"/>
      <c r="OJW29"/>
      <c r="OJX29"/>
      <c r="OJY29"/>
      <c r="OJZ29"/>
      <c r="OKA29"/>
      <c r="OKB29"/>
      <c r="OKC29"/>
      <c r="OKD29"/>
      <c r="OKE29"/>
      <c r="OKF29"/>
      <c r="OKG29"/>
      <c r="OKH29"/>
      <c r="OKI29"/>
      <c r="OKJ29"/>
      <c r="OKK29"/>
      <c r="OKL29"/>
      <c r="OKM29"/>
      <c r="OKN29"/>
      <c r="OKO29"/>
      <c r="OKP29"/>
      <c r="OKQ29"/>
      <c r="OKR29"/>
      <c r="OKS29"/>
      <c r="OKT29"/>
      <c r="OKU29"/>
      <c r="OKV29"/>
      <c r="OKW29"/>
      <c r="OKX29"/>
      <c r="OKY29"/>
      <c r="OKZ29"/>
      <c r="OLA29"/>
      <c r="OLB29"/>
      <c r="OLC29"/>
      <c r="OLD29"/>
      <c r="OLE29"/>
      <c r="OLF29"/>
      <c r="OLG29"/>
      <c r="OLH29"/>
      <c r="OLI29"/>
      <c r="OLJ29"/>
      <c r="OLK29"/>
      <c r="OLL29"/>
      <c r="OLM29"/>
      <c r="OLN29"/>
      <c r="OLO29"/>
      <c r="OLP29"/>
      <c r="OLQ29"/>
      <c r="OLR29"/>
      <c r="OLS29"/>
      <c r="OLT29"/>
      <c r="OLU29"/>
      <c r="OLV29"/>
      <c r="OLW29"/>
      <c r="OLX29"/>
      <c r="OLY29"/>
      <c r="OLZ29"/>
      <c r="OMA29"/>
      <c r="OMB29"/>
      <c r="OMC29"/>
      <c r="OMD29"/>
      <c r="OME29"/>
      <c r="OMF29"/>
      <c r="OMG29"/>
      <c r="OMH29"/>
      <c r="OMI29"/>
      <c r="OMJ29"/>
      <c r="OMK29"/>
      <c r="OML29"/>
      <c r="OMM29"/>
      <c r="OMN29"/>
      <c r="OMO29"/>
      <c r="OMP29"/>
      <c r="OMQ29"/>
      <c r="OMR29"/>
      <c r="OMS29"/>
      <c r="OMT29"/>
      <c r="OMU29"/>
      <c r="OMV29"/>
      <c r="OMW29"/>
      <c r="OMX29"/>
      <c r="OMY29"/>
      <c r="OMZ29"/>
      <c r="ONA29"/>
      <c r="ONB29"/>
      <c r="ONC29"/>
      <c r="OND29"/>
      <c r="ONE29"/>
      <c r="ONF29"/>
      <c r="ONG29"/>
      <c r="ONH29"/>
      <c r="ONI29"/>
      <c r="ONJ29"/>
      <c r="ONK29"/>
      <c r="ONL29"/>
      <c r="ONM29"/>
      <c r="ONN29"/>
      <c r="ONO29"/>
      <c r="ONP29"/>
      <c r="ONQ29"/>
      <c r="ONR29"/>
      <c r="ONS29"/>
      <c r="ONT29"/>
      <c r="ONU29"/>
      <c r="ONV29"/>
      <c r="ONW29"/>
      <c r="ONX29"/>
      <c r="ONY29"/>
      <c r="ONZ29"/>
      <c r="OOA29"/>
      <c r="OOB29"/>
      <c r="OOC29"/>
      <c r="OOD29"/>
      <c r="OOE29"/>
      <c r="OOF29"/>
      <c r="OOG29"/>
      <c r="OOH29"/>
      <c r="OOI29"/>
      <c r="OOJ29"/>
      <c r="OOK29"/>
      <c r="OOL29"/>
      <c r="OOM29"/>
      <c r="OON29"/>
      <c r="OOO29"/>
      <c r="OOP29"/>
      <c r="OOQ29"/>
      <c r="OOR29"/>
      <c r="OOS29"/>
      <c r="OOT29"/>
      <c r="OOU29"/>
      <c r="OOV29"/>
      <c r="OOW29"/>
      <c r="OOX29"/>
      <c r="OOY29"/>
      <c r="OOZ29"/>
      <c r="OPA29"/>
      <c r="OPB29"/>
      <c r="OPC29"/>
      <c r="OPD29"/>
      <c r="OPE29"/>
      <c r="OPF29"/>
      <c r="OPG29"/>
      <c r="OPH29"/>
      <c r="OPI29"/>
      <c r="OPJ29"/>
      <c r="OPK29"/>
      <c r="OPL29"/>
      <c r="OPM29"/>
      <c r="OPN29"/>
      <c r="OPO29"/>
      <c r="OPP29"/>
      <c r="OPQ29"/>
      <c r="OPR29"/>
      <c r="OPS29"/>
      <c r="OPT29"/>
      <c r="OPU29"/>
      <c r="OPV29"/>
      <c r="OPW29"/>
      <c r="OPX29"/>
      <c r="OPY29"/>
      <c r="OPZ29"/>
      <c r="OQA29"/>
      <c r="OQB29"/>
      <c r="OQC29"/>
      <c r="OQD29"/>
      <c r="OQE29"/>
      <c r="OQF29"/>
      <c r="OQG29"/>
      <c r="OQH29"/>
      <c r="OQI29"/>
      <c r="OQJ29"/>
      <c r="OQK29"/>
      <c r="OQL29"/>
      <c r="OQM29"/>
      <c r="OQN29"/>
      <c r="OQO29"/>
      <c r="OQP29"/>
      <c r="OQQ29"/>
      <c r="OQR29"/>
      <c r="OQS29"/>
      <c r="OQT29"/>
      <c r="OQU29"/>
      <c r="OQV29"/>
      <c r="OQW29"/>
      <c r="OQX29"/>
      <c r="OQY29"/>
      <c r="OQZ29"/>
      <c r="ORA29"/>
      <c r="ORB29"/>
      <c r="ORC29"/>
      <c r="ORD29"/>
      <c r="ORE29"/>
      <c r="ORF29"/>
      <c r="ORG29"/>
      <c r="ORH29"/>
      <c r="ORI29"/>
      <c r="ORJ29"/>
      <c r="ORK29"/>
      <c r="ORL29"/>
      <c r="ORM29"/>
      <c r="ORN29"/>
      <c r="ORO29"/>
      <c r="ORP29"/>
      <c r="ORQ29"/>
      <c r="ORR29"/>
      <c r="ORS29"/>
      <c r="ORT29"/>
      <c r="ORU29"/>
      <c r="ORV29"/>
      <c r="ORW29"/>
      <c r="ORX29"/>
      <c r="ORY29"/>
      <c r="ORZ29"/>
      <c r="OSA29"/>
      <c r="OSB29"/>
      <c r="OSC29"/>
      <c r="OSD29"/>
      <c r="OSE29"/>
      <c r="OSF29"/>
      <c r="OSG29"/>
      <c r="OSH29"/>
      <c r="OSI29"/>
      <c r="OSJ29"/>
      <c r="OSK29"/>
      <c r="OSL29"/>
      <c r="OSM29"/>
      <c r="OSN29"/>
      <c r="OSO29"/>
      <c r="OSP29"/>
      <c r="OSQ29"/>
      <c r="OSR29"/>
      <c r="OSS29"/>
      <c r="OST29"/>
      <c r="OSU29"/>
      <c r="OSV29"/>
      <c r="OSW29"/>
      <c r="OSX29"/>
      <c r="OSY29"/>
      <c r="OSZ29"/>
      <c r="OTA29"/>
      <c r="OTB29"/>
      <c r="OTC29"/>
      <c r="OTD29"/>
      <c r="OTE29"/>
      <c r="OTF29"/>
      <c r="OTG29"/>
      <c r="OTH29"/>
      <c r="OTI29"/>
      <c r="OTJ29"/>
      <c r="OTK29"/>
      <c r="OTL29"/>
      <c r="OTM29"/>
      <c r="OTN29"/>
      <c r="OTO29"/>
      <c r="OTP29"/>
      <c r="OTQ29"/>
      <c r="OTR29"/>
      <c r="OTS29"/>
      <c r="OTT29"/>
      <c r="OTU29"/>
      <c r="OTV29"/>
      <c r="OTW29"/>
      <c r="OTX29"/>
      <c r="OTY29"/>
      <c r="OTZ29"/>
      <c r="OUA29"/>
      <c r="OUB29"/>
      <c r="OUC29"/>
      <c r="OUD29"/>
      <c r="OUE29"/>
      <c r="OUF29"/>
      <c r="OUG29"/>
      <c r="OUH29"/>
      <c r="OUI29"/>
      <c r="OUJ29"/>
      <c r="OUK29"/>
      <c r="OUL29"/>
      <c r="OUM29"/>
      <c r="OUN29"/>
      <c r="OUO29"/>
      <c r="OUP29"/>
      <c r="OUQ29"/>
      <c r="OUR29"/>
      <c r="OUS29"/>
      <c r="OUT29"/>
      <c r="OUU29"/>
      <c r="OUV29"/>
      <c r="OUW29"/>
      <c r="OUX29"/>
      <c r="OUY29"/>
      <c r="OUZ29"/>
      <c r="OVA29"/>
      <c r="OVB29"/>
      <c r="OVC29"/>
      <c r="OVD29"/>
      <c r="OVE29"/>
      <c r="OVF29"/>
      <c r="OVG29"/>
      <c r="OVH29"/>
      <c r="OVI29"/>
      <c r="OVJ29"/>
      <c r="OVK29"/>
      <c r="OVL29"/>
      <c r="OVM29"/>
      <c r="OVN29"/>
      <c r="OVO29"/>
      <c r="OVP29"/>
      <c r="OVQ29"/>
      <c r="OVR29"/>
      <c r="OVS29"/>
      <c r="OVT29"/>
      <c r="OVU29"/>
      <c r="OVV29"/>
      <c r="OVW29"/>
      <c r="OVX29"/>
      <c r="OVY29"/>
      <c r="OVZ29"/>
      <c r="OWA29"/>
      <c r="OWB29"/>
      <c r="OWC29"/>
      <c r="OWD29"/>
      <c r="OWE29"/>
      <c r="OWF29"/>
      <c r="OWG29"/>
      <c r="OWH29"/>
      <c r="OWI29"/>
      <c r="OWJ29"/>
      <c r="OWK29"/>
      <c r="OWL29"/>
      <c r="OWM29"/>
      <c r="OWN29"/>
      <c r="OWO29"/>
      <c r="OWP29"/>
      <c r="OWQ29"/>
      <c r="OWR29"/>
      <c r="OWS29"/>
      <c r="OWT29"/>
      <c r="OWU29"/>
      <c r="OWV29"/>
      <c r="OWW29"/>
      <c r="OWX29"/>
      <c r="OWY29"/>
      <c r="OWZ29"/>
      <c r="OXA29"/>
      <c r="OXB29"/>
      <c r="OXC29"/>
      <c r="OXD29"/>
      <c r="OXE29"/>
      <c r="OXF29"/>
      <c r="OXG29"/>
      <c r="OXH29"/>
      <c r="OXI29"/>
      <c r="OXJ29"/>
      <c r="OXK29"/>
      <c r="OXL29"/>
      <c r="OXM29"/>
      <c r="OXN29"/>
      <c r="OXO29"/>
      <c r="OXP29"/>
      <c r="OXQ29"/>
      <c r="OXR29"/>
      <c r="OXS29"/>
      <c r="OXT29"/>
      <c r="OXU29"/>
      <c r="OXV29"/>
      <c r="OXW29"/>
      <c r="OXX29"/>
      <c r="OXY29"/>
      <c r="OXZ29"/>
      <c r="OYA29"/>
      <c r="OYB29"/>
      <c r="OYC29"/>
      <c r="OYD29"/>
      <c r="OYE29"/>
      <c r="OYF29"/>
      <c r="OYG29"/>
      <c r="OYH29"/>
      <c r="OYI29"/>
      <c r="OYJ29"/>
      <c r="OYK29"/>
      <c r="OYL29"/>
      <c r="OYM29"/>
      <c r="OYN29"/>
      <c r="OYO29"/>
      <c r="OYP29"/>
      <c r="OYQ29"/>
      <c r="OYR29"/>
      <c r="OYS29"/>
      <c r="OYT29"/>
      <c r="OYU29"/>
      <c r="OYV29"/>
      <c r="OYW29"/>
      <c r="OYX29"/>
      <c r="OYY29"/>
      <c r="OYZ29"/>
      <c r="OZA29"/>
      <c r="OZB29"/>
      <c r="OZC29"/>
      <c r="OZD29"/>
      <c r="OZE29"/>
      <c r="OZF29"/>
      <c r="OZG29"/>
      <c r="OZH29"/>
      <c r="OZI29"/>
      <c r="OZJ29"/>
      <c r="OZK29"/>
      <c r="OZL29"/>
      <c r="OZM29"/>
      <c r="OZN29"/>
      <c r="OZO29"/>
      <c r="OZP29"/>
      <c r="OZQ29"/>
      <c r="OZR29"/>
      <c r="OZS29"/>
      <c r="OZT29"/>
      <c r="OZU29"/>
      <c r="OZV29"/>
      <c r="OZW29"/>
      <c r="OZX29"/>
      <c r="OZY29"/>
      <c r="OZZ29"/>
      <c r="PAA29"/>
      <c r="PAB29"/>
      <c r="PAC29"/>
      <c r="PAD29"/>
      <c r="PAE29"/>
      <c r="PAF29"/>
      <c r="PAG29"/>
      <c r="PAH29"/>
      <c r="PAI29"/>
      <c r="PAJ29"/>
      <c r="PAK29"/>
      <c r="PAL29"/>
      <c r="PAM29"/>
      <c r="PAN29"/>
      <c r="PAO29"/>
      <c r="PAP29"/>
      <c r="PAQ29"/>
      <c r="PAR29"/>
      <c r="PAS29"/>
      <c r="PAT29"/>
      <c r="PAU29"/>
      <c r="PAV29"/>
      <c r="PAW29"/>
      <c r="PAX29"/>
      <c r="PAY29"/>
      <c r="PAZ29"/>
      <c r="PBA29"/>
      <c r="PBB29"/>
      <c r="PBC29"/>
      <c r="PBD29"/>
      <c r="PBE29"/>
      <c r="PBF29"/>
      <c r="PBG29"/>
      <c r="PBH29"/>
      <c r="PBI29"/>
      <c r="PBJ29"/>
      <c r="PBK29"/>
      <c r="PBL29"/>
      <c r="PBM29"/>
      <c r="PBN29"/>
      <c r="PBO29"/>
      <c r="PBP29"/>
      <c r="PBQ29"/>
      <c r="PBR29"/>
      <c r="PBS29"/>
      <c r="PBT29"/>
      <c r="PBU29"/>
      <c r="PBV29"/>
      <c r="PBW29"/>
      <c r="PBX29"/>
      <c r="PBY29"/>
      <c r="PBZ29"/>
      <c r="PCA29"/>
      <c r="PCB29"/>
      <c r="PCC29"/>
      <c r="PCD29"/>
      <c r="PCE29"/>
      <c r="PCF29"/>
      <c r="PCG29"/>
      <c r="PCH29"/>
      <c r="PCI29"/>
      <c r="PCJ29"/>
      <c r="PCK29"/>
      <c r="PCL29"/>
      <c r="PCM29"/>
      <c r="PCN29"/>
      <c r="PCO29"/>
      <c r="PCP29"/>
      <c r="PCQ29"/>
      <c r="PCR29"/>
      <c r="PCS29"/>
      <c r="PCT29"/>
      <c r="PCU29"/>
      <c r="PCV29"/>
      <c r="PCW29"/>
      <c r="PCX29"/>
      <c r="PCY29"/>
      <c r="PCZ29"/>
      <c r="PDA29"/>
      <c r="PDB29"/>
      <c r="PDC29"/>
      <c r="PDD29"/>
      <c r="PDE29"/>
      <c r="PDF29"/>
      <c r="PDG29"/>
      <c r="PDH29"/>
      <c r="PDI29"/>
      <c r="PDJ29"/>
      <c r="PDK29"/>
      <c r="PDL29"/>
      <c r="PDM29"/>
      <c r="PDN29"/>
      <c r="PDO29"/>
      <c r="PDP29"/>
      <c r="PDQ29"/>
      <c r="PDR29"/>
      <c r="PDS29"/>
      <c r="PDT29"/>
      <c r="PDU29"/>
      <c r="PDV29"/>
      <c r="PDW29"/>
      <c r="PDX29"/>
      <c r="PDY29"/>
      <c r="PDZ29"/>
      <c r="PEA29"/>
      <c r="PEB29"/>
      <c r="PEC29"/>
      <c r="PED29"/>
      <c r="PEE29"/>
      <c r="PEF29"/>
      <c r="PEG29"/>
      <c r="PEH29"/>
      <c r="PEI29"/>
      <c r="PEJ29"/>
      <c r="PEK29"/>
      <c r="PEL29"/>
      <c r="PEM29"/>
      <c r="PEN29"/>
      <c r="PEO29"/>
      <c r="PEP29"/>
      <c r="PEQ29"/>
      <c r="PER29"/>
      <c r="PES29"/>
      <c r="PET29"/>
      <c r="PEU29"/>
      <c r="PEV29"/>
      <c r="PEW29"/>
      <c r="PEX29"/>
      <c r="PEY29"/>
      <c r="PEZ29"/>
      <c r="PFA29"/>
      <c r="PFB29"/>
      <c r="PFC29"/>
      <c r="PFD29"/>
      <c r="PFE29"/>
      <c r="PFF29"/>
      <c r="PFG29"/>
      <c r="PFH29"/>
      <c r="PFI29"/>
      <c r="PFJ29"/>
      <c r="PFK29"/>
      <c r="PFL29"/>
      <c r="PFM29"/>
      <c r="PFN29"/>
      <c r="PFO29"/>
      <c r="PFP29"/>
      <c r="PFQ29"/>
      <c r="PFR29"/>
      <c r="PFS29"/>
      <c r="PFT29"/>
      <c r="PFU29"/>
      <c r="PFV29"/>
      <c r="PFW29"/>
      <c r="PFX29"/>
      <c r="PFY29"/>
      <c r="PFZ29"/>
      <c r="PGA29"/>
      <c r="PGB29"/>
      <c r="PGC29"/>
      <c r="PGD29"/>
      <c r="PGE29"/>
      <c r="PGF29"/>
      <c r="PGG29"/>
      <c r="PGH29"/>
      <c r="PGI29"/>
      <c r="PGJ29"/>
      <c r="PGK29"/>
      <c r="PGL29"/>
      <c r="PGM29"/>
      <c r="PGN29"/>
      <c r="PGO29"/>
      <c r="PGP29"/>
      <c r="PGQ29"/>
      <c r="PGR29"/>
      <c r="PGS29"/>
      <c r="PGT29"/>
      <c r="PGU29"/>
      <c r="PGV29"/>
      <c r="PGW29"/>
      <c r="PGX29"/>
      <c r="PGY29"/>
      <c r="PGZ29"/>
      <c r="PHA29"/>
      <c r="PHB29"/>
      <c r="PHC29"/>
      <c r="PHD29"/>
      <c r="PHE29"/>
      <c r="PHF29"/>
      <c r="PHG29"/>
      <c r="PHH29"/>
      <c r="PHI29"/>
      <c r="PHJ29"/>
      <c r="PHK29"/>
      <c r="PHL29"/>
      <c r="PHM29"/>
      <c r="PHN29"/>
      <c r="PHO29"/>
      <c r="PHP29"/>
      <c r="PHQ29"/>
      <c r="PHR29"/>
      <c r="PHS29"/>
      <c r="PHT29"/>
      <c r="PHU29"/>
      <c r="PHV29"/>
      <c r="PHW29"/>
      <c r="PHX29"/>
      <c r="PHY29"/>
      <c r="PHZ29"/>
      <c r="PIA29"/>
      <c r="PIB29"/>
      <c r="PIC29"/>
      <c r="PID29"/>
      <c r="PIE29"/>
      <c r="PIF29"/>
      <c r="PIG29"/>
      <c r="PIH29"/>
      <c r="PII29"/>
      <c r="PIJ29"/>
      <c r="PIK29"/>
      <c r="PIL29"/>
      <c r="PIM29"/>
      <c r="PIN29"/>
      <c r="PIO29"/>
      <c r="PIP29"/>
      <c r="PIQ29"/>
      <c r="PIR29"/>
      <c r="PIS29"/>
      <c r="PIT29"/>
      <c r="PIU29"/>
      <c r="PIV29"/>
      <c r="PIW29"/>
      <c r="PIX29"/>
      <c r="PIY29"/>
      <c r="PIZ29"/>
      <c r="PJA29"/>
      <c r="PJB29"/>
      <c r="PJC29"/>
      <c r="PJD29"/>
      <c r="PJE29"/>
      <c r="PJF29"/>
      <c r="PJG29"/>
      <c r="PJH29"/>
      <c r="PJI29"/>
      <c r="PJJ29"/>
      <c r="PJK29"/>
      <c r="PJL29"/>
      <c r="PJM29"/>
      <c r="PJN29"/>
      <c r="PJO29"/>
      <c r="PJP29"/>
      <c r="PJQ29"/>
      <c r="PJR29"/>
      <c r="PJS29"/>
      <c r="PJT29"/>
      <c r="PJU29"/>
      <c r="PJV29"/>
      <c r="PJW29"/>
      <c r="PJX29"/>
      <c r="PJY29"/>
      <c r="PJZ29"/>
      <c r="PKA29"/>
      <c r="PKB29"/>
      <c r="PKC29"/>
      <c r="PKD29"/>
      <c r="PKE29"/>
      <c r="PKF29"/>
      <c r="PKG29"/>
      <c r="PKH29"/>
      <c r="PKI29"/>
      <c r="PKJ29"/>
      <c r="PKK29"/>
      <c r="PKL29"/>
      <c r="PKM29"/>
      <c r="PKN29"/>
      <c r="PKO29"/>
      <c r="PKP29"/>
      <c r="PKQ29"/>
      <c r="PKR29"/>
      <c r="PKS29"/>
      <c r="PKT29"/>
      <c r="PKU29"/>
      <c r="PKV29"/>
      <c r="PKW29"/>
      <c r="PKX29"/>
      <c r="PKY29"/>
      <c r="PKZ29"/>
      <c r="PLA29"/>
      <c r="PLB29"/>
      <c r="PLC29"/>
      <c r="PLD29"/>
      <c r="PLE29"/>
      <c r="PLF29"/>
      <c r="PLG29"/>
      <c r="PLH29"/>
      <c r="PLI29"/>
      <c r="PLJ29"/>
      <c r="PLK29"/>
      <c r="PLL29"/>
      <c r="PLM29"/>
      <c r="PLN29"/>
      <c r="PLO29"/>
      <c r="PLP29"/>
      <c r="PLQ29"/>
      <c r="PLR29"/>
      <c r="PLS29"/>
      <c r="PLT29"/>
      <c r="PLU29"/>
      <c r="PLV29"/>
      <c r="PLW29"/>
      <c r="PLX29"/>
      <c r="PLY29"/>
      <c r="PLZ29"/>
      <c r="PMA29"/>
      <c r="PMB29"/>
      <c r="PMC29"/>
      <c r="PMD29"/>
      <c r="PME29"/>
      <c r="PMF29"/>
      <c r="PMG29"/>
      <c r="PMH29"/>
      <c r="PMI29"/>
      <c r="PMJ29"/>
      <c r="PMK29"/>
      <c r="PML29"/>
      <c r="PMM29"/>
      <c r="PMN29"/>
      <c r="PMO29"/>
      <c r="PMP29"/>
      <c r="PMQ29"/>
      <c r="PMR29"/>
      <c r="PMS29"/>
      <c r="PMT29"/>
      <c r="PMU29"/>
      <c r="PMV29"/>
      <c r="PMW29"/>
      <c r="PMX29"/>
      <c r="PMY29"/>
      <c r="PMZ29"/>
      <c r="PNA29"/>
      <c r="PNB29"/>
      <c r="PNC29"/>
      <c r="PND29"/>
      <c r="PNE29"/>
      <c r="PNF29"/>
      <c r="PNG29"/>
      <c r="PNH29"/>
      <c r="PNI29"/>
      <c r="PNJ29"/>
      <c r="PNK29"/>
      <c r="PNL29"/>
      <c r="PNM29"/>
      <c r="PNN29"/>
      <c r="PNO29"/>
      <c r="PNP29"/>
      <c r="PNQ29"/>
      <c r="PNR29"/>
      <c r="PNS29"/>
      <c r="PNT29"/>
      <c r="PNU29"/>
      <c r="PNV29"/>
      <c r="PNW29"/>
      <c r="PNX29"/>
      <c r="PNY29"/>
      <c r="PNZ29"/>
      <c r="POA29"/>
      <c r="POB29"/>
      <c r="POC29"/>
      <c r="POD29"/>
      <c r="POE29"/>
      <c r="POF29"/>
      <c r="POG29"/>
      <c r="POH29"/>
      <c r="POI29"/>
      <c r="POJ29"/>
      <c r="POK29"/>
      <c r="POL29"/>
      <c r="POM29"/>
      <c r="PON29"/>
      <c r="POO29"/>
      <c r="POP29"/>
      <c r="POQ29"/>
      <c r="POR29"/>
      <c r="POS29"/>
      <c r="POT29"/>
      <c r="POU29"/>
      <c r="POV29"/>
      <c r="POW29"/>
      <c r="POX29"/>
      <c r="POY29"/>
      <c r="POZ29"/>
      <c r="PPA29"/>
      <c r="PPB29"/>
      <c r="PPC29"/>
      <c r="PPD29"/>
      <c r="PPE29"/>
      <c r="PPF29"/>
      <c r="PPG29"/>
      <c r="PPH29"/>
      <c r="PPI29"/>
      <c r="PPJ29"/>
      <c r="PPK29"/>
      <c r="PPL29"/>
      <c r="PPM29"/>
      <c r="PPN29"/>
      <c r="PPO29"/>
      <c r="PPP29"/>
      <c r="PPQ29"/>
      <c r="PPR29"/>
      <c r="PPS29"/>
      <c r="PPT29"/>
      <c r="PPU29"/>
      <c r="PPV29"/>
      <c r="PPW29"/>
      <c r="PPX29"/>
      <c r="PPY29"/>
      <c r="PPZ29"/>
      <c r="PQA29"/>
      <c r="PQB29"/>
      <c r="PQC29"/>
      <c r="PQD29"/>
      <c r="PQE29"/>
      <c r="PQF29"/>
      <c r="PQG29"/>
      <c r="PQH29"/>
      <c r="PQI29"/>
      <c r="PQJ29"/>
      <c r="PQK29"/>
      <c r="PQL29"/>
      <c r="PQM29"/>
      <c r="PQN29"/>
      <c r="PQO29"/>
      <c r="PQP29"/>
      <c r="PQQ29"/>
      <c r="PQR29"/>
      <c r="PQS29"/>
      <c r="PQT29"/>
      <c r="PQU29"/>
      <c r="PQV29"/>
      <c r="PQW29"/>
      <c r="PQX29"/>
      <c r="PQY29"/>
      <c r="PQZ29"/>
      <c r="PRA29"/>
      <c r="PRB29"/>
      <c r="PRC29"/>
      <c r="PRD29"/>
      <c r="PRE29"/>
      <c r="PRF29"/>
      <c r="PRG29"/>
      <c r="PRH29"/>
      <c r="PRI29"/>
      <c r="PRJ29"/>
      <c r="PRK29"/>
      <c r="PRL29"/>
      <c r="PRM29"/>
      <c r="PRN29"/>
      <c r="PRO29"/>
      <c r="PRP29"/>
      <c r="PRQ29"/>
      <c r="PRR29"/>
      <c r="PRS29"/>
      <c r="PRT29"/>
      <c r="PRU29"/>
      <c r="PRV29"/>
      <c r="PRW29"/>
      <c r="PRX29"/>
      <c r="PRY29"/>
      <c r="PRZ29"/>
      <c r="PSA29"/>
      <c r="PSB29"/>
      <c r="PSC29"/>
      <c r="PSD29"/>
      <c r="PSE29"/>
      <c r="PSF29"/>
      <c r="PSG29"/>
      <c r="PSH29"/>
      <c r="PSI29"/>
      <c r="PSJ29"/>
      <c r="PSK29"/>
      <c r="PSL29"/>
      <c r="PSM29"/>
      <c r="PSN29"/>
      <c r="PSO29"/>
      <c r="PSP29"/>
      <c r="PSQ29"/>
      <c r="PSR29"/>
      <c r="PSS29"/>
      <c r="PST29"/>
      <c r="PSU29"/>
      <c r="PSV29"/>
      <c r="PSW29"/>
      <c r="PSX29"/>
      <c r="PSY29"/>
      <c r="PSZ29"/>
      <c r="PTA29"/>
      <c r="PTB29"/>
      <c r="PTC29"/>
      <c r="PTD29"/>
      <c r="PTE29"/>
      <c r="PTF29"/>
      <c r="PTG29"/>
      <c r="PTH29"/>
      <c r="PTI29"/>
      <c r="PTJ29"/>
      <c r="PTK29"/>
      <c r="PTL29"/>
      <c r="PTM29"/>
      <c r="PTN29"/>
      <c r="PTO29"/>
      <c r="PTP29"/>
      <c r="PTQ29"/>
      <c r="PTR29"/>
      <c r="PTS29"/>
      <c r="PTT29"/>
      <c r="PTU29"/>
      <c r="PTV29"/>
      <c r="PTW29"/>
      <c r="PTX29"/>
      <c r="PTY29"/>
      <c r="PTZ29"/>
      <c r="PUA29"/>
      <c r="PUB29"/>
      <c r="PUC29"/>
      <c r="PUD29"/>
      <c r="PUE29"/>
      <c r="PUF29"/>
      <c r="PUG29"/>
      <c r="PUH29"/>
      <c r="PUI29"/>
      <c r="PUJ29"/>
      <c r="PUK29"/>
      <c r="PUL29"/>
      <c r="PUM29"/>
      <c r="PUN29"/>
      <c r="PUO29"/>
      <c r="PUP29"/>
      <c r="PUQ29"/>
      <c r="PUR29"/>
      <c r="PUS29"/>
      <c r="PUT29"/>
      <c r="PUU29"/>
      <c r="PUV29"/>
      <c r="PUW29"/>
      <c r="PUX29"/>
      <c r="PUY29"/>
      <c r="PUZ29"/>
      <c r="PVA29"/>
      <c r="PVB29"/>
      <c r="PVC29"/>
      <c r="PVD29"/>
      <c r="PVE29"/>
      <c r="PVF29"/>
      <c r="PVG29"/>
      <c r="PVH29"/>
      <c r="PVI29"/>
      <c r="PVJ29"/>
      <c r="PVK29"/>
      <c r="PVL29"/>
      <c r="PVM29"/>
      <c r="PVN29"/>
      <c r="PVO29"/>
      <c r="PVP29"/>
      <c r="PVQ29"/>
      <c r="PVR29"/>
      <c r="PVS29"/>
      <c r="PVT29"/>
      <c r="PVU29"/>
      <c r="PVV29"/>
      <c r="PVW29"/>
      <c r="PVX29"/>
      <c r="PVY29"/>
      <c r="PVZ29"/>
      <c r="PWA29"/>
      <c r="PWB29"/>
      <c r="PWC29"/>
      <c r="PWD29"/>
      <c r="PWE29"/>
      <c r="PWF29"/>
      <c r="PWG29"/>
      <c r="PWH29"/>
      <c r="PWI29"/>
      <c r="PWJ29"/>
      <c r="PWK29"/>
      <c r="PWL29"/>
      <c r="PWM29"/>
      <c r="PWN29"/>
      <c r="PWO29"/>
      <c r="PWP29"/>
      <c r="PWQ29"/>
      <c r="PWR29"/>
      <c r="PWS29"/>
      <c r="PWT29"/>
      <c r="PWU29"/>
      <c r="PWV29"/>
      <c r="PWW29"/>
      <c r="PWX29"/>
      <c r="PWY29"/>
      <c r="PWZ29"/>
      <c r="PXA29"/>
      <c r="PXB29"/>
      <c r="PXC29"/>
      <c r="PXD29"/>
      <c r="PXE29"/>
      <c r="PXF29"/>
      <c r="PXG29"/>
      <c r="PXH29"/>
      <c r="PXI29"/>
      <c r="PXJ29"/>
      <c r="PXK29"/>
      <c r="PXL29"/>
      <c r="PXM29"/>
      <c r="PXN29"/>
      <c r="PXO29"/>
      <c r="PXP29"/>
      <c r="PXQ29"/>
      <c r="PXR29"/>
      <c r="PXS29"/>
      <c r="PXT29"/>
      <c r="PXU29"/>
      <c r="PXV29"/>
      <c r="PXW29"/>
      <c r="PXX29"/>
      <c r="PXY29"/>
      <c r="PXZ29"/>
      <c r="PYA29"/>
      <c r="PYB29"/>
      <c r="PYC29"/>
      <c r="PYD29"/>
      <c r="PYE29"/>
      <c r="PYF29"/>
      <c r="PYG29"/>
      <c r="PYH29"/>
      <c r="PYI29"/>
      <c r="PYJ29"/>
      <c r="PYK29"/>
      <c r="PYL29"/>
      <c r="PYM29"/>
      <c r="PYN29"/>
      <c r="PYO29"/>
      <c r="PYP29"/>
      <c r="PYQ29"/>
      <c r="PYR29"/>
      <c r="PYS29"/>
      <c r="PYT29"/>
      <c r="PYU29"/>
      <c r="PYV29"/>
      <c r="PYW29"/>
      <c r="PYX29"/>
      <c r="PYY29"/>
      <c r="PYZ29"/>
      <c r="PZA29"/>
      <c r="PZB29"/>
      <c r="PZC29"/>
      <c r="PZD29"/>
      <c r="PZE29"/>
      <c r="PZF29"/>
      <c r="PZG29"/>
      <c r="PZH29"/>
      <c r="PZI29"/>
      <c r="PZJ29"/>
      <c r="PZK29"/>
      <c r="PZL29"/>
      <c r="PZM29"/>
      <c r="PZN29"/>
      <c r="PZO29"/>
      <c r="PZP29"/>
      <c r="PZQ29"/>
      <c r="PZR29"/>
      <c r="PZS29"/>
      <c r="PZT29"/>
      <c r="PZU29"/>
      <c r="PZV29"/>
      <c r="PZW29"/>
      <c r="PZX29"/>
      <c r="PZY29"/>
      <c r="PZZ29"/>
      <c r="QAA29"/>
      <c r="QAB29"/>
      <c r="QAC29"/>
      <c r="QAD29"/>
      <c r="QAE29"/>
      <c r="QAF29"/>
      <c r="QAG29"/>
      <c r="QAH29"/>
      <c r="QAI29"/>
      <c r="QAJ29"/>
      <c r="QAK29"/>
      <c r="QAL29"/>
      <c r="QAM29"/>
      <c r="QAN29"/>
      <c r="QAO29"/>
      <c r="QAP29"/>
      <c r="QAQ29"/>
      <c r="QAR29"/>
      <c r="QAS29"/>
      <c r="QAT29"/>
      <c r="QAU29"/>
      <c r="QAV29"/>
      <c r="QAW29"/>
      <c r="QAX29"/>
      <c r="QAY29"/>
      <c r="QAZ29"/>
      <c r="QBA29"/>
      <c r="QBB29"/>
      <c r="QBC29"/>
      <c r="QBD29"/>
      <c r="QBE29"/>
      <c r="QBF29"/>
      <c r="QBG29"/>
      <c r="QBH29"/>
      <c r="QBI29"/>
      <c r="QBJ29"/>
      <c r="QBK29"/>
      <c r="QBL29"/>
      <c r="QBM29"/>
      <c r="QBN29"/>
      <c r="QBO29"/>
      <c r="QBP29"/>
      <c r="QBQ29"/>
      <c r="QBR29"/>
      <c r="QBS29"/>
      <c r="QBT29"/>
      <c r="QBU29"/>
      <c r="QBV29"/>
      <c r="QBW29"/>
      <c r="QBX29"/>
      <c r="QBY29"/>
      <c r="QBZ29"/>
      <c r="QCA29"/>
      <c r="QCB29"/>
      <c r="QCC29"/>
      <c r="QCD29"/>
      <c r="QCE29"/>
      <c r="QCF29"/>
      <c r="QCG29"/>
      <c r="QCH29"/>
      <c r="QCI29"/>
      <c r="QCJ29"/>
      <c r="QCK29"/>
      <c r="QCL29"/>
      <c r="QCM29"/>
      <c r="QCN29"/>
      <c r="QCO29"/>
      <c r="QCP29"/>
      <c r="QCQ29"/>
      <c r="QCR29"/>
      <c r="QCS29"/>
      <c r="QCT29"/>
      <c r="QCU29"/>
      <c r="QCV29"/>
      <c r="QCW29"/>
      <c r="QCX29"/>
      <c r="QCY29"/>
      <c r="QCZ29"/>
      <c r="QDA29"/>
      <c r="QDB29"/>
      <c r="QDC29"/>
      <c r="QDD29"/>
      <c r="QDE29"/>
      <c r="QDF29"/>
      <c r="QDG29"/>
      <c r="QDH29"/>
      <c r="QDI29"/>
      <c r="QDJ29"/>
      <c r="QDK29"/>
      <c r="QDL29"/>
      <c r="QDM29"/>
      <c r="QDN29"/>
      <c r="QDO29"/>
      <c r="QDP29"/>
      <c r="QDQ29"/>
      <c r="QDR29"/>
      <c r="QDS29"/>
      <c r="QDT29"/>
      <c r="QDU29"/>
      <c r="QDV29"/>
      <c r="QDW29"/>
      <c r="QDX29"/>
      <c r="QDY29"/>
      <c r="QDZ29"/>
      <c r="QEA29"/>
      <c r="QEB29"/>
      <c r="QEC29"/>
      <c r="QED29"/>
      <c r="QEE29"/>
      <c r="QEF29"/>
      <c r="QEG29"/>
      <c r="QEH29"/>
      <c r="QEI29"/>
      <c r="QEJ29"/>
      <c r="QEK29"/>
      <c r="QEL29"/>
      <c r="QEM29"/>
      <c r="QEN29"/>
      <c r="QEO29"/>
      <c r="QEP29"/>
      <c r="QEQ29"/>
      <c r="QER29"/>
      <c r="QES29"/>
      <c r="QET29"/>
      <c r="QEU29"/>
      <c r="QEV29"/>
      <c r="QEW29"/>
      <c r="QEX29"/>
      <c r="QEY29"/>
      <c r="QEZ29"/>
      <c r="QFA29"/>
      <c r="QFB29"/>
      <c r="QFC29"/>
      <c r="QFD29"/>
      <c r="QFE29"/>
      <c r="QFF29"/>
      <c r="QFG29"/>
      <c r="QFH29"/>
      <c r="QFI29"/>
      <c r="QFJ29"/>
      <c r="QFK29"/>
      <c r="QFL29"/>
      <c r="QFM29"/>
      <c r="QFN29"/>
      <c r="QFO29"/>
      <c r="QFP29"/>
      <c r="QFQ29"/>
      <c r="QFR29"/>
      <c r="QFS29"/>
      <c r="QFT29"/>
      <c r="QFU29"/>
      <c r="QFV29"/>
      <c r="QFW29"/>
      <c r="QFX29"/>
      <c r="QFY29"/>
      <c r="QFZ29"/>
      <c r="QGA29"/>
      <c r="QGB29"/>
      <c r="QGC29"/>
      <c r="QGD29"/>
      <c r="QGE29"/>
      <c r="QGF29"/>
      <c r="QGG29"/>
      <c r="QGH29"/>
      <c r="QGI29"/>
      <c r="QGJ29"/>
      <c r="QGK29"/>
      <c r="QGL29"/>
      <c r="QGM29"/>
      <c r="QGN29"/>
      <c r="QGO29"/>
      <c r="QGP29"/>
      <c r="QGQ29"/>
      <c r="QGR29"/>
      <c r="QGS29"/>
      <c r="QGT29"/>
      <c r="QGU29"/>
      <c r="QGV29"/>
      <c r="QGW29"/>
      <c r="QGX29"/>
      <c r="QGY29"/>
      <c r="QGZ29"/>
      <c r="QHA29"/>
      <c r="QHB29"/>
      <c r="QHC29"/>
      <c r="QHD29"/>
      <c r="QHE29"/>
      <c r="QHF29"/>
      <c r="QHG29"/>
      <c r="QHH29"/>
      <c r="QHI29"/>
      <c r="QHJ29"/>
      <c r="QHK29"/>
      <c r="QHL29"/>
      <c r="QHM29"/>
      <c r="QHN29"/>
      <c r="QHO29"/>
      <c r="QHP29"/>
      <c r="QHQ29"/>
      <c r="QHR29"/>
      <c r="QHS29"/>
      <c r="QHT29"/>
      <c r="QHU29"/>
      <c r="QHV29"/>
      <c r="QHW29"/>
      <c r="QHX29"/>
      <c r="QHY29"/>
      <c r="QHZ29"/>
      <c r="QIA29"/>
      <c r="QIB29"/>
      <c r="QIC29"/>
      <c r="QID29"/>
      <c r="QIE29"/>
      <c r="QIF29"/>
      <c r="QIG29"/>
      <c r="QIH29"/>
      <c r="QII29"/>
      <c r="QIJ29"/>
      <c r="QIK29"/>
      <c r="QIL29"/>
      <c r="QIM29"/>
      <c r="QIN29"/>
      <c r="QIO29"/>
      <c r="QIP29"/>
      <c r="QIQ29"/>
      <c r="QIR29"/>
      <c r="QIS29"/>
      <c r="QIT29"/>
      <c r="QIU29"/>
      <c r="QIV29"/>
      <c r="QIW29"/>
      <c r="QIX29"/>
      <c r="QIY29"/>
      <c r="QIZ29"/>
      <c r="QJA29"/>
      <c r="QJB29"/>
      <c r="QJC29"/>
      <c r="QJD29"/>
      <c r="QJE29"/>
      <c r="QJF29"/>
      <c r="QJG29"/>
      <c r="QJH29"/>
      <c r="QJI29"/>
      <c r="QJJ29"/>
      <c r="QJK29"/>
      <c r="QJL29"/>
      <c r="QJM29"/>
      <c r="QJN29"/>
      <c r="QJO29"/>
      <c r="QJP29"/>
      <c r="QJQ29"/>
      <c r="QJR29"/>
      <c r="QJS29"/>
      <c r="QJT29"/>
      <c r="QJU29"/>
      <c r="QJV29"/>
      <c r="QJW29"/>
      <c r="QJX29"/>
      <c r="QJY29"/>
      <c r="QJZ29"/>
      <c r="QKA29"/>
      <c r="QKB29"/>
      <c r="QKC29"/>
      <c r="QKD29"/>
      <c r="QKE29"/>
      <c r="QKF29"/>
      <c r="QKG29"/>
      <c r="QKH29"/>
      <c r="QKI29"/>
      <c r="QKJ29"/>
      <c r="QKK29"/>
      <c r="QKL29"/>
      <c r="QKM29"/>
      <c r="QKN29"/>
      <c r="QKO29"/>
      <c r="QKP29"/>
      <c r="QKQ29"/>
      <c r="QKR29"/>
      <c r="QKS29"/>
      <c r="QKT29"/>
      <c r="QKU29"/>
      <c r="QKV29"/>
      <c r="QKW29"/>
      <c r="QKX29"/>
      <c r="QKY29"/>
      <c r="QKZ29"/>
      <c r="QLA29"/>
      <c r="QLB29"/>
      <c r="QLC29"/>
      <c r="QLD29"/>
      <c r="QLE29"/>
      <c r="QLF29"/>
      <c r="QLG29"/>
      <c r="QLH29"/>
      <c r="QLI29"/>
      <c r="QLJ29"/>
      <c r="QLK29"/>
      <c r="QLL29"/>
      <c r="QLM29"/>
      <c r="QLN29"/>
      <c r="QLO29"/>
      <c r="QLP29"/>
      <c r="QLQ29"/>
      <c r="QLR29"/>
      <c r="QLS29"/>
      <c r="QLT29"/>
      <c r="QLU29"/>
      <c r="QLV29"/>
      <c r="QLW29"/>
      <c r="QLX29"/>
      <c r="QLY29"/>
      <c r="QLZ29"/>
      <c r="QMA29"/>
      <c r="QMB29"/>
      <c r="QMC29"/>
      <c r="QMD29"/>
      <c r="QME29"/>
      <c r="QMF29"/>
      <c r="QMG29"/>
      <c r="QMH29"/>
      <c r="QMI29"/>
      <c r="QMJ29"/>
      <c r="QMK29"/>
      <c r="QML29"/>
      <c r="QMM29"/>
      <c r="QMN29"/>
      <c r="QMO29"/>
      <c r="QMP29"/>
      <c r="QMQ29"/>
      <c r="QMR29"/>
      <c r="QMS29"/>
      <c r="QMT29"/>
      <c r="QMU29"/>
      <c r="QMV29"/>
      <c r="QMW29"/>
      <c r="QMX29"/>
      <c r="QMY29"/>
      <c r="QMZ29"/>
      <c r="QNA29"/>
      <c r="QNB29"/>
      <c r="QNC29"/>
      <c r="QND29"/>
      <c r="QNE29"/>
      <c r="QNF29"/>
      <c r="QNG29"/>
      <c r="QNH29"/>
      <c r="QNI29"/>
      <c r="QNJ29"/>
      <c r="QNK29"/>
      <c r="QNL29"/>
      <c r="QNM29"/>
      <c r="QNN29"/>
      <c r="QNO29"/>
      <c r="QNP29"/>
      <c r="QNQ29"/>
      <c r="QNR29"/>
      <c r="QNS29"/>
      <c r="QNT29"/>
      <c r="QNU29"/>
      <c r="QNV29"/>
      <c r="QNW29"/>
      <c r="QNX29"/>
      <c r="QNY29"/>
      <c r="QNZ29"/>
      <c r="QOA29"/>
      <c r="QOB29"/>
      <c r="QOC29"/>
      <c r="QOD29"/>
      <c r="QOE29"/>
      <c r="QOF29"/>
      <c r="QOG29"/>
      <c r="QOH29"/>
      <c r="QOI29"/>
      <c r="QOJ29"/>
      <c r="QOK29"/>
      <c r="QOL29"/>
      <c r="QOM29"/>
      <c r="QON29"/>
      <c r="QOO29"/>
      <c r="QOP29"/>
      <c r="QOQ29"/>
      <c r="QOR29"/>
      <c r="QOS29"/>
      <c r="QOT29"/>
      <c r="QOU29"/>
      <c r="QOV29"/>
      <c r="QOW29"/>
      <c r="QOX29"/>
      <c r="QOY29"/>
      <c r="QOZ29"/>
      <c r="QPA29"/>
      <c r="QPB29"/>
      <c r="QPC29"/>
      <c r="QPD29"/>
      <c r="QPE29"/>
      <c r="QPF29"/>
      <c r="QPG29"/>
      <c r="QPH29"/>
      <c r="QPI29"/>
      <c r="QPJ29"/>
      <c r="QPK29"/>
      <c r="QPL29"/>
      <c r="QPM29"/>
      <c r="QPN29"/>
      <c r="QPO29"/>
      <c r="QPP29"/>
      <c r="QPQ29"/>
      <c r="QPR29"/>
      <c r="QPS29"/>
      <c r="QPT29"/>
      <c r="QPU29"/>
      <c r="QPV29"/>
      <c r="QPW29"/>
      <c r="QPX29"/>
      <c r="QPY29"/>
      <c r="QPZ29"/>
      <c r="QQA29"/>
      <c r="QQB29"/>
      <c r="QQC29"/>
      <c r="QQD29"/>
      <c r="QQE29"/>
      <c r="QQF29"/>
      <c r="QQG29"/>
      <c r="QQH29"/>
      <c r="QQI29"/>
      <c r="QQJ29"/>
      <c r="QQK29"/>
      <c r="QQL29"/>
      <c r="QQM29"/>
      <c r="QQN29"/>
      <c r="QQO29"/>
      <c r="QQP29"/>
      <c r="QQQ29"/>
      <c r="QQR29"/>
      <c r="QQS29"/>
      <c r="QQT29"/>
      <c r="QQU29"/>
      <c r="QQV29"/>
      <c r="QQW29"/>
      <c r="QQX29"/>
      <c r="QQY29"/>
      <c r="QQZ29"/>
      <c r="QRA29"/>
      <c r="QRB29"/>
      <c r="QRC29"/>
      <c r="QRD29"/>
      <c r="QRE29"/>
      <c r="QRF29"/>
      <c r="QRG29"/>
      <c r="QRH29"/>
      <c r="QRI29"/>
      <c r="QRJ29"/>
      <c r="QRK29"/>
      <c r="QRL29"/>
      <c r="QRM29"/>
      <c r="QRN29"/>
      <c r="QRO29"/>
      <c r="QRP29"/>
      <c r="QRQ29"/>
      <c r="QRR29"/>
      <c r="QRS29"/>
      <c r="QRT29"/>
      <c r="QRU29"/>
      <c r="QRV29"/>
      <c r="QRW29"/>
      <c r="QRX29"/>
      <c r="QRY29"/>
      <c r="QRZ29"/>
      <c r="QSA29"/>
      <c r="QSB29"/>
      <c r="QSC29"/>
      <c r="QSD29"/>
      <c r="QSE29"/>
      <c r="QSF29"/>
      <c r="QSG29"/>
      <c r="QSH29"/>
      <c r="QSI29"/>
      <c r="QSJ29"/>
      <c r="QSK29"/>
      <c r="QSL29"/>
      <c r="QSM29"/>
      <c r="QSN29"/>
      <c r="QSO29"/>
      <c r="QSP29"/>
      <c r="QSQ29"/>
      <c r="QSR29"/>
      <c r="QSS29"/>
      <c r="QST29"/>
      <c r="QSU29"/>
      <c r="QSV29"/>
      <c r="QSW29"/>
      <c r="QSX29"/>
      <c r="QSY29"/>
      <c r="QSZ29"/>
      <c r="QTA29"/>
      <c r="QTB29"/>
      <c r="QTC29"/>
      <c r="QTD29"/>
      <c r="QTE29"/>
      <c r="QTF29"/>
      <c r="QTG29"/>
      <c r="QTH29"/>
      <c r="QTI29"/>
      <c r="QTJ29"/>
      <c r="QTK29"/>
      <c r="QTL29"/>
      <c r="QTM29"/>
      <c r="QTN29"/>
      <c r="QTO29"/>
      <c r="QTP29"/>
      <c r="QTQ29"/>
      <c r="QTR29"/>
      <c r="QTS29"/>
      <c r="QTT29"/>
      <c r="QTU29"/>
      <c r="QTV29"/>
      <c r="QTW29"/>
      <c r="QTX29"/>
      <c r="QTY29"/>
      <c r="QTZ29"/>
      <c r="QUA29"/>
      <c r="QUB29"/>
      <c r="QUC29"/>
      <c r="QUD29"/>
      <c r="QUE29"/>
      <c r="QUF29"/>
      <c r="QUG29"/>
      <c r="QUH29"/>
      <c r="QUI29"/>
      <c r="QUJ29"/>
      <c r="QUK29"/>
      <c r="QUL29"/>
      <c r="QUM29"/>
      <c r="QUN29"/>
      <c r="QUO29"/>
      <c r="QUP29"/>
      <c r="QUQ29"/>
      <c r="QUR29"/>
      <c r="QUS29"/>
      <c r="QUT29"/>
      <c r="QUU29"/>
      <c r="QUV29"/>
      <c r="QUW29"/>
      <c r="QUX29"/>
      <c r="QUY29"/>
      <c r="QUZ29"/>
      <c r="QVA29"/>
      <c r="QVB29"/>
      <c r="QVC29"/>
      <c r="QVD29"/>
      <c r="QVE29"/>
      <c r="QVF29"/>
      <c r="QVG29"/>
      <c r="QVH29"/>
      <c r="QVI29"/>
      <c r="QVJ29"/>
      <c r="QVK29"/>
      <c r="QVL29"/>
      <c r="QVM29"/>
      <c r="QVN29"/>
      <c r="QVO29"/>
      <c r="QVP29"/>
      <c r="QVQ29"/>
      <c r="QVR29"/>
      <c r="QVS29"/>
      <c r="QVT29"/>
      <c r="QVU29"/>
      <c r="QVV29"/>
      <c r="QVW29"/>
      <c r="QVX29"/>
      <c r="QVY29"/>
      <c r="QVZ29"/>
      <c r="QWA29"/>
      <c r="QWB29"/>
      <c r="QWC29"/>
      <c r="QWD29"/>
      <c r="QWE29"/>
      <c r="QWF29"/>
      <c r="QWG29"/>
      <c r="QWH29"/>
      <c r="QWI29"/>
      <c r="QWJ29"/>
      <c r="QWK29"/>
      <c r="QWL29"/>
      <c r="QWM29"/>
      <c r="QWN29"/>
      <c r="QWO29"/>
      <c r="QWP29"/>
      <c r="QWQ29"/>
      <c r="QWR29"/>
      <c r="QWS29"/>
      <c r="QWT29"/>
      <c r="QWU29"/>
      <c r="QWV29"/>
      <c r="QWW29"/>
      <c r="QWX29"/>
      <c r="QWY29"/>
      <c r="QWZ29"/>
      <c r="QXA29"/>
      <c r="QXB29"/>
      <c r="QXC29"/>
      <c r="QXD29"/>
      <c r="QXE29"/>
      <c r="QXF29"/>
      <c r="QXG29"/>
      <c r="QXH29"/>
      <c r="QXI29"/>
      <c r="QXJ29"/>
      <c r="QXK29"/>
      <c r="QXL29"/>
      <c r="QXM29"/>
      <c r="QXN29"/>
      <c r="QXO29"/>
      <c r="QXP29"/>
      <c r="QXQ29"/>
      <c r="QXR29"/>
      <c r="QXS29"/>
      <c r="QXT29"/>
      <c r="QXU29"/>
      <c r="QXV29"/>
      <c r="QXW29"/>
      <c r="QXX29"/>
      <c r="QXY29"/>
      <c r="QXZ29"/>
      <c r="QYA29"/>
      <c r="QYB29"/>
      <c r="QYC29"/>
      <c r="QYD29"/>
      <c r="QYE29"/>
      <c r="QYF29"/>
      <c r="QYG29"/>
      <c r="QYH29"/>
      <c r="QYI29"/>
      <c r="QYJ29"/>
      <c r="QYK29"/>
      <c r="QYL29"/>
      <c r="QYM29"/>
      <c r="QYN29"/>
      <c r="QYO29"/>
      <c r="QYP29"/>
      <c r="QYQ29"/>
      <c r="QYR29"/>
      <c r="QYS29"/>
      <c r="QYT29"/>
      <c r="QYU29"/>
      <c r="QYV29"/>
      <c r="QYW29"/>
      <c r="QYX29"/>
      <c r="QYY29"/>
      <c r="QYZ29"/>
      <c r="QZA29"/>
      <c r="QZB29"/>
      <c r="QZC29"/>
      <c r="QZD29"/>
      <c r="QZE29"/>
      <c r="QZF29"/>
      <c r="QZG29"/>
      <c r="QZH29"/>
      <c r="QZI29"/>
      <c r="QZJ29"/>
      <c r="QZK29"/>
      <c r="QZL29"/>
      <c r="QZM29"/>
      <c r="QZN29"/>
      <c r="QZO29"/>
      <c r="QZP29"/>
      <c r="QZQ29"/>
      <c r="QZR29"/>
      <c r="QZS29"/>
      <c r="QZT29"/>
      <c r="QZU29"/>
      <c r="QZV29"/>
      <c r="QZW29"/>
      <c r="QZX29"/>
      <c r="QZY29"/>
      <c r="QZZ29"/>
      <c r="RAA29"/>
      <c r="RAB29"/>
      <c r="RAC29"/>
      <c r="RAD29"/>
      <c r="RAE29"/>
      <c r="RAF29"/>
      <c r="RAG29"/>
      <c r="RAH29"/>
      <c r="RAI29"/>
      <c r="RAJ29"/>
      <c r="RAK29"/>
      <c r="RAL29"/>
      <c r="RAM29"/>
      <c r="RAN29"/>
      <c r="RAO29"/>
      <c r="RAP29"/>
      <c r="RAQ29"/>
      <c r="RAR29"/>
      <c r="RAS29"/>
      <c r="RAT29"/>
      <c r="RAU29"/>
      <c r="RAV29"/>
      <c r="RAW29"/>
      <c r="RAX29"/>
      <c r="RAY29"/>
      <c r="RAZ29"/>
      <c r="RBA29"/>
      <c r="RBB29"/>
      <c r="RBC29"/>
      <c r="RBD29"/>
      <c r="RBE29"/>
      <c r="RBF29"/>
      <c r="RBG29"/>
      <c r="RBH29"/>
      <c r="RBI29"/>
      <c r="RBJ29"/>
      <c r="RBK29"/>
      <c r="RBL29"/>
      <c r="RBM29"/>
      <c r="RBN29"/>
      <c r="RBO29"/>
      <c r="RBP29"/>
      <c r="RBQ29"/>
      <c r="RBR29"/>
      <c r="RBS29"/>
      <c r="RBT29"/>
      <c r="RBU29"/>
      <c r="RBV29"/>
      <c r="RBW29"/>
      <c r="RBX29"/>
      <c r="RBY29"/>
      <c r="RBZ29"/>
      <c r="RCA29"/>
      <c r="RCB29"/>
      <c r="RCC29"/>
      <c r="RCD29"/>
      <c r="RCE29"/>
      <c r="RCF29"/>
      <c r="RCG29"/>
      <c r="RCH29"/>
      <c r="RCI29"/>
      <c r="RCJ29"/>
      <c r="RCK29"/>
      <c r="RCL29"/>
      <c r="RCM29"/>
      <c r="RCN29"/>
      <c r="RCO29"/>
      <c r="RCP29"/>
      <c r="RCQ29"/>
      <c r="RCR29"/>
      <c r="RCS29"/>
      <c r="RCT29"/>
      <c r="RCU29"/>
      <c r="RCV29"/>
      <c r="RCW29"/>
      <c r="RCX29"/>
      <c r="RCY29"/>
      <c r="RCZ29"/>
      <c r="RDA29"/>
      <c r="RDB29"/>
      <c r="RDC29"/>
      <c r="RDD29"/>
      <c r="RDE29"/>
      <c r="RDF29"/>
      <c r="RDG29"/>
      <c r="RDH29"/>
      <c r="RDI29"/>
      <c r="RDJ29"/>
      <c r="RDK29"/>
      <c r="RDL29"/>
      <c r="RDM29"/>
      <c r="RDN29"/>
      <c r="RDO29"/>
      <c r="RDP29"/>
      <c r="RDQ29"/>
      <c r="RDR29"/>
      <c r="RDS29"/>
      <c r="RDT29"/>
      <c r="RDU29"/>
      <c r="RDV29"/>
      <c r="RDW29"/>
      <c r="RDX29"/>
      <c r="RDY29"/>
      <c r="RDZ29"/>
      <c r="REA29"/>
      <c r="REB29"/>
      <c r="REC29"/>
      <c r="RED29"/>
      <c r="REE29"/>
      <c r="REF29"/>
      <c r="REG29"/>
      <c r="REH29"/>
      <c r="REI29"/>
      <c r="REJ29"/>
      <c r="REK29"/>
      <c r="REL29"/>
      <c r="REM29"/>
      <c r="REN29"/>
      <c r="REO29"/>
      <c r="REP29"/>
      <c r="REQ29"/>
      <c r="RER29"/>
      <c r="RES29"/>
      <c r="RET29"/>
      <c r="REU29"/>
      <c r="REV29"/>
      <c r="REW29"/>
      <c r="REX29"/>
      <c r="REY29"/>
      <c r="REZ29"/>
      <c r="RFA29"/>
      <c r="RFB29"/>
      <c r="RFC29"/>
      <c r="RFD29"/>
      <c r="RFE29"/>
      <c r="RFF29"/>
      <c r="RFG29"/>
      <c r="RFH29"/>
      <c r="RFI29"/>
      <c r="RFJ29"/>
      <c r="RFK29"/>
      <c r="RFL29"/>
      <c r="RFM29"/>
      <c r="RFN29"/>
      <c r="RFO29"/>
      <c r="RFP29"/>
      <c r="RFQ29"/>
      <c r="RFR29"/>
      <c r="RFS29"/>
      <c r="RFT29"/>
      <c r="RFU29"/>
      <c r="RFV29"/>
      <c r="RFW29"/>
      <c r="RFX29"/>
      <c r="RFY29"/>
      <c r="RFZ29"/>
      <c r="RGA29"/>
      <c r="RGB29"/>
      <c r="RGC29"/>
      <c r="RGD29"/>
      <c r="RGE29"/>
      <c r="RGF29"/>
      <c r="RGG29"/>
      <c r="RGH29"/>
      <c r="RGI29"/>
      <c r="RGJ29"/>
      <c r="RGK29"/>
      <c r="RGL29"/>
      <c r="RGM29"/>
      <c r="RGN29"/>
      <c r="RGO29"/>
      <c r="RGP29"/>
      <c r="RGQ29"/>
      <c r="RGR29"/>
      <c r="RGS29"/>
      <c r="RGT29"/>
      <c r="RGU29"/>
      <c r="RGV29"/>
      <c r="RGW29"/>
      <c r="RGX29"/>
      <c r="RGY29"/>
      <c r="RGZ29"/>
      <c r="RHA29"/>
      <c r="RHB29"/>
      <c r="RHC29"/>
      <c r="RHD29"/>
      <c r="RHE29"/>
      <c r="RHF29"/>
      <c r="RHG29"/>
      <c r="RHH29"/>
      <c r="RHI29"/>
      <c r="RHJ29"/>
      <c r="RHK29"/>
      <c r="RHL29"/>
      <c r="RHM29"/>
      <c r="RHN29"/>
      <c r="RHO29"/>
      <c r="RHP29"/>
      <c r="RHQ29"/>
      <c r="RHR29"/>
      <c r="RHS29"/>
      <c r="RHT29"/>
      <c r="RHU29"/>
      <c r="RHV29"/>
      <c r="RHW29"/>
      <c r="RHX29"/>
      <c r="RHY29"/>
      <c r="RHZ29"/>
      <c r="RIA29"/>
      <c r="RIB29"/>
      <c r="RIC29"/>
      <c r="RID29"/>
      <c r="RIE29"/>
      <c r="RIF29"/>
      <c r="RIG29"/>
      <c r="RIH29"/>
      <c r="RII29"/>
      <c r="RIJ29"/>
      <c r="RIK29"/>
      <c r="RIL29"/>
      <c r="RIM29"/>
      <c r="RIN29"/>
      <c r="RIO29"/>
      <c r="RIP29"/>
      <c r="RIQ29"/>
      <c r="RIR29"/>
      <c r="RIS29"/>
      <c r="RIT29"/>
      <c r="RIU29"/>
      <c r="RIV29"/>
      <c r="RIW29"/>
      <c r="RIX29"/>
      <c r="RIY29"/>
      <c r="RIZ29"/>
      <c r="RJA29"/>
      <c r="RJB29"/>
      <c r="RJC29"/>
      <c r="RJD29"/>
      <c r="RJE29"/>
      <c r="RJF29"/>
      <c r="RJG29"/>
      <c r="RJH29"/>
      <c r="RJI29"/>
      <c r="RJJ29"/>
      <c r="RJK29"/>
      <c r="RJL29"/>
      <c r="RJM29"/>
      <c r="RJN29"/>
      <c r="RJO29"/>
      <c r="RJP29"/>
      <c r="RJQ29"/>
      <c r="RJR29"/>
      <c r="RJS29"/>
      <c r="RJT29"/>
      <c r="RJU29"/>
      <c r="RJV29"/>
      <c r="RJW29"/>
      <c r="RJX29"/>
      <c r="RJY29"/>
      <c r="RJZ29"/>
      <c r="RKA29"/>
      <c r="RKB29"/>
      <c r="RKC29"/>
      <c r="RKD29"/>
      <c r="RKE29"/>
      <c r="RKF29"/>
      <c r="RKG29"/>
      <c r="RKH29"/>
      <c r="RKI29"/>
      <c r="RKJ29"/>
      <c r="RKK29"/>
      <c r="RKL29"/>
      <c r="RKM29"/>
      <c r="RKN29"/>
      <c r="RKO29"/>
      <c r="RKP29"/>
      <c r="RKQ29"/>
      <c r="RKR29"/>
      <c r="RKS29"/>
      <c r="RKT29"/>
      <c r="RKU29"/>
      <c r="RKV29"/>
      <c r="RKW29"/>
      <c r="RKX29"/>
      <c r="RKY29"/>
      <c r="RKZ29"/>
      <c r="RLA29"/>
      <c r="RLB29"/>
      <c r="RLC29"/>
      <c r="RLD29"/>
      <c r="RLE29"/>
      <c r="RLF29"/>
      <c r="RLG29"/>
      <c r="RLH29"/>
      <c r="RLI29"/>
      <c r="RLJ29"/>
      <c r="RLK29"/>
      <c r="RLL29"/>
      <c r="RLM29"/>
      <c r="RLN29"/>
      <c r="RLO29"/>
      <c r="RLP29"/>
      <c r="RLQ29"/>
      <c r="RLR29"/>
      <c r="RLS29"/>
      <c r="RLT29"/>
      <c r="RLU29"/>
      <c r="RLV29"/>
      <c r="RLW29"/>
      <c r="RLX29"/>
      <c r="RLY29"/>
      <c r="RLZ29"/>
      <c r="RMA29"/>
      <c r="RMB29"/>
      <c r="RMC29"/>
      <c r="RMD29"/>
      <c r="RME29"/>
      <c r="RMF29"/>
      <c r="RMG29"/>
      <c r="RMH29"/>
      <c r="RMI29"/>
      <c r="RMJ29"/>
      <c r="RMK29"/>
      <c r="RML29"/>
      <c r="RMM29"/>
      <c r="RMN29"/>
      <c r="RMO29"/>
      <c r="RMP29"/>
      <c r="RMQ29"/>
      <c r="RMR29"/>
      <c r="RMS29"/>
      <c r="RMT29"/>
      <c r="RMU29"/>
      <c r="RMV29"/>
      <c r="RMW29"/>
      <c r="RMX29"/>
      <c r="RMY29"/>
      <c r="RMZ29"/>
      <c r="RNA29"/>
      <c r="RNB29"/>
      <c r="RNC29"/>
      <c r="RND29"/>
      <c r="RNE29"/>
      <c r="RNF29"/>
      <c r="RNG29"/>
      <c r="RNH29"/>
      <c r="RNI29"/>
      <c r="RNJ29"/>
      <c r="RNK29"/>
      <c r="RNL29"/>
      <c r="RNM29"/>
      <c r="RNN29"/>
      <c r="RNO29"/>
      <c r="RNP29"/>
      <c r="RNQ29"/>
      <c r="RNR29"/>
      <c r="RNS29"/>
      <c r="RNT29"/>
      <c r="RNU29"/>
      <c r="RNV29"/>
      <c r="RNW29"/>
      <c r="RNX29"/>
      <c r="RNY29"/>
      <c r="RNZ29"/>
      <c r="ROA29"/>
      <c r="ROB29"/>
      <c r="ROC29"/>
      <c r="ROD29"/>
      <c r="ROE29"/>
      <c r="ROF29"/>
      <c r="ROG29"/>
      <c r="ROH29"/>
      <c r="ROI29"/>
      <c r="ROJ29"/>
      <c r="ROK29"/>
      <c r="ROL29"/>
      <c r="ROM29"/>
      <c r="RON29"/>
      <c r="ROO29"/>
      <c r="ROP29"/>
      <c r="ROQ29"/>
      <c r="ROR29"/>
      <c r="ROS29"/>
      <c r="ROT29"/>
      <c r="ROU29"/>
      <c r="ROV29"/>
      <c r="ROW29"/>
      <c r="ROX29"/>
      <c r="ROY29"/>
      <c r="ROZ29"/>
      <c r="RPA29"/>
      <c r="RPB29"/>
      <c r="RPC29"/>
      <c r="RPD29"/>
      <c r="RPE29"/>
      <c r="RPF29"/>
      <c r="RPG29"/>
      <c r="RPH29"/>
      <c r="RPI29"/>
      <c r="RPJ29"/>
      <c r="RPK29"/>
      <c r="RPL29"/>
      <c r="RPM29"/>
      <c r="RPN29"/>
      <c r="RPO29"/>
      <c r="RPP29"/>
      <c r="RPQ29"/>
      <c r="RPR29"/>
      <c r="RPS29"/>
      <c r="RPT29"/>
      <c r="RPU29"/>
      <c r="RPV29"/>
      <c r="RPW29"/>
      <c r="RPX29"/>
      <c r="RPY29"/>
      <c r="RPZ29"/>
      <c r="RQA29"/>
      <c r="RQB29"/>
      <c r="RQC29"/>
      <c r="RQD29"/>
      <c r="RQE29"/>
      <c r="RQF29"/>
      <c r="RQG29"/>
      <c r="RQH29"/>
      <c r="RQI29"/>
      <c r="RQJ29"/>
      <c r="RQK29"/>
      <c r="RQL29"/>
      <c r="RQM29"/>
      <c r="RQN29"/>
      <c r="RQO29"/>
      <c r="RQP29"/>
      <c r="RQQ29"/>
      <c r="RQR29"/>
      <c r="RQS29"/>
      <c r="RQT29"/>
      <c r="RQU29"/>
      <c r="RQV29"/>
      <c r="RQW29"/>
      <c r="RQX29"/>
      <c r="RQY29"/>
      <c r="RQZ29"/>
      <c r="RRA29"/>
      <c r="RRB29"/>
      <c r="RRC29"/>
      <c r="RRD29"/>
      <c r="RRE29"/>
      <c r="RRF29"/>
      <c r="RRG29"/>
      <c r="RRH29"/>
      <c r="RRI29"/>
      <c r="RRJ29"/>
      <c r="RRK29"/>
      <c r="RRL29"/>
      <c r="RRM29"/>
      <c r="RRN29"/>
      <c r="RRO29"/>
      <c r="RRP29"/>
      <c r="RRQ29"/>
      <c r="RRR29"/>
      <c r="RRS29"/>
      <c r="RRT29"/>
      <c r="RRU29"/>
      <c r="RRV29"/>
      <c r="RRW29"/>
      <c r="RRX29"/>
      <c r="RRY29"/>
      <c r="RRZ29"/>
      <c r="RSA29"/>
      <c r="RSB29"/>
      <c r="RSC29"/>
      <c r="RSD29"/>
      <c r="RSE29"/>
      <c r="RSF29"/>
      <c r="RSG29"/>
      <c r="RSH29"/>
      <c r="RSI29"/>
      <c r="RSJ29"/>
      <c r="RSK29"/>
      <c r="RSL29"/>
      <c r="RSM29"/>
      <c r="RSN29"/>
      <c r="RSO29"/>
      <c r="RSP29"/>
      <c r="RSQ29"/>
      <c r="RSR29"/>
      <c r="RSS29"/>
      <c r="RST29"/>
      <c r="RSU29"/>
      <c r="RSV29"/>
      <c r="RSW29"/>
      <c r="RSX29"/>
      <c r="RSY29"/>
      <c r="RSZ29"/>
      <c r="RTA29"/>
      <c r="RTB29"/>
      <c r="RTC29"/>
      <c r="RTD29"/>
      <c r="RTE29"/>
      <c r="RTF29"/>
      <c r="RTG29"/>
      <c r="RTH29"/>
      <c r="RTI29"/>
      <c r="RTJ29"/>
      <c r="RTK29"/>
      <c r="RTL29"/>
      <c r="RTM29"/>
      <c r="RTN29"/>
      <c r="RTO29"/>
      <c r="RTP29"/>
      <c r="RTQ29"/>
      <c r="RTR29"/>
      <c r="RTS29"/>
      <c r="RTT29"/>
      <c r="RTU29"/>
      <c r="RTV29"/>
      <c r="RTW29"/>
      <c r="RTX29"/>
      <c r="RTY29"/>
      <c r="RTZ29"/>
      <c r="RUA29"/>
      <c r="RUB29"/>
      <c r="RUC29"/>
      <c r="RUD29"/>
      <c r="RUE29"/>
      <c r="RUF29"/>
      <c r="RUG29"/>
      <c r="RUH29"/>
      <c r="RUI29"/>
      <c r="RUJ29"/>
      <c r="RUK29"/>
      <c r="RUL29"/>
      <c r="RUM29"/>
      <c r="RUN29"/>
      <c r="RUO29"/>
      <c r="RUP29"/>
      <c r="RUQ29"/>
      <c r="RUR29"/>
      <c r="RUS29"/>
      <c r="RUT29"/>
      <c r="RUU29"/>
      <c r="RUV29"/>
      <c r="RUW29"/>
      <c r="RUX29"/>
      <c r="RUY29"/>
      <c r="RUZ29"/>
      <c r="RVA29"/>
      <c r="RVB29"/>
      <c r="RVC29"/>
      <c r="RVD29"/>
      <c r="RVE29"/>
      <c r="RVF29"/>
      <c r="RVG29"/>
      <c r="RVH29"/>
      <c r="RVI29"/>
      <c r="RVJ29"/>
      <c r="RVK29"/>
      <c r="RVL29"/>
      <c r="RVM29"/>
      <c r="RVN29"/>
      <c r="RVO29"/>
      <c r="RVP29"/>
      <c r="RVQ29"/>
      <c r="RVR29"/>
      <c r="RVS29"/>
      <c r="RVT29"/>
      <c r="RVU29"/>
      <c r="RVV29"/>
      <c r="RVW29"/>
      <c r="RVX29"/>
      <c r="RVY29"/>
      <c r="RVZ29"/>
      <c r="RWA29"/>
      <c r="RWB29"/>
      <c r="RWC29"/>
      <c r="RWD29"/>
      <c r="RWE29"/>
      <c r="RWF29"/>
      <c r="RWG29"/>
      <c r="RWH29"/>
      <c r="RWI29"/>
      <c r="RWJ29"/>
      <c r="RWK29"/>
      <c r="RWL29"/>
      <c r="RWM29"/>
      <c r="RWN29"/>
      <c r="RWO29"/>
      <c r="RWP29"/>
      <c r="RWQ29"/>
      <c r="RWR29"/>
      <c r="RWS29"/>
      <c r="RWT29"/>
      <c r="RWU29"/>
      <c r="RWV29"/>
      <c r="RWW29"/>
      <c r="RWX29"/>
      <c r="RWY29"/>
      <c r="RWZ29"/>
      <c r="RXA29"/>
      <c r="RXB29"/>
      <c r="RXC29"/>
      <c r="RXD29"/>
      <c r="RXE29"/>
      <c r="RXF29"/>
      <c r="RXG29"/>
      <c r="RXH29"/>
      <c r="RXI29"/>
      <c r="RXJ29"/>
      <c r="RXK29"/>
      <c r="RXL29"/>
      <c r="RXM29"/>
      <c r="RXN29"/>
      <c r="RXO29"/>
      <c r="RXP29"/>
      <c r="RXQ29"/>
      <c r="RXR29"/>
      <c r="RXS29"/>
      <c r="RXT29"/>
      <c r="RXU29"/>
      <c r="RXV29"/>
      <c r="RXW29"/>
      <c r="RXX29"/>
      <c r="RXY29"/>
      <c r="RXZ29"/>
      <c r="RYA29"/>
      <c r="RYB29"/>
      <c r="RYC29"/>
      <c r="RYD29"/>
      <c r="RYE29"/>
      <c r="RYF29"/>
      <c r="RYG29"/>
      <c r="RYH29"/>
      <c r="RYI29"/>
      <c r="RYJ29"/>
      <c r="RYK29"/>
      <c r="RYL29"/>
      <c r="RYM29"/>
      <c r="RYN29"/>
      <c r="RYO29"/>
      <c r="RYP29"/>
      <c r="RYQ29"/>
      <c r="RYR29"/>
      <c r="RYS29"/>
      <c r="RYT29"/>
      <c r="RYU29"/>
      <c r="RYV29"/>
      <c r="RYW29"/>
      <c r="RYX29"/>
      <c r="RYY29"/>
      <c r="RYZ29"/>
      <c r="RZA29"/>
      <c r="RZB29"/>
      <c r="RZC29"/>
      <c r="RZD29"/>
      <c r="RZE29"/>
      <c r="RZF29"/>
      <c r="RZG29"/>
      <c r="RZH29"/>
      <c r="RZI29"/>
      <c r="RZJ29"/>
      <c r="RZK29"/>
      <c r="RZL29"/>
      <c r="RZM29"/>
      <c r="RZN29"/>
      <c r="RZO29"/>
      <c r="RZP29"/>
      <c r="RZQ29"/>
      <c r="RZR29"/>
      <c r="RZS29"/>
      <c r="RZT29"/>
      <c r="RZU29"/>
      <c r="RZV29"/>
      <c r="RZW29"/>
      <c r="RZX29"/>
      <c r="RZY29"/>
      <c r="RZZ29"/>
      <c r="SAA29"/>
      <c r="SAB29"/>
      <c r="SAC29"/>
      <c r="SAD29"/>
      <c r="SAE29"/>
      <c r="SAF29"/>
      <c r="SAG29"/>
      <c r="SAH29"/>
      <c r="SAI29"/>
      <c r="SAJ29"/>
      <c r="SAK29"/>
      <c r="SAL29"/>
      <c r="SAM29"/>
      <c r="SAN29"/>
      <c r="SAO29"/>
      <c r="SAP29"/>
      <c r="SAQ29"/>
      <c r="SAR29"/>
      <c r="SAS29"/>
      <c r="SAT29"/>
      <c r="SAU29"/>
      <c r="SAV29"/>
      <c r="SAW29"/>
      <c r="SAX29"/>
      <c r="SAY29"/>
      <c r="SAZ29"/>
      <c r="SBA29"/>
      <c r="SBB29"/>
      <c r="SBC29"/>
      <c r="SBD29"/>
      <c r="SBE29"/>
      <c r="SBF29"/>
      <c r="SBG29"/>
      <c r="SBH29"/>
      <c r="SBI29"/>
      <c r="SBJ29"/>
      <c r="SBK29"/>
      <c r="SBL29"/>
      <c r="SBM29"/>
      <c r="SBN29"/>
      <c r="SBO29"/>
      <c r="SBP29"/>
      <c r="SBQ29"/>
      <c r="SBR29"/>
      <c r="SBS29"/>
      <c r="SBT29"/>
      <c r="SBU29"/>
      <c r="SBV29"/>
      <c r="SBW29"/>
      <c r="SBX29"/>
      <c r="SBY29"/>
      <c r="SBZ29"/>
      <c r="SCA29"/>
      <c r="SCB29"/>
      <c r="SCC29"/>
      <c r="SCD29"/>
      <c r="SCE29"/>
      <c r="SCF29"/>
      <c r="SCG29"/>
      <c r="SCH29"/>
      <c r="SCI29"/>
      <c r="SCJ29"/>
      <c r="SCK29"/>
      <c r="SCL29"/>
      <c r="SCM29"/>
      <c r="SCN29"/>
      <c r="SCO29"/>
      <c r="SCP29"/>
      <c r="SCQ29"/>
      <c r="SCR29"/>
      <c r="SCS29"/>
      <c r="SCT29"/>
      <c r="SCU29"/>
      <c r="SCV29"/>
      <c r="SCW29"/>
      <c r="SCX29"/>
      <c r="SCY29"/>
      <c r="SCZ29"/>
      <c r="SDA29"/>
      <c r="SDB29"/>
      <c r="SDC29"/>
      <c r="SDD29"/>
      <c r="SDE29"/>
      <c r="SDF29"/>
      <c r="SDG29"/>
      <c r="SDH29"/>
      <c r="SDI29"/>
      <c r="SDJ29"/>
      <c r="SDK29"/>
      <c r="SDL29"/>
      <c r="SDM29"/>
      <c r="SDN29"/>
      <c r="SDO29"/>
      <c r="SDP29"/>
      <c r="SDQ29"/>
      <c r="SDR29"/>
      <c r="SDS29"/>
      <c r="SDT29"/>
      <c r="SDU29"/>
      <c r="SDV29"/>
      <c r="SDW29"/>
      <c r="SDX29"/>
      <c r="SDY29"/>
      <c r="SDZ29"/>
      <c r="SEA29"/>
      <c r="SEB29"/>
      <c r="SEC29"/>
      <c r="SED29"/>
      <c r="SEE29"/>
      <c r="SEF29"/>
      <c r="SEG29"/>
      <c r="SEH29"/>
      <c r="SEI29"/>
      <c r="SEJ29"/>
      <c r="SEK29"/>
      <c r="SEL29"/>
      <c r="SEM29"/>
      <c r="SEN29"/>
      <c r="SEO29"/>
      <c r="SEP29"/>
      <c r="SEQ29"/>
      <c r="SER29"/>
      <c r="SES29"/>
      <c r="SET29"/>
      <c r="SEU29"/>
      <c r="SEV29"/>
      <c r="SEW29"/>
      <c r="SEX29"/>
      <c r="SEY29"/>
      <c r="SEZ29"/>
      <c r="SFA29"/>
      <c r="SFB29"/>
      <c r="SFC29"/>
      <c r="SFD29"/>
      <c r="SFE29"/>
      <c r="SFF29"/>
      <c r="SFG29"/>
      <c r="SFH29"/>
      <c r="SFI29"/>
      <c r="SFJ29"/>
      <c r="SFK29"/>
      <c r="SFL29"/>
      <c r="SFM29"/>
      <c r="SFN29"/>
      <c r="SFO29"/>
      <c r="SFP29"/>
      <c r="SFQ29"/>
      <c r="SFR29"/>
      <c r="SFS29"/>
      <c r="SFT29"/>
      <c r="SFU29"/>
      <c r="SFV29"/>
      <c r="SFW29"/>
      <c r="SFX29"/>
      <c r="SFY29"/>
      <c r="SFZ29"/>
      <c r="SGA29"/>
      <c r="SGB29"/>
      <c r="SGC29"/>
      <c r="SGD29"/>
      <c r="SGE29"/>
      <c r="SGF29"/>
      <c r="SGG29"/>
      <c r="SGH29"/>
      <c r="SGI29"/>
      <c r="SGJ29"/>
      <c r="SGK29"/>
      <c r="SGL29"/>
      <c r="SGM29"/>
      <c r="SGN29"/>
      <c r="SGO29"/>
      <c r="SGP29"/>
      <c r="SGQ29"/>
      <c r="SGR29"/>
      <c r="SGS29"/>
      <c r="SGT29"/>
      <c r="SGU29"/>
      <c r="SGV29"/>
      <c r="SGW29"/>
      <c r="SGX29"/>
      <c r="SGY29"/>
      <c r="SGZ29"/>
      <c r="SHA29"/>
      <c r="SHB29"/>
      <c r="SHC29"/>
      <c r="SHD29"/>
      <c r="SHE29"/>
      <c r="SHF29"/>
      <c r="SHG29"/>
      <c r="SHH29"/>
      <c r="SHI29"/>
      <c r="SHJ29"/>
      <c r="SHK29"/>
      <c r="SHL29"/>
      <c r="SHM29"/>
      <c r="SHN29"/>
      <c r="SHO29"/>
      <c r="SHP29"/>
      <c r="SHQ29"/>
      <c r="SHR29"/>
      <c r="SHS29"/>
      <c r="SHT29"/>
      <c r="SHU29"/>
      <c r="SHV29"/>
      <c r="SHW29"/>
      <c r="SHX29"/>
      <c r="SHY29"/>
      <c r="SHZ29"/>
      <c r="SIA29"/>
      <c r="SIB29"/>
      <c r="SIC29"/>
      <c r="SID29"/>
      <c r="SIE29"/>
      <c r="SIF29"/>
      <c r="SIG29"/>
      <c r="SIH29"/>
      <c r="SII29"/>
      <c r="SIJ29"/>
      <c r="SIK29"/>
      <c r="SIL29"/>
      <c r="SIM29"/>
      <c r="SIN29"/>
      <c r="SIO29"/>
      <c r="SIP29"/>
      <c r="SIQ29"/>
      <c r="SIR29"/>
      <c r="SIS29"/>
      <c r="SIT29"/>
      <c r="SIU29"/>
      <c r="SIV29"/>
      <c r="SIW29"/>
      <c r="SIX29"/>
      <c r="SIY29"/>
      <c r="SIZ29"/>
      <c r="SJA29"/>
      <c r="SJB29"/>
      <c r="SJC29"/>
      <c r="SJD29"/>
      <c r="SJE29"/>
      <c r="SJF29"/>
      <c r="SJG29"/>
      <c r="SJH29"/>
      <c r="SJI29"/>
      <c r="SJJ29"/>
      <c r="SJK29"/>
      <c r="SJL29"/>
      <c r="SJM29"/>
      <c r="SJN29"/>
      <c r="SJO29"/>
      <c r="SJP29"/>
      <c r="SJQ29"/>
      <c r="SJR29"/>
      <c r="SJS29"/>
      <c r="SJT29"/>
      <c r="SJU29"/>
      <c r="SJV29"/>
      <c r="SJW29"/>
      <c r="SJX29"/>
      <c r="SJY29"/>
      <c r="SJZ29"/>
      <c r="SKA29"/>
      <c r="SKB29"/>
      <c r="SKC29"/>
      <c r="SKD29"/>
      <c r="SKE29"/>
      <c r="SKF29"/>
      <c r="SKG29"/>
      <c r="SKH29"/>
      <c r="SKI29"/>
      <c r="SKJ29"/>
      <c r="SKK29"/>
      <c r="SKL29"/>
      <c r="SKM29"/>
      <c r="SKN29"/>
      <c r="SKO29"/>
      <c r="SKP29"/>
      <c r="SKQ29"/>
      <c r="SKR29"/>
      <c r="SKS29"/>
      <c r="SKT29"/>
      <c r="SKU29"/>
      <c r="SKV29"/>
      <c r="SKW29"/>
      <c r="SKX29"/>
      <c r="SKY29"/>
      <c r="SKZ29"/>
      <c r="SLA29"/>
      <c r="SLB29"/>
      <c r="SLC29"/>
      <c r="SLD29"/>
      <c r="SLE29"/>
      <c r="SLF29"/>
      <c r="SLG29"/>
      <c r="SLH29"/>
      <c r="SLI29"/>
      <c r="SLJ29"/>
      <c r="SLK29"/>
      <c r="SLL29"/>
      <c r="SLM29"/>
      <c r="SLN29"/>
      <c r="SLO29"/>
      <c r="SLP29"/>
      <c r="SLQ29"/>
      <c r="SLR29"/>
      <c r="SLS29"/>
      <c r="SLT29"/>
      <c r="SLU29"/>
      <c r="SLV29"/>
      <c r="SLW29"/>
      <c r="SLX29"/>
      <c r="SLY29"/>
      <c r="SLZ29"/>
      <c r="SMA29"/>
      <c r="SMB29"/>
      <c r="SMC29"/>
      <c r="SMD29"/>
      <c r="SME29"/>
      <c r="SMF29"/>
      <c r="SMG29"/>
      <c r="SMH29"/>
      <c r="SMI29"/>
      <c r="SMJ29"/>
      <c r="SMK29"/>
      <c r="SML29"/>
      <c r="SMM29"/>
      <c r="SMN29"/>
      <c r="SMO29"/>
      <c r="SMP29"/>
      <c r="SMQ29"/>
      <c r="SMR29"/>
      <c r="SMS29"/>
      <c r="SMT29"/>
      <c r="SMU29"/>
      <c r="SMV29"/>
      <c r="SMW29"/>
      <c r="SMX29"/>
      <c r="SMY29"/>
      <c r="SMZ29"/>
      <c r="SNA29"/>
      <c r="SNB29"/>
      <c r="SNC29"/>
      <c r="SND29"/>
      <c r="SNE29"/>
      <c r="SNF29"/>
      <c r="SNG29"/>
      <c r="SNH29"/>
      <c r="SNI29"/>
      <c r="SNJ29"/>
      <c r="SNK29"/>
      <c r="SNL29"/>
      <c r="SNM29"/>
      <c r="SNN29"/>
      <c r="SNO29"/>
      <c r="SNP29"/>
      <c r="SNQ29"/>
      <c r="SNR29"/>
      <c r="SNS29"/>
      <c r="SNT29"/>
      <c r="SNU29"/>
      <c r="SNV29"/>
      <c r="SNW29"/>
      <c r="SNX29"/>
      <c r="SNY29"/>
      <c r="SNZ29"/>
      <c r="SOA29"/>
      <c r="SOB29"/>
      <c r="SOC29"/>
      <c r="SOD29"/>
      <c r="SOE29"/>
      <c r="SOF29"/>
      <c r="SOG29"/>
      <c r="SOH29"/>
      <c r="SOI29"/>
      <c r="SOJ29"/>
      <c r="SOK29"/>
      <c r="SOL29"/>
      <c r="SOM29"/>
      <c r="SON29"/>
      <c r="SOO29"/>
      <c r="SOP29"/>
      <c r="SOQ29"/>
      <c r="SOR29"/>
      <c r="SOS29"/>
      <c r="SOT29"/>
      <c r="SOU29"/>
      <c r="SOV29"/>
      <c r="SOW29"/>
      <c r="SOX29"/>
      <c r="SOY29"/>
      <c r="SOZ29"/>
      <c r="SPA29"/>
      <c r="SPB29"/>
      <c r="SPC29"/>
      <c r="SPD29"/>
      <c r="SPE29"/>
      <c r="SPF29"/>
      <c r="SPG29"/>
      <c r="SPH29"/>
      <c r="SPI29"/>
      <c r="SPJ29"/>
      <c r="SPK29"/>
      <c r="SPL29"/>
      <c r="SPM29"/>
      <c r="SPN29"/>
      <c r="SPO29"/>
      <c r="SPP29"/>
      <c r="SPQ29"/>
      <c r="SPR29"/>
      <c r="SPS29"/>
      <c r="SPT29"/>
      <c r="SPU29"/>
      <c r="SPV29"/>
      <c r="SPW29"/>
      <c r="SPX29"/>
      <c r="SPY29"/>
      <c r="SPZ29"/>
      <c r="SQA29"/>
      <c r="SQB29"/>
      <c r="SQC29"/>
      <c r="SQD29"/>
      <c r="SQE29"/>
      <c r="SQF29"/>
      <c r="SQG29"/>
      <c r="SQH29"/>
      <c r="SQI29"/>
      <c r="SQJ29"/>
      <c r="SQK29"/>
      <c r="SQL29"/>
      <c r="SQM29"/>
      <c r="SQN29"/>
      <c r="SQO29"/>
      <c r="SQP29"/>
      <c r="SQQ29"/>
      <c r="SQR29"/>
      <c r="SQS29"/>
      <c r="SQT29"/>
      <c r="SQU29"/>
      <c r="SQV29"/>
      <c r="SQW29"/>
      <c r="SQX29"/>
      <c r="SQY29"/>
      <c r="SQZ29"/>
      <c r="SRA29"/>
      <c r="SRB29"/>
      <c r="SRC29"/>
      <c r="SRD29"/>
      <c r="SRE29"/>
      <c r="SRF29"/>
      <c r="SRG29"/>
      <c r="SRH29"/>
      <c r="SRI29"/>
      <c r="SRJ29"/>
      <c r="SRK29"/>
      <c r="SRL29"/>
      <c r="SRM29"/>
      <c r="SRN29"/>
      <c r="SRO29"/>
      <c r="SRP29"/>
      <c r="SRQ29"/>
      <c r="SRR29"/>
      <c r="SRS29"/>
      <c r="SRT29"/>
      <c r="SRU29"/>
      <c r="SRV29"/>
      <c r="SRW29"/>
      <c r="SRX29"/>
      <c r="SRY29"/>
      <c r="SRZ29"/>
      <c r="SSA29"/>
      <c r="SSB29"/>
      <c r="SSC29"/>
      <c r="SSD29"/>
      <c r="SSE29"/>
      <c r="SSF29"/>
      <c r="SSG29"/>
      <c r="SSH29"/>
      <c r="SSI29"/>
      <c r="SSJ29"/>
      <c r="SSK29"/>
      <c r="SSL29"/>
      <c r="SSM29"/>
      <c r="SSN29"/>
      <c r="SSO29"/>
      <c r="SSP29"/>
      <c r="SSQ29"/>
      <c r="SSR29"/>
      <c r="SSS29"/>
      <c r="SST29"/>
      <c r="SSU29"/>
      <c r="SSV29"/>
      <c r="SSW29"/>
      <c r="SSX29"/>
      <c r="SSY29"/>
      <c r="SSZ29"/>
      <c r="STA29"/>
      <c r="STB29"/>
      <c r="STC29"/>
      <c r="STD29"/>
      <c r="STE29"/>
      <c r="STF29"/>
      <c r="STG29"/>
      <c r="STH29"/>
      <c r="STI29"/>
      <c r="STJ29"/>
      <c r="STK29"/>
      <c r="STL29"/>
      <c r="STM29"/>
      <c r="STN29"/>
      <c r="STO29"/>
      <c r="STP29"/>
      <c r="STQ29"/>
      <c r="STR29"/>
      <c r="STS29"/>
      <c r="STT29"/>
      <c r="STU29"/>
      <c r="STV29"/>
      <c r="STW29"/>
      <c r="STX29"/>
      <c r="STY29"/>
      <c r="STZ29"/>
      <c r="SUA29"/>
      <c r="SUB29"/>
      <c r="SUC29"/>
      <c r="SUD29"/>
      <c r="SUE29"/>
      <c r="SUF29"/>
      <c r="SUG29"/>
      <c r="SUH29"/>
      <c r="SUI29"/>
      <c r="SUJ29"/>
      <c r="SUK29"/>
      <c r="SUL29"/>
      <c r="SUM29"/>
      <c r="SUN29"/>
      <c r="SUO29"/>
      <c r="SUP29"/>
      <c r="SUQ29"/>
      <c r="SUR29"/>
      <c r="SUS29"/>
      <c r="SUT29"/>
      <c r="SUU29"/>
      <c r="SUV29"/>
      <c r="SUW29"/>
      <c r="SUX29"/>
      <c r="SUY29"/>
      <c r="SUZ29"/>
      <c r="SVA29"/>
      <c r="SVB29"/>
      <c r="SVC29"/>
      <c r="SVD29"/>
      <c r="SVE29"/>
      <c r="SVF29"/>
      <c r="SVG29"/>
      <c r="SVH29"/>
      <c r="SVI29"/>
      <c r="SVJ29"/>
      <c r="SVK29"/>
      <c r="SVL29"/>
      <c r="SVM29"/>
      <c r="SVN29"/>
      <c r="SVO29"/>
      <c r="SVP29"/>
      <c r="SVQ29"/>
      <c r="SVR29"/>
      <c r="SVS29"/>
      <c r="SVT29"/>
      <c r="SVU29"/>
      <c r="SVV29"/>
      <c r="SVW29"/>
      <c r="SVX29"/>
      <c r="SVY29"/>
      <c r="SVZ29"/>
      <c r="SWA29"/>
      <c r="SWB29"/>
      <c r="SWC29"/>
      <c r="SWD29"/>
      <c r="SWE29"/>
      <c r="SWF29"/>
      <c r="SWG29"/>
      <c r="SWH29"/>
      <c r="SWI29"/>
      <c r="SWJ29"/>
      <c r="SWK29"/>
      <c r="SWL29"/>
      <c r="SWM29"/>
      <c r="SWN29"/>
      <c r="SWO29"/>
      <c r="SWP29"/>
      <c r="SWQ29"/>
      <c r="SWR29"/>
      <c r="SWS29"/>
      <c r="SWT29"/>
      <c r="SWU29"/>
      <c r="SWV29"/>
      <c r="SWW29"/>
      <c r="SWX29"/>
      <c r="SWY29"/>
      <c r="SWZ29"/>
      <c r="SXA29"/>
      <c r="SXB29"/>
      <c r="SXC29"/>
      <c r="SXD29"/>
      <c r="SXE29"/>
      <c r="SXF29"/>
      <c r="SXG29"/>
      <c r="SXH29"/>
      <c r="SXI29"/>
      <c r="SXJ29"/>
      <c r="SXK29"/>
      <c r="SXL29"/>
      <c r="SXM29"/>
      <c r="SXN29"/>
      <c r="SXO29"/>
      <c r="SXP29"/>
      <c r="SXQ29"/>
      <c r="SXR29"/>
      <c r="SXS29"/>
      <c r="SXT29"/>
      <c r="SXU29"/>
      <c r="SXV29"/>
      <c r="SXW29"/>
      <c r="SXX29"/>
      <c r="SXY29"/>
      <c r="SXZ29"/>
      <c r="SYA29"/>
      <c r="SYB29"/>
      <c r="SYC29"/>
      <c r="SYD29"/>
      <c r="SYE29"/>
      <c r="SYF29"/>
      <c r="SYG29"/>
      <c r="SYH29"/>
      <c r="SYI29"/>
      <c r="SYJ29"/>
      <c r="SYK29"/>
      <c r="SYL29"/>
      <c r="SYM29"/>
      <c r="SYN29"/>
      <c r="SYO29"/>
      <c r="SYP29"/>
      <c r="SYQ29"/>
      <c r="SYR29"/>
      <c r="SYS29"/>
      <c r="SYT29"/>
      <c r="SYU29"/>
      <c r="SYV29"/>
      <c r="SYW29"/>
      <c r="SYX29"/>
      <c r="SYY29"/>
      <c r="SYZ29"/>
      <c r="SZA29"/>
      <c r="SZB29"/>
      <c r="SZC29"/>
      <c r="SZD29"/>
      <c r="SZE29"/>
      <c r="SZF29"/>
      <c r="SZG29"/>
      <c r="SZH29"/>
      <c r="SZI29"/>
      <c r="SZJ29"/>
      <c r="SZK29"/>
      <c r="SZL29"/>
      <c r="SZM29"/>
      <c r="SZN29"/>
      <c r="SZO29"/>
      <c r="SZP29"/>
      <c r="SZQ29"/>
      <c r="SZR29"/>
      <c r="SZS29"/>
      <c r="SZT29"/>
      <c r="SZU29"/>
      <c r="SZV29"/>
      <c r="SZW29"/>
      <c r="SZX29"/>
      <c r="SZY29"/>
      <c r="SZZ29"/>
      <c r="TAA29"/>
      <c r="TAB29"/>
      <c r="TAC29"/>
      <c r="TAD29"/>
      <c r="TAE29"/>
      <c r="TAF29"/>
      <c r="TAG29"/>
      <c r="TAH29"/>
      <c r="TAI29"/>
      <c r="TAJ29"/>
      <c r="TAK29"/>
      <c r="TAL29"/>
      <c r="TAM29"/>
      <c r="TAN29"/>
      <c r="TAO29"/>
      <c r="TAP29"/>
      <c r="TAQ29"/>
      <c r="TAR29"/>
      <c r="TAS29"/>
      <c r="TAT29"/>
      <c r="TAU29"/>
      <c r="TAV29"/>
      <c r="TAW29"/>
      <c r="TAX29"/>
      <c r="TAY29"/>
      <c r="TAZ29"/>
      <c r="TBA29"/>
      <c r="TBB29"/>
      <c r="TBC29"/>
      <c r="TBD29"/>
      <c r="TBE29"/>
      <c r="TBF29"/>
      <c r="TBG29"/>
      <c r="TBH29"/>
      <c r="TBI29"/>
      <c r="TBJ29"/>
      <c r="TBK29"/>
      <c r="TBL29"/>
      <c r="TBM29"/>
      <c r="TBN29"/>
      <c r="TBO29"/>
      <c r="TBP29"/>
      <c r="TBQ29"/>
      <c r="TBR29"/>
      <c r="TBS29"/>
      <c r="TBT29"/>
      <c r="TBU29"/>
      <c r="TBV29"/>
      <c r="TBW29"/>
      <c r="TBX29"/>
      <c r="TBY29"/>
      <c r="TBZ29"/>
      <c r="TCA29"/>
      <c r="TCB29"/>
      <c r="TCC29"/>
      <c r="TCD29"/>
      <c r="TCE29"/>
      <c r="TCF29"/>
      <c r="TCG29"/>
      <c r="TCH29"/>
      <c r="TCI29"/>
      <c r="TCJ29"/>
      <c r="TCK29"/>
      <c r="TCL29"/>
      <c r="TCM29"/>
      <c r="TCN29"/>
      <c r="TCO29"/>
      <c r="TCP29"/>
      <c r="TCQ29"/>
      <c r="TCR29"/>
      <c r="TCS29"/>
      <c r="TCT29"/>
      <c r="TCU29"/>
      <c r="TCV29"/>
      <c r="TCW29"/>
      <c r="TCX29"/>
      <c r="TCY29"/>
      <c r="TCZ29"/>
      <c r="TDA29"/>
      <c r="TDB29"/>
      <c r="TDC29"/>
      <c r="TDD29"/>
      <c r="TDE29"/>
      <c r="TDF29"/>
      <c r="TDG29"/>
      <c r="TDH29"/>
      <c r="TDI29"/>
      <c r="TDJ29"/>
      <c r="TDK29"/>
      <c r="TDL29"/>
      <c r="TDM29"/>
      <c r="TDN29"/>
      <c r="TDO29"/>
      <c r="TDP29"/>
      <c r="TDQ29"/>
      <c r="TDR29"/>
      <c r="TDS29"/>
      <c r="TDT29"/>
      <c r="TDU29"/>
      <c r="TDV29"/>
      <c r="TDW29"/>
      <c r="TDX29"/>
      <c r="TDY29"/>
      <c r="TDZ29"/>
      <c r="TEA29"/>
      <c r="TEB29"/>
      <c r="TEC29"/>
      <c r="TED29"/>
      <c r="TEE29"/>
      <c r="TEF29"/>
      <c r="TEG29"/>
      <c r="TEH29"/>
      <c r="TEI29"/>
      <c r="TEJ29"/>
      <c r="TEK29"/>
      <c r="TEL29"/>
      <c r="TEM29"/>
      <c r="TEN29"/>
      <c r="TEO29"/>
      <c r="TEP29"/>
      <c r="TEQ29"/>
      <c r="TER29"/>
      <c r="TES29"/>
      <c r="TET29"/>
      <c r="TEU29"/>
      <c r="TEV29"/>
      <c r="TEW29"/>
      <c r="TEX29"/>
      <c r="TEY29"/>
      <c r="TEZ29"/>
      <c r="TFA29"/>
      <c r="TFB29"/>
      <c r="TFC29"/>
      <c r="TFD29"/>
      <c r="TFE29"/>
      <c r="TFF29"/>
      <c r="TFG29"/>
      <c r="TFH29"/>
      <c r="TFI29"/>
      <c r="TFJ29"/>
      <c r="TFK29"/>
      <c r="TFL29"/>
      <c r="TFM29"/>
      <c r="TFN29"/>
      <c r="TFO29"/>
      <c r="TFP29"/>
      <c r="TFQ29"/>
      <c r="TFR29"/>
      <c r="TFS29"/>
      <c r="TFT29"/>
      <c r="TFU29"/>
      <c r="TFV29"/>
      <c r="TFW29"/>
      <c r="TFX29"/>
      <c r="TFY29"/>
      <c r="TFZ29"/>
      <c r="TGA29"/>
      <c r="TGB29"/>
      <c r="TGC29"/>
      <c r="TGD29"/>
      <c r="TGE29"/>
      <c r="TGF29"/>
      <c r="TGG29"/>
      <c r="TGH29"/>
      <c r="TGI29"/>
      <c r="TGJ29"/>
      <c r="TGK29"/>
      <c r="TGL29"/>
      <c r="TGM29"/>
      <c r="TGN29"/>
      <c r="TGO29"/>
      <c r="TGP29"/>
      <c r="TGQ29"/>
      <c r="TGR29"/>
      <c r="TGS29"/>
      <c r="TGT29"/>
      <c r="TGU29"/>
      <c r="TGV29"/>
      <c r="TGW29"/>
      <c r="TGX29"/>
      <c r="TGY29"/>
      <c r="TGZ29"/>
      <c r="THA29"/>
      <c r="THB29"/>
      <c r="THC29"/>
      <c r="THD29"/>
      <c r="THE29"/>
      <c r="THF29"/>
      <c r="THG29"/>
      <c r="THH29"/>
      <c r="THI29"/>
      <c r="THJ29"/>
      <c r="THK29"/>
      <c r="THL29"/>
      <c r="THM29"/>
      <c r="THN29"/>
      <c r="THO29"/>
      <c r="THP29"/>
      <c r="THQ29"/>
      <c r="THR29"/>
      <c r="THS29"/>
      <c r="THT29"/>
      <c r="THU29"/>
      <c r="THV29"/>
      <c r="THW29"/>
      <c r="THX29"/>
      <c r="THY29"/>
      <c r="THZ29"/>
      <c r="TIA29"/>
      <c r="TIB29"/>
      <c r="TIC29"/>
      <c r="TID29"/>
      <c r="TIE29"/>
      <c r="TIF29"/>
      <c r="TIG29"/>
      <c r="TIH29"/>
      <c r="TII29"/>
      <c r="TIJ29"/>
      <c r="TIK29"/>
      <c r="TIL29"/>
      <c r="TIM29"/>
      <c r="TIN29"/>
      <c r="TIO29"/>
      <c r="TIP29"/>
      <c r="TIQ29"/>
      <c r="TIR29"/>
      <c r="TIS29"/>
      <c r="TIT29"/>
      <c r="TIU29"/>
      <c r="TIV29"/>
      <c r="TIW29"/>
      <c r="TIX29"/>
      <c r="TIY29"/>
      <c r="TIZ29"/>
      <c r="TJA29"/>
      <c r="TJB29"/>
      <c r="TJC29"/>
      <c r="TJD29"/>
      <c r="TJE29"/>
      <c r="TJF29"/>
      <c r="TJG29"/>
      <c r="TJH29"/>
      <c r="TJI29"/>
      <c r="TJJ29"/>
      <c r="TJK29"/>
      <c r="TJL29"/>
      <c r="TJM29"/>
      <c r="TJN29"/>
      <c r="TJO29"/>
      <c r="TJP29"/>
      <c r="TJQ29"/>
      <c r="TJR29"/>
      <c r="TJS29"/>
      <c r="TJT29"/>
      <c r="TJU29"/>
      <c r="TJV29"/>
      <c r="TJW29"/>
      <c r="TJX29"/>
      <c r="TJY29"/>
      <c r="TJZ29"/>
      <c r="TKA29"/>
      <c r="TKB29"/>
      <c r="TKC29"/>
      <c r="TKD29"/>
      <c r="TKE29"/>
      <c r="TKF29"/>
      <c r="TKG29"/>
      <c r="TKH29"/>
      <c r="TKI29"/>
      <c r="TKJ29"/>
      <c r="TKK29"/>
      <c r="TKL29"/>
      <c r="TKM29"/>
      <c r="TKN29"/>
      <c r="TKO29"/>
      <c r="TKP29"/>
      <c r="TKQ29"/>
      <c r="TKR29"/>
      <c r="TKS29"/>
      <c r="TKT29"/>
      <c r="TKU29"/>
      <c r="TKV29"/>
      <c r="TKW29"/>
      <c r="TKX29"/>
      <c r="TKY29"/>
      <c r="TKZ29"/>
      <c r="TLA29"/>
      <c r="TLB29"/>
      <c r="TLC29"/>
      <c r="TLD29"/>
      <c r="TLE29"/>
      <c r="TLF29"/>
      <c r="TLG29"/>
      <c r="TLH29"/>
      <c r="TLI29"/>
      <c r="TLJ29"/>
      <c r="TLK29"/>
      <c r="TLL29"/>
      <c r="TLM29"/>
      <c r="TLN29"/>
      <c r="TLO29"/>
      <c r="TLP29"/>
      <c r="TLQ29"/>
      <c r="TLR29"/>
      <c r="TLS29"/>
      <c r="TLT29"/>
      <c r="TLU29"/>
      <c r="TLV29"/>
      <c r="TLW29"/>
      <c r="TLX29"/>
      <c r="TLY29"/>
      <c r="TLZ29"/>
      <c r="TMA29"/>
      <c r="TMB29"/>
      <c r="TMC29"/>
      <c r="TMD29"/>
      <c r="TME29"/>
      <c r="TMF29"/>
      <c r="TMG29"/>
      <c r="TMH29"/>
      <c r="TMI29"/>
      <c r="TMJ29"/>
      <c r="TMK29"/>
      <c r="TML29"/>
      <c r="TMM29"/>
      <c r="TMN29"/>
      <c r="TMO29"/>
      <c r="TMP29"/>
      <c r="TMQ29"/>
      <c r="TMR29"/>
      <c r="TMS29"/>
      <c r="TMT29"/>
      <c r="TMU29"/>
      <c r="TMV29"/>
      <c r="TMW29"/>
      <c r="TMX29"/>
      <c r="TMY29"/>
      <c r="TMZ29"/>
      <c r="TNA29"/>
      <c r="TNB29"/>
      <c r="TNC29"/>
      <c r="TND29"/>
      <c r="TNE29"/>
      <c r="TNF29"/>
      <c r="TNG29"/>
      <c r="TNH29"/>
      <c r="TNI29"/>
      <c r="TNJ29"/>
      <c r="TNK29"/>
      <c r="TNL29"/>
      <c r="TNM29"/>
      <c r="TNN29"/>
      <c r="TNO29"/>
      <c r="TNP29"/>
      <c r="TNQ29"/>
      <c r="TNR29"/>
      <c r="TNS29"/>
      <c r="TNT29"/>
      <c r="TNU29"/>
      <c r="TNV29"/>
      <c r="TNW29"/>
      <c r="TNX29"/>
      <c r="TNY29"/>
      <c r="TNZ29"/>
      <c r="TOA29"/>
      <c r="TOB29"/>
      <c r="TOC29"/>
      <c r="TOD29"/>
      <c r="TOE29"/>
      <c r="TOF29"/>
      <c r="TOG29"/>
      <c r="TOH29"/>
      <c r="TOI29"/>
      <c r="TOJ29"/>
      <c r="TOK29"/>
      <c r="TOL29"/>
      <c r="TOM29"/>
      <c r="TON29"/>
      <c r="TOO29"/>
      <c r="TOP29"/>
      <c r="TOQ29"/>
      <c r="TOR29"/>
      <c r="TOS29"/>
      <c r="TOT29"/>
      <c r="TOU29"/>
      <c r="TOV29"/>
      <c r="TOW29"/>
      <c r="TOX29"/>
      <c r="TOY29"/>
      <c r="TOZ29"/>
      <c r="TPA29"/>
      <c r="TPB29"/>
      <c r="TPC29"/>
      <c r="TPD29"/>
      <c r="TPE29"/>
      <c r="TPF29"/>
      <c r="TPG29"/>
      <c r="TPH29"/>
      <c r="TPI29"/>
      <c r="TPJ29"/>
      <c r="TPK29"/>
      <c r="TPL29"/>
      <c r="TPM29"/>
      <c r="TPN29"/>
      <c r="TPO29"/>
      <c r="TPP29"/>
      <c r="TPQ29"/>
      <c r="TPR29"/>
      <c r="TPS29"/>
      <c r="TPT29"/>
      <c r="TPU29"/>
      <c r="TPV29"/>
      <c r="TPW29"/>
      <c r="TPX29"/>
      <c r="TPY29"/>
      <c r="TPZ29"/>
      <c r="TQA29"/>
      <c r="TQB29"/>
      <c r="TQC29"/>
      <c r="TQD29"/>
      <c r="TQE29"/>
      <c r="TQF29"/>
      <c r="TQG29"/>
      <c r="TQH29"/>
      <c r="TQI29"/>
      <c r="TQJ29"/>
      <c r="TQK29"/>
      <c r="TQL29"/>
      <c r="TQM29"/>
      <c r="TQN29"/>
      <c r="TQO29"/>
      <c r="TQP29"/>
      <c r="TQQ29"/>
      <c r="TQR29"/>
      <c r="TQS29"/>
      <c r="TQT29"/>
      <c r="TQU29"/>
      <c r="TQV29"/>
      <c r="TQW29"/>
      <c r="TQX29"/>
      <c r="TQY29"/>
      <c r="TQZ29"/>
      <c r="TRA29"/>
      <c r="TRB29"/>
      <c r="TRC29"/>
      <c r="TRD29"/>
      <c r="TRE29"/>
      <c r="TRF29"/>
      <c r="TRG29"/>
      <c r="TRH29"/>
      <c r="TRI29"/>
      <c r="TRJ29"/>
      <c r="TRK29"/>
      <c r="TRL29"/>
      <c r="TRM29"/>
      <c r="TRN29"/>
      <c r="TRO29"/>
      <c r="TRP29"/>
      <c r="TRQ29"/>
      <c r="TRR29"/>
      <c r="TRS29"/>
      <c r="TRT29"/>
      <c r="TRU29"/>
      <c r="TRV29"/>
      <c r="TRW29"/>
      <c r="TRX29"/>
      <c r="TRY29"/>
      <c r="TRZ29"/>
      <c r="TSA29"/>
      <c r="TSB29"/>
      <c r="TSC29"/>
      <c r="TSD29"/>
      <c r="TSE29"/>
      <c r="TSF29"/>
      <c r="TSG29"/>
      <c r="TSH29"/>
      <c r="TSI29"/>
      <c r="TSJ29"/>
      <c r="TSK29"/>
      <c r="TSL29"/>
      <c r="TSM29"/>
      <c r="TSN29"/>
      <c r="TSO29"/>
      <c r="TSP29"/>
      <c r="TSQ29"/>
      <c r="TSR29"/>
      <c r="TSS29"/>
      <c r="TST29"/>
      <c r="TSU29"/>
      <c r="TSV29"/>
      <c r="TSW29"/>
      <c r="TSX29"/>
      <c r="TSY29"/>
      <c r="TSZ29"/>
      <c r="TTA29"/>
      <c r="TTB29"/>
      <c r="TTC29"/>
      <c r="TTD29"/>
      <c r="TTE29"/>
      <c r="TTF29"/>
      <c r="TTG29"/>
      <c r="TTH29"/>
      <c r="TTI29"/>
      <c r="TTJ29"/>
      <c r="TTK29"/>
      <c r="TTL29"/>
      <c r="TTM29"/>
      <c r="TTN29"/>
      <c r="TTO29"/>
      <c r="TTP29"/>
      <c r="TTQ29"/>
      <c r="TTR29"/>
      <c r="TTS29"/>
      <c r="TTT29"/>
      <c r="TTU29"/>
      <c r="TTV29"/>
      <c r="TTW29"/>
      <c r="TTX29"/>
      <c r="TTY29"/>
      <c r="TTZ29"/>
      <c r="TUA29"/>
      <c r="TUB29"/>
      <c r="TUC29"/>
      <c r="TUD29"/>
      <c r="TUE29"/>
      <c r="TUF29"/>
      <c r="TUG29"/>
      <c r="TUH29"/>
      <c r="TUI29"/>
      <c r="TUJ29"/>
      <c r="TUK29"/>
      <c r="TUL29"/>
      <c r="TUM29"/>
      <c r="TUN29"/>
      <c r="TUO29"/>
      <c r="TUP29"/>
      <c r="TUQ29"/>
      <c r="TUR29"/>
      <c r="TUS29"/>
      <c r="TUT29"/>
      <c r="TUU29"/>
      <c r="TUV29"/>
      <c r="TUW29"/>
      <c r="TUX29"/>
      <c r="TUY29"/>
      <c r="TUZ29"/>
      <c r="TVA29"/>
      <c r="TVB29"/>
      <c r="TVC29"/>
      <c r="TVD29"/>
      <c r="TVE29"/>
      <c r="TVF29"/>
      <c r="TVG29"/>
      <c r="TVH29"/>
      <c r="TVI29"/>
      <c r="TVJ29"/>
      <c r="TVK29"/>
      <c r="TVL29"/>
      <c r="TVM29"/>
      <c r="TVN29"/>
      <c r="TVO29"/>
      <c r="TVP29"/>
      <c r="TVQ29"/>
      <c r="TVR29"/>
      <c r="TVS29"/>
      <c r="TVT29"/>
      <c r="TVU29"/>
      <c r="TVV29"/>
      <c r="TVW29"/>
      <c r="TVX29"/>
      <c r="TVY29"/>
      <c r="TVZ29"/>
      <c r="TWA29"/>
      <c r="TWB29"/>
      <c r="TWC29"/>
      <c r="TWD29"/>
      <c r="TWE29"/>
      <c r="TWF29"/>
      <c r="TWG29"/>
      <c r="TWH29"/>
      <c r="TWI29"/>
      <c r="TWJ29"/>
      <c r="TWK29"/>
      <c r="TWL29"/>
      <c r="TWM29"/>
      <c r="TWN29"/>
      <c r="TWO29"/>
      <c r="TWP29"/>
      <c r="TWQ29"/>
      <c r="TWR29"/>
      <c r="TWS29"/>
      <c r="TWT29"/>
      <c r="TWU29"/>
      <c r="TWV29"/>
      <c r="TWW29"/>
      <c r="TWX29"/>
      <c r="TWY29"/>
      <c r="TWZ29"/>
      <c r="TXA29"/>
      <c r="TXB29"/>
      <c r="TXC29"/>
      <c r="TXD29"/>
      <c r="TXE29"/>
      <c r="TXF29"/>
      <c r="TXG29"/>
      <c r="TXH29"/>
      <c r="TXI29"/>
      <c r="TXJ29"/>
      <c r="TXK29"/>
      <c r="TXL29"/>
      <c r="TXM29"/>
      <c r="TXN29"/>
      <c r="TXO29"/>
      <c r="TXP29"/>
      <c r="TXQ29"/>
      <c r="TXR29"/>
      <c r="TXS29"/>
      <c r="TXT29"/>
      <c r="TXU29"/>
      <c r="TXV29"/>
      <c r="TXW29"/>
      <c r="TXX29"/>
      <c r="TXY29"/>
      <c r="TXZ29"/>
      <c r="TYA29"/>
      <c r="TYB29"/>
      <c r="TYC29"/>
      <c r="TYD29"/>
      <c r="TYE29"/>
      <c r="TYF29"/>
      <c r="TYG29"/>
      <c r="TYH29"/>
      <c r="TYI29"/>
      <c r="TYJ29"/>
      <c r="TYK29"/>
      <c r="TYL29"/>
      <c r="TYM29"/>
      <c r="TYN29"/>
      <c r="TYO29"/>
      <c r="TYP29"/>
      <c r="TYQ29"/>
      <c r="TYR29"/>
      <c r="TYS29"/>
      <c r="TYT29"/>
      <c r="TYU29"/>
      <c r="TYV29"/>
      <c r="TYW29"/>
      <c r="TYX29"/>
      <c r="TYY29"/>
      <c r="TYZ29"/>
      <c r="TZA29"/>
      <c r="TZB29"/>
      <c r="TZC29"/>
      <c r="TZD29"/>
      <c r="TZE29"/>
      <c r="TZF29"/>
      <c r="TZG29"/>
      <c r="TZH29"/>
      <c r="TZI29"/>
      <c r="TZJ29"/>
      <c r="TZK29"/>
      <c r="TZL29"/>
      <c r="TZM29"/>
      <c r="TZN29"/>
      <c r="TZO29"/>
      <c r="TZP29"/>
      <c r="TZQ29"/>
      <c r="TZR29"/>
      <c r="TZS29"/>
      <c r="TZT29"/>
      <c r="TZU29"/>
      <c r="TZV29"/>
      <c r="TZW29"/>
      <c r="TZX29"/>
      <c r="TZY29"/>
      <c r="TZZ29"/>
      <c r="UAA29"/>
      <c r="UAB29"/>
      <c r="UAC29"/>
      <c r="UAD29"/>
      <c r="UAE29"/>
      <c r="UAF29"/>
      <c r="UAG29"/>
      <c r="UAH29"/>
      <c r="UAI29"/>
      <c r="UAJ29"/>
      <c r="UAK29"/>
      <c r="UAL29"/>
      <c r="UAM29"/>
      <c r="UAN29"/>
      <c r="UAO29"/>
      <c r="UAP29"/>
      <c r="UAQ29"/>
      <c r="UAR29"/>
      <c r="UAS29"/>
      <c r="UAT29"/>
      <c r="UAU29"/>
      <c r="UAV29"/>
      <c r="UAW29"/>
      <c r="UAX29"/>
      <c r="UAY29"/>
      <c r="UAZ29"/>
      <c r="UBA29"/>
      <c r="UBB29"/>
      <c r="UBC29"/>
      <c r="UBD29"/>
      <c r="UBE29"/>
      <c r="UBF29"/>
      <c r="UBG29"/>
      <c r="UBH29"/>
      <c r="UBI29"/>
      <c r="UBJ29"/>
      <c r="UBK29"/>
      <c r="UBL29"/>
      <c r="UBM29"/>
      <c r="UBN29"/>
      <c r="UBO29"/>
      <c r="UBP29"/>
      <c r="UBQ29"/>
      <c r="UBR29"/>
      <c r="UBS29"/>
      <c r="UBT29"/>
      <c r="UBU29"/>
      <c r="UBV29"/>
      <c r="UBW29"/>
      <c r="UBX29"/>
      <c r="UBY29"/>
      <c r="UBZ29"/>
      <c r="UCA29"/>
      <c r="UCB29"/>
      <c r="UCC29"/>
      <c r="UCD29"/>
      <c r="UCE29"/>
      <c r="UCF29"/>
      <c r="UCG29"/>
      <c r="UCH29"/>
      <c r="UCI29"/>
      <c r="UCJ29"/>
      <c r="UCK29"/>
      <c r="UCL29"/>
      <c r="UCM29"/>
      <c r="UCN29"/>
      <c r="UCO29"/>
      <c r="UCP29"/>
      <c r="UCQ29"/>
      <c r="UCR29"/>
      <c r="UCS29"/>
      <c r="UCT29"/>
      <c r="UCU29"/>
      <c r="UCV29"/>
      <c r="UCW29"/>
      <c r="UCX29"/>
      <c r="UCY29"/>
      <c r="UCZ29"/>
      <c r="UDA29"/>
      <c r="UDB29"/>
      <c r="UDC29"/>
      <c r="UDD29"/>
      <c r="UDE29"/>
      <c r="UDF29"/>
      <c r="UDG29"/>
      <c r="UDH29"/>
      <c r="UDI29"/>
      <c r="UDJ29"/>
      <c r="UDK29"/>
      <c r="UDL29"/>
      <c r="UDM29"/>
      <c r="UDN29"/>
      <c r="UDO29"/>
      <c r="UDP29"/>
      <c r="UDQ29"/>
      <c r="UDR29"/>
      <c r="UDS29"/>
      <c r="UDT29"/>
      <c r="UDU29"/>
      <c r="UDV29"/>
      <c r="UDW29"/>
      <c r="UDX29"/>
      <c r="UDY29"/>
      <c r="UDZ29"/>
      <c r="UEA29"/>
      <c r="UEB29"/>
      <c r="UEC29"/>
      <c r="UED29"/>
      <c r="UEE29"/>
      <c r="UEF29"/>
      <c r="UEG29"/>
      <c r="UEH29"/>
      <c r="UEI29"/>
      <c r="UEJ29"/>
      <c r="UEK29"/>
      <c r="UEL29"/>
      <c r="UEM29"/>
      <c r="UEN29"/>
      <c r="UEO29"/>
      <c r="UEP29"/>
      <c r="UEQ29"/>
      <c r="UER29"/>
      <c r="UES29"/>
      <c r="UET29"/>
      <c r="UEU29"/>
      <c r="UEV29"/>
      <c r="UEW29"/>
      <c r="UEX29"/>
      <c r="UEY29"/>
      <c r="UEZ29"/>
      <c r="UFA29"/>
      <c r="UFB29"/>
      <c r="UFC29"/>
      <c r="UFD29"/>
      <c r="UFE29"/>
      <c r="UFF29"/>
      <c r="UFG29"/>
      <c r="UFH29"/>
      <c r="UFI29"/>
      <c r="UFJ29"/>
      <c r="UFK29"/>
      <c r="UFL29"/>
      <c r="UFM29"/>
      <c r="UFN29"/>
      <c r="UFO29"/>
      <c r="UFP29"/>
      <c r="UFQ29"/>
      <c r="UFR29"/>
      <c r="UFS29"/>
      <c r="UFT29"/>
      <c r="UFU29"/>
      <c r="UFV29"/>
      <c r="UFW29"/>
      <c r="UFX29"/>
      <c r="UFY29"/>
      <c r="UFZ29"/>
      <c r="UGA29"/>
      <c r="UGB29"/>
      <c r="UGC29"/>
      <c r="UGD29"/>
      <c r="UGE29"/>
      <c r="UGF29"/>
      <c r="UGG29"/>
      <c r="UGH29"/>
      <c r="UGI29"/>
      <c r="UGJ29"/>
      <c r="UGK29"/>
      <c r="UGL29"/>
      <c r="UGM29"/>
      <c r="UGN29"/>
      <c r="UGO29"/>
      <c r="UGP29"/>
      <c r="UGQ29"/>
      <c r="UGR29"/>
      <c r="UGS29"/>
      <c r="UGT29"/>
      <c r="UGU29"/>
      <c r="UGV29"/>
      <c r="UGW29"/>
      <c r="UGX29"/>
      <c r="UGY29"/>
      <c r="UGZ29"/>
      <c r="UHA29"/>
      <c r="UHB29"/>
      <c r="UHC29"/>
      <c r="UHD29"/>
      <c r="UHE29"/>
      <c r="UHF29"/>
      <c r="UHG29"/>
      <c r="UHH29"/>
      <c r="UHI29"/>
      <c r="UHJ29"/>
      <c r="UHK29"/>
      <c r="UHL29"/>
      <c r="UHM29"/>
      <c r="UHN29"/>
      <c r="UHO29"/>
      <c r="UHP29"/>
      <c r="UHQ29"/>
      <c r="UHR29"/>
      <c r="UHS29"/>
      <c r="UHT29"/>
      <c r="UHU29"/>
      <c r="UHV29"/>
      <c r="UHW29"/>
      <c r="UHX29"/>
      <c r="UHY29"/>
      <c r="UHZ29"/>
      <c r="UIA29"/>
      <c r="UIB29"/>
      <c r="UIC29"/>
      <c r="UID29"/>
      <c r="UIE29"/>
      <c r="UIF29"/>
      <c r="UIG29"/>
      <c r="UIH29"/>
      <c r="UII29"/>
      <c r="UIJ29"/>
      <c r="UIK29"/>
      <c r="UIL29"/>
      <c r="UIM29"/>
      <c r="UIN29"/>
      <c r="UIO29"/>
      <c r="UIP29"/>
      <c r="UIQ29"/>
      <c r="UIR29"/>
      <c r="UIS29"/>
      <c r="UIT29"/>
      <c r="UIU29"/>
      <c r="UIV29"/>
      <c r="UIW29"/>
      <c r="UIX29"/>
      <c r="UIY29"/>
      <c r="UIZ29"/>
      <c r="UJA29"/>
      <c r="UJB29"/>
      <c r="UJC29"/>
      <c r="UJD29"/>
      <c r="UJE29"/>
      <c r="UJF29"/>
      <c r="UJG29"/>
      <c r="UJH29"/>
      <c r="UJI29"/>
      <c r="UJJ29"/>
      <c r="UJK29"/>
      <c r="UJL29"/>
      <c r="UJM29"/>
      <c r="UJN29"/>
      <c r="UJO29"/>
      <c r="UJP29"/>
      <c r="UJQ29"/>
      <c r="UJR29"/>
      <c r="UJS29"/>
      <c r="UJT29"/>
      <c r="UJU29"/>
      <c r="UJV29"/>
      <c r="UJW29"/>
      <c r="UJX29"/>
      <c r="UJY29"/>
      <c r="UJZ29"/>
      <c r="UKA29"/>
      <c r="UKB29"/>
      <c r="UKC29"/>
      <c r="UKD29"/>
      <c r="UKE29"/>
      <c r="UKF29"/>
      <c r="UKG29"/>
      <c r="UKH29"/>
      <c r="UKI29"/>
      <c r="UKJ29"/>
      <c r="UKK29"/>
      <c r="UKL29"/>
      <c r="UKM29"/>
      <c r="UKN29"/>
      <c r="UKO29"/>
      <c r="UKP29"/>
      <c r="UKQ29"/>
      <c r="UKR29"/>
      <c r="UKS29"/>
      <c r="UKT29"/>
      <c r="UKU29"/>
      <c r="UKV29"/>
      <c r="UKW29"/>
      <c r="UKX29"/>
      <c r="UKY29"/>
      <c r="UKZ29"/>
      <c r="ULA29"/>
      <c r="ULB29"/>
      <c r="ULC29"/>
      <c r="ULD29"/>
      <c r="ULE29"/>
      <c r="ULF29"/>
      <c r="ULG29"/>
      <c r="ULH29"/>
      <c r="ULI29"/>
      <c r="ULJ29"/>
      <c r="ULK29"/>
      <c r="ULL29"/>
      <c r="ULM29"/>
      <c r="ULN29"/>
      <c r="ULO29"/>
      <c r="ULP29"/>
      <c r="ULQ29"/>
      <c r="ULR29"/>
      <c r="ULS29"/>
      <c r="ULT29"/>
      <c r="ULU29"/>
      <c r="ULV29"/>
      <c r="ULW29"/>
      <c r="ULX29"/>
      <c r="ULY29"/>
      <c r="ULZ29"/>
      <c r="UMA29"/>
      <c r="UMB29"/>
      <c r="UMC29"/>
      <c r="UMD29"/>
      <c r="UME29"/>
      <c r="UMF29"/>
      <c r="UMG29"/>
      <c r="UMH29"/>
      <c r="UMI29"/>
      <c r="UMJ29"/>
      <c r="UMK29"/>
      <c r="UML29"/>
      <c r="UMM29"/>
      <c r="UMN29"/>
      <c r="UMO29"/>
      <c r="UMP29"/>
      <c r="UMQ29"/>
      <c r="UMR29"/>
      <c r="UMS29"/>
      <c r="UMT29"/>
      <c r="UMU29"/>
      <c r="UMV29"/>
      <c r="UMW29"/>
      <c r="UMX29"/>
      <c r="UMY29"/>
      <c r="UMZ29"/>
      <c r="UNA29"/>
      <c r="UNB29"/>
      <c r="UNC29"/>
      <c r="UND29"/>
      <c r="UNE29"/>
      <c r="UNF29"/>
      <c r="UNG29"/>
      <c r="UNH29"/>
      <c r="UNI29"/>
      <c r="UNJ29"/>
      <c r="UNK29"/>
      <c r="UNL29"/>
      <c r="UNM29"/>
      <c r="UNN29"/>
      <c r="UNO29"/>
      <c r="UNP29"/>
      <c r="UNQ29"/>
      <c r="UNR29"/>
      <c r="UNS29"/>
      <c r="UNT29"/>
      <c r="UNU29"/>
      <c r="UNV29"/>
      <c r="UNW29"/>
      <c r="UNX29"/>
      <c r="UNY29"/>
      <c r="UNZ29"/>
      <c r="UOA29"/>
      <c r="UOB29"/>
      <c r="UOC29"/>
      <c r="UOD29"/>
      <c r="UOE29"/>
      <c r="UOF29"/>
      <c r="UOG29"/>
      <c r="UOH29"/>
      <c r="UOI29"/>
      <c r="UOJ29"/>
      <c r="UOK29"/>
      <c r="UOL29"/>
      <c r="UOM29"/>
      <c r="UON29"/>
      <c r="UOO29"/>
      <c r="UOP29"/>
      <c r="UOQ29"/>
      <c r="UOR29"/>
      <c r="UOS29"/>
      <c r="UOT29"/>
      <c r="UOU29"/>
      <c r="UOV29"/>
      <c r="UOW29"/>
      <c r="UOX29"/>
      <c r="UOY29"/>
      <c r="UOZ29"/>
      <c r="UPA29"/>
      <c r="UPB29"/>
      <c r="UPC29"/>
      <c r="UPD29"/>
      <c r="UPE29"/>
      <c r="UPF29"/>
      <c r="UPG29"/>
      <c r="UPH29"/>
      <c r="UPI29"/>
      <c r="UPJ29"/>
      <c r="UPK29"/>
      <c r="UPL29"/>
      <c r="UPM29"/>
      <c r="UPN29"/>
      <c r="UPO29"/>
      <c r="UPP29"/>
      <c r="UPQ29"/>
      <c r="UPR29"/>
      <c r="UPS29"/>
      <c r="UPT29"/>
      <c r="UPU29"/>
      <c r="UPV29"/>
      <c r="UPW29"/>
      <c r="UPX29"/>
      <c r="UPY29"/>
      <c r="UPZ29"/>
      <c r="UQA29"/>
      <c r="UQB29"/>
      <c r="UQC29"/>
      <c r="UQD29"/>
      <c r="UQE29"/>
      <c r="UQF29"/>
      <c r="UQG29"/>
      <c r="UQH29"/>
      <c r="UQI29"/>
      <c r="UQJ29"/>
      <c r="UQK29"/>
      <c r="UQL29"/>
      <c r="UQM29"/>
      <c r="UQN29"/>
      <c r="UQO29"/>
      <c r="UQP29"/>
      <c r="UQQ29"/>
      <c r="UQR29"/>
      <c r="UQS29"/>
      <c r="UQT29"/>
      <c r="UQU29"/>
      <c r="UQV29"/>
      <c r="UQW29"/>
      <c r="UQX29"/>
      <c r="UQY29"/>
      <c r="UQZ29"/>
      <c r="URA29"/>
      <c r="URB29"/>
      <c r="URC29"/>
      <c r="URD29"/>
      <c r="URE29"/>
      <c r="URF29"/>
      <c r="URG29"/>
      <c r="URH29"/>
      <c r="URI29"/>
      <c r="URJ29"/>
      <c r="URK29"/>
      <c r="URL29"/>
      <c r="URM29"/>
      <c r="URN29"/>
      <c r="URO29"/>
      <c r="URP29"/>
      <c r="URQ29"/>
      <c r="URR29"/>
      <c r="URS29"/>
      <c r="URT29"/>
      <c r="URU29"/>
      <c r="URV29"/>
      <c r="URW29"/>
      <c r="URX29"/>
      <c r="URY29"/>
      <c r="URZ29"/>
      <c r="USA29"/>
      <c r="USB29"/>
      <c r="USC29"/>
      <c r="USD29"/>
      <c r="USE29"/>
      <c r="USF29"/>
      <c r="USG29"/>
      <c r="USH29"/>
      <c r="USI29"/>
      <c r="USJ29"/>
      <c r="USK29"/>
      <c r="USL29"/>
      <c r="USM29"/>
      <c r="USN29"/>
      <c r="USO29"/>
      <c r="USP29"/>
      <c r="USQ29"/>
      <c r="USR29"/>
      <c r="USS29"/>
      <c r="UST29"/>
      <c r="USU29"/>
      <c r="USV29"/>
      <c r="USW29"/>
      <c r="USX29"/>
      <c r="USY29"/>
      <c r="USZ29"/>
      <c r="UTA29"/>
      <c r="UTB29"/>
      <c r="UTC29"/>
      <c r="UTD29"/>
      <c r="UTE29"/>
      <c r="UTF29"/>
      <c r="UTG29"/>
      <c r="UTH29"/>
      <c r="UTI29"/>
      <c r="UTJ29"/>
      <c r="UTK29"/>
      <c r="UTL29"/>
      <c r="UTM29"/>
      <c r="UTN29"/>
      <c r="UTO29"/>
      <c r="UTP29"/>
      <c r="UTQ29"/>
      <c r="UTR29"/>
      <c r="UTS29"/>
      <c r="UTT29"/>
      <c r="UTU29"/>
      <c r="UTV29"/>
      <c r="UTW29"/>
      <c r="UTX29"/>
      <c r="UTY29"/>
      <c r="UTZ29"/>
      <c r="UUA29"/>
      <c r="UUB29"/>
      <c r="UUC29"/>
      <c r="UUD29"/>
      <c r="UUE29"/>
      <c r="UUF29"/>
      <c r="UUG29"/>
      <c r="UUH29"/>
      <c r="UUI29"/>
      <c r="UUJ29"/>
      <c r="UUK29"/>
      <c r="UUL29"/>
      <c r="UUM29"/>
      <c r="UUN29"/>
      <c r="UUO29"/>
      <c r="UUP29"/>
      <c r="UUQ29"/>
      <c r="UUR29"/>
      <c r="UUS29"/>
      <c r="UUT29"/>
      <c r="UUU29"/>
      <c r="UUV29"/>
      <c r="UUW29"/>
      <c r="UUX29"/>
      <c r="UUY29"/>
      <c r="UUZ29"/>
      <c r="UVA29"/>
      <c r="UVB29"/>
      <c r="UVC29"/>
      <c r="UVD29"/>
      <c r="UVE29"/>
      <c r="UVF29"/>
      <c r="UVG29"/>
      <c r="UVH29"/>
      <c r="UVI29"/>
      <c r="UVJ29"/>
      <c r="UVK29"/>
      <c r="UVL29"/>
      <c r="UVM29"/>
      <c r="UVN29"/>
      <c r="UVO29"/>
      <c r="UVP29"/>
      <c r="UVQ29"/>
      <c r="UVR29"/>
      <c r="UVS29"/>
      <c r="UVT29"/>
      <c r="UVU29"/>
      <c r="UVV29"/>
      <c r="UVW29"/>
      <c r="UVX29"/>
      <c r="UVY29"/>
      <c r="UVZ29"/>
      <c r="UWA29"/>
      <c r="UWB29"/>
      <c r="UWC29"/>
      <c r="UWD29"/>
      <c r="UWE29"/>
      <c r="UWF29"/>
      <c r="UWG29"/>
      <c r="UWH29"/>
      <c r="UWI29"/>
      <c r="UWJ29"/>
      <c r="UWK29"/>
      <c r="UWL29"/>
      <c r="UWM29"/>
      <c r="UWN29"/>
      <c r="UWO29"/>
      <c r="UWP29"/>
      <c r="UWQ29"/>
      <c r="UWR29"/>
      <c r="UWS29"/>
      <c r="UWT29"/>
      <c r="UWU29"/>
      <c r="UWV29"/>
      <c r="UWW29"/>
      <c r="UWX29"/>
      <c r="UWY29"/>
      <c r="UWZ29"/>
      <c r="UXA29"/>
      <c r="UXB29"/>
      <c r="UXC29"/>
      <c r="UXD29"/>
      <c r="UXE29"/>
      <c r="UXF29"/>
      <c r="UXG29"/>
      <c r="UXH29"/>
      <c r="UXI29"/>
      <c r="UXJ29"/>
      <c r="UXK29"/>
      <c r="UXL29"/>
      <c r="UXM29"/>
      <c r="UXN29"/>
      <c r="UXO29"/>
      <c r="UXP29"/>
      <c r="UXQ29"/>
      <c r="UXR29"/>
      <c r="UXS29"/>
      <c r="UXT29"/>
      <c r="UXU29"/>
      <c r="UXV29"/>
      <c r="UXW29"/>
      <c r="UXX29"/>
      <c r="UXY29"/>
      <c r="UXZ29"/>
      <c r="UYA29"/>
      <c r="UYB29"/>
      <c r="UYC29"/>
      <c r="UYD29"/>
      <c r="UYE29"/>
      <c r="UYF29"/>
      <c r="UYG29"/>
      <c r="UYH29"/>
      <c r="UYI29"/>
      <c r="UYJ29"/>
      <c r="UYK29"/>
      <c r="UYL29"/>
      <c r="UYM29"/>
      <c r="UYN29"/>
      <c r="UYO29"/>
      <c r="UYP29"/>
      <c r="UYQ29"/>
      <c r="UYR29"/>
      <c r="UYS29"/>
      <c r="UYT29"/>
      <c r="UYU29"/>
      <c r="UYV29"/>
      <c r="UYW29"/>
      <c r="UYX29"/>
      <c r="UYY29"/>
      <c r="UYZ29"/>
      <c r="UZA29"/>
      <c r="UZB29"/>
      <c r="UZC29"/>
      <c r="UZD29"/>
      <c r="UZE29"/>
      <c r="UZF29"/>
      <c r="UZG29"/>
      <c r="UZH29"/>
      <c r="UZI29"/>
      <c r="UZJ29"/>
      <c r="UZK29"/>
      <c r="UZL29"/>
      <c r="UZM29"/>
      <c r="UZN29"/>
      <c r="UZO29"/>
      <c r="UZP29"/>
      <c r="UZQ29"/>
      <c r="UZR29"/>
      <c r="UZS29"/>
      <c r="UZT29"/>
      <c r="UZU29"/>
      <c r="UZV29"/>
      <c r="UZW29"/>
      <c r="UZX29"/>
      <c r="UZY29"/>
      <c r="UZZ29"/>
      <c r="VAA29"/>
      <c r="VAB29"/>
      <c r="VAC29"/>
      <c r="VAD29"/>
      <c r="VAE29"/>
      <c r="VAF29"/>
      <c r="VAG29"/>
      <c r="VAH29"/>
      <c r="VAI29"/>
      <c r="VAJ29"/>
      <c r="VAK29"/>
      <c r="VAL29"/>
      <c r="VAM29"/>
      <c r="VAN29"/>
      <c r="VAO29"/>
      <c r="VAP29"/>
      <c r="VAQ29"/>
      <c r="VAR29"/>
      <c r="VAS29"/>
      <c r="VAT29"/>
      <c r="VAU29"/>
      <c r="VAV29"/>
      <c r="VAW29"/>
      <c r="VAX29"/>
      <c r="VAY29"/>
      <c r="VAZ29"/>
      <c r="VBA29"/>
      <c r="VBB29"/>
      <c r="VBC29"/>
      <c r="VBD29"/>
      <c r="VBE29"/>
      <c r="VBF29"/>
      <c r="VBG29"/>
      <c r="VBH29"/>
      <c r="VBI29"/>
      <c r="VBJ29"/>
      <c r="VBK29"/>
      <c r="VBL29"/>
      <c r="VBM29"/>
      <c r="VBN29"/>
      <c r="VBO29"/>
      <c r="VBP29"/>
      <c r="VBQ29"/>
      <c r="VBR29"/>
      <c r="VBS29"/>
      <c r="VBT29"/>
      <c r="VBU29"/>
      <c r="VBV29"/>
      <c r="VBW29"/>
      <c r="VBX29"/>
      <c r="VBY29"/>
      <c r="VBZ29"/>
      <c r="VCA29"/>
      <c r="VCB29"/>
      <c r="VCC29"/>
      <c r="VCD29"/>
      <c r="VCE29"/>
      <c r="VCF29"/>
      <c r="VCG29"/>
      <c r="VCH29"/>
      <c r="VCI29"/>
      <c r="VCJ29"/>
      <c r="VCK29"/>
      <c r="VCL29"/>
      <c r="VCM29"/>
      <c r="VCN29"/>
      <c r="VCO29"/>
      <c r="VCP29"/>
      <c r="VCQ29"/>
      <c r="VCR29"/>
      <c r="VCS29"/>
      <c r="VCT29"/>
      <c r="VCU29"/>
      <c r="VCV29"/>
      <c r="VCW29"/>
      <c r="VCX29"/>
      <c r="VCY29"/>
      <c r="VCZ29"/>
      <c r="VDA29"/>
      <c r="VDB29"/>
      <c r="VDC29"/>
      <c r="VDD29"/>
      <c r="VDE29"/>
      <c r="VDF29"/>
      <c r="VDG29"/>
      <c r="VDH29"/>
      <c r="VDI29"/>
      <c r="VDJ29"/>
      <c r="VDK29"/>
      <c r="VDL29"/>
      <c r="VDM29"/>
      <c r="VDN29"/>
      <c r="VDO29"/>
      <c r="VDP29"/>
      <c r="VDQ29"/>
      <c r="VDR29"/>
      <c r="VDS29"/>
      <c r="VDT29"/>
      <c r="VDU29"/>
      <c r="VDV29"/>
      <c r="VDW29"/>
      <c r="VDX29"/>
      <c r="VDY29"/>
      <c r="VDZ29"/>
      <c r="VEA29"/>
      <c r="VEB29"/>
      <c r="VEC29"/>
      <c r="VED29"/>
      <c r="VEE29"/>
      <c r="VEF29"/>
      <c r="VEG29"/>
      <c r="VEH29"/>
      <c r="VEI29"/>
      <c r="VEJ29"/>
      <c r="VEK29"/>
      <c r="VEL29"/>
      <c r="VEM29"/>
      <c r="VEN29"/>
      <c r="VEO29"/>
      <c r="VEP29"/>
      <c r="VEQ29"/>
      <c r="VER29"/>
      <c r="VES29"/>
      <c r="VET29"/>
      <c r="VEU29"/>
      <c r="VEV29"/>
      <c r="VEW29"/>
      <c r="VEX29"/>
      <c r="VEY29"/>
      <c r="VEZ29"/>
      <c r="VFA29"/>
      <c r="VFB29"/>
      <c r="VFC29"/>
      <c r="VFD29"/>
      <c r="VFE29"/>
      <c r="VFF29"/>
      <c r="VFG29"/>
      <c r="VFH29"/>
      <c r="VFI29"/>
      <c r="VFJ29"/>
      <c r="VFK29"/>
      <c r="VFL29"/>
      <c r="VFM29"/>
      <c r="VFN29"/>
      <c r="VFO29"/>
      <c r="VFP29"/>
      <c r="VFQ29"/>
      <c r="VFR29"/>
      <c r="VFS29"/>
      <c r="VFT29"/>
      <c r="VFU29"/>
      <c r="VFV29"/>
      <c r="VFW29"/>
      <c r="VFX29"/>
      <c r="VFY29"/>
      <c r="VFZ29"/>
      <c r="VGA29"/>
      <c r="VGB29"/>
      <c r="VGC29"/>
      <c r="VGD29"/>
      <c r="VGE29"/>
      <c r="VGF29"/>
      <c r="VGG29"/>
      <c r="VGH29"/>
      <c r="VGI29"/>
      <c r="VGJ29"/>
      <c r="VGK29"/>
      <c r="VGL29"/>
      <c r="VGM29"/>
      <c r="VGN29"/>
      <c r="VGO29"/>
      <c r="VGP29"/>
      <c r="VGQ29"/>
      <c r="VGR29"/>
      <c r="VGS29"/>
      <c r="VGT29"/>
      <c r="VGU29"/>
      <c r="VGV29"/>
      <c r="VGW29"/>
      <c r="VGX29"/>
      <c r="VGY29"/>
      <c r="VGZ29"/>
      <c r="VHA29"/>
      <c r="VHB29"/>
      <c r="VHC29"/>
      <c r="VHD29"/>
      <c r="VHE29"/>
      <c r="VHF29"/>
      <c r="VHG29"/>
      <c r="VHH29"/>
      <c r="VHI29"/>
      <c r="VHJ29"/>
      <c r="VHK29"/>
      <c r="VHL29"/>
      <c r="VHM29"/>
      <c r="VHN29"/>
      <c r="VHO29"/>
      <c r="VHP29"/>
      <c r="VHQ29"/>
      <c r="VHR29"/>
      <c r="VHS29"/>
      <c r="VHT29"/>
      <c r="VHU29"/>
      <c r="VHV29"/>
      <c r="VHW29"/>
      <c r="VHX29"/>
      <c r="VHY29"/>
      <c r="VHZ29"/>
      <c r="VIA29"/>
      <c r="VIB29"/>
      <c r="VIC29"/>
      <c r="VID29"/>
      <c r="VIE29"/>
      <c r="VIF29"/>
      <c r="VIG29"/>
      <c r="VIH29"/>
      <c r="VII29"/>
      <c r="VIJ29"/>
      <c r="VIK29"/>
      <c r="VIL29"/>
      <c r="VIM29"/>
      <c r="VIN29"/>
      <c r="VIO29"/>
      <c r="VIP29"/>
      <c r="VIQ29"/>
      <c r="VIR29"/>
      <c r="VIS29"/>
      <c r="VIT29"/>
      <c r="VIU29"/>
      <c r="VIV29"/>
      <c r="VIW29"/>
      <c r="VIX29"/>
      <c r="VIY29"/>
      <c r="VIZ29"/>
      <c r="VJA29"/>
      <c r="VJB29"/>
      <c r="VJC29"/>
      <c r="VJD29"/>
      <c r="VJE29"/>
      <c r="VJF29"/>
      <c r="VJG29"/>
      <c r="VJH29"/>
      <c r="VJI29"/>
      <c r="VJJ29"/>
      <c r="VJK29"/>
      <c r="VJL29"/>
      <c r="VJM29"/>
      <c r="VJN29"/>
      <c r="VJO29"/>
      <c r="VJP29"/>
      <c r="VJQ29"/>
      <c r="VJR29"/>
      <c r="VJS29"/>
      <c r="VJT29"/>
      <c r="VJU29"/>
      <c r="VJV29"/>
      <c r="VJW29"/>
      <c r="VJX29"/>
      <c r="VJY29"/>
      <c r="VJZ29"/>
      <c r="VKA29"/>
      <c r="VKB29"/>
      <c r="VKC29"/>
      <c r="VKD29"/>
      <c r="VKE29"/>
      <c r="VKF29"/>
      <c r="VKG29"/>
      <c r="VKH29"/>
      <c r="VKI29"/>
      <c r="VKJ29"/>
      <c r="VKK29"/>
      <c r="VKL29"/>
      <c r="VKM29"/>
      <c r="VKN29"/>
      <c r="VKO29"/>
      <c r="VKP29"/>
      <c r="VKQ29"/>
      <c r="VKR29"/>
      <c r="VKS29"/>
      <c r="VKT29"/>
      <c r="VKU29"/>
      <c r="VKV29"/>
      <c r="VKW29"/>
      <c r="VKX29"/>
      <c r="VKY29"/>
      <c r="VKZ29"/>
      <c r="VLA29"/>
      <c r="VLB29"/>
      <c r="VLC29"/>
      <c r="VLD29"/>
      <c r="VLE29"/>
      <c r="VLF29"/>
      <c r="VLG29"/>
      <c r="VLH29"/>
      <c r="VLI29"/>
      <c r="VLJ29"/>
      <c r="VLK29"/>
      <c r="VLL29"/>
      <c r="VLM29"/>
      <c r="VLN29"/>
      <c r="VLO29"/>
      <c r="VLP29"/>
      <c r="VLQ29"/>
      <c r="VLR29"/>
      <c r="VLS29"/>
      <c r="VLT29"/>
      <c r="VLU29"/>
      <c r="VLV29"/>
      <c r="VLW29"/>
      <c r="VLX29"/>
      <c r="VLY29"/>
      <c r="VLZ29"/>
      <c r="VMA29"/>
      <c r="VMB29"/>
      <c r="VMC29"/>
      <c r="VMD29"/>
      <c r="VME29"/>
      <c r="VMF29"/>
      <c r="VMG29"/>
      <c r="VMH29"/>
      <c r="VMI29"/>
      <c r="VMJ29"/>
      <c r="VMK29"/>
      <c r="VML29"/>
      <c r="VMM29"/>
      <c r="VMN29"/>
      <c r="VMO29"/>
      <c r="VMP29"/>
      <c r="VMQ29"/>
      <c r="VMR29"/>
      <c r="VMS29"/>
      <c r="VMT29"/>
      <c r="VMU29"/>
      <c r="VMV29"/>
      <c r="VMW29"/>
      <c r="VMX29"/>
      <c r="VMY29"/>
      <c r="VMZ29"/>
      <c r="VNA29"/>
      <c r="VNB29"/>
      <c r="VNC29"/>
      <c r="VND29"/>
      <c r="VNE29"/>
      <c r="VNF29"/>
      <c r="VNG29"/>
      <c r="VNH29"/>
      <c r="VNI29"/>
      <c r="VNJ29"/>
      <c r="VNK29"/>
      <c r="VNL29"/>
      <c r="VNM29"/>
      <c r="VNN29"/>
      <c r="VNO29"/>
      <c r="VNP29"/>
      <c r="VNQ29"/>
      <c r="VNR29"/>
      <c r="VNS29"/>
      <c r="VNT29"/>
      <c r="VNU29"/>
      <c r="VNV29"/>
      <c r="VNW29"/>
      <c r="VNX29"/>
      <c r="VNY29"/>
      <c r="VNZ29"/>
      <c r="VOA29"/>
      <c r="VOB29"/>
      <c r="VOC29"/>
      <c r="VOD29"/>
      <c r="VOE29"/>
      <c r="VOF29"/>
      <c r="VOG29"/>
      <c r="VOH29"/>
      <c r="VOI29"/>
      <c r="VOJ29"/>
      <c r="VOK29"/>
      <c r="VOL29"/>
      <c r="VOM29"/>
      <c r="VON29"/>
      <c r="VOO29"/>
      <c r="VOP29"/>
      <c r="VOQ29"/>
      <c r="VOR29"/>
      <c r="VOS29"/>
      <c r="VOT29"/>
      <c r="VOU29"/>
      <c r="VOV29"/>
      <c r="VOW29"/>
      <c r="VOX29"/>
      <c r="VOY29"/>
      <c r="VOZ29"/>
      <c r="VPA29"/>
      <c r="VPB29"/>
      <c r="VPC29"/>
      <c r="VPD29"/>
      <c r="VPE29"/>
      <c r="VPF29"/>
      <c r="VPG29"/>
      <c r="VPH29"/>
      <c r="VPI29"/>
      <c r="VPJ29"/>
      <c r="VPK29"/>
      <c r="VPL29"/>
      <c r="VPM29"/>
      <c r="VPN29"/>
      <c r="VPO29"/>
      <c r="VPP29"/>
      <c r="VPQ29"/>
      <c r="VPR29"/>
      <c r="VPS29"/>
      <c r="VPT29"/>
      <c r="VPU29"/>
      <c r="VPV29"/>
      <c r="VPW29"/>
      <c r="VPX29"/>
      <c r="VPY29"/>
      <c r="VPZ29"/>
      <c r="VQA29"/>
      <c r="VQB29"/>
      <c r="VQC29"/>
      <c r="VQD29"/>
      <c r="VQE29"/>
      <c r="VQF29"/>
      <c r="VQG29"/>
      <c r="VQH29"/>
      <c r="VQI29"/>
      <c r="VQJ29"/>
      <c r="VQK29"/>
      <c r="VQL29"/>
      <c r="VQM29"/>
      <c r="VQN29"/>
      <c r="VQO29"/>
      <c r="VQP29"/>
      <c r="VQQ29"/>
      <c r="VQR29"/>
      <c r="VQS29"/>
      <c r="VQT29"/>
      <c r="VQU29"/>
      <c r="VQV29"/>
      <c r="VQW29"/>
      <c r="VQX29"/>
      <c r="VQY29"/>
      <c r="VQZ29"/>
      <c r="VRA29"/>
      <c r="VRB29"/>
      <c r="VRC29"/>
      <c r="VRD29"/>
      <c r="VRE29"/>
      <c r="VRF29"/>
      <c r="VRG29"/>
      <c r="VRH29"/>
      <c r="VRI29"/>
      <c r="VRJ29"/>
      <c r="VRK29"/>
      <c r="VRL29"/>
      <c r="VRM29"/>
      <c r="VRN29"/>
      <c r="VRO29"/>
      <c r="VRP29"/>
      <c r="VRQ29"/>
      <c r="VRR29"/>
      <c r="VRS29"/>
      <c r="VRT29"/>
      <c r="VRU29"/>
      <c r="VRV29"/>
      <c r="VRW29"/>
      <c r="VRX29"/>
      <c r="VRY29"/>
      <c r="VRZ29"/>
      <c r="VSA29"/>
      <c r="VSB29"/>
      <c r="VSC29"/>
      <c r="VSD29"/>
      <c r="VSE29"/>
      <c r="VSF29"/>
      <c r="VSG29"/>
      <c r="VSH29"/>
      <c r="VSI29"/>
      <c r="VSJ29"/>
      <c r="VSK29"/>
      <c r="VSL29"/>
      <c r="VSM29"/>
      <c r="VSN29"/>
      <c r="VSO29"/>
      <c r="VSP29"/>
      <c r="VSQ29"/>
      <c r="VSR29"/>
      <c r="VSS29"/>
      <c r="VST29"/>
      <c r="VSU29"/>
      <c r="VSV29"/>
      <c r="VSW29"/>
      <c r="VSX29"/>
      <c r="VSY29"/>
      <c r="VSZ29"/>
      <c r="VTA29"/>
      <c r="VTB29"/>
      <c r="VTC29"/>
      <c r="VTD29"/>
      <c r="VTE29"/>
      <c r="VTF29"/>
      <c r="VTG29"/>
      <c r="VTH29"/>
      <c r="VTI29"/>
      <c r="VTJ29"/>
      <c r="VTK29"/>
      <c r="VTL29"/>
      <c r="VTM29"/>
      <c r="VTN29"/>
      <c r="VTO29"/>
      <c r="VTP29"/>
      <c r="VTQ29"/>
      <c r="VTR29"/>
      <c r="VTS29"/>
      <c r="VTT29"/>
      <c r="VTU29"/>
      <c r="VTV29"/>
      <c r="VTW29"/>
      <c r="VTX29"/>
      <c r="VTY29"/>
      <c r="VTZ29"/>
      <c r="VUA29"/>
      <c r="VUB29"/>
      <c r="VUC29"/>
      <c r="VUD29"/>
      <c r="VUE29"/>
      <c r="VUF29"/>
      <c r="VUG29"/>
      <c r="VUH29"/>
      <c r="VUI29"/>
      <c r="VUJ29"/>
      <c r="VUK29"/>
      <c r="VUL29"/>
      <c r="VUM29"/>
      <c r="VUN29"/>
      <c r="VUO29"/>
      <c r="VUP29"/>
      <c r="VUQ29"/>
      <c r="VUR29"/>
      <c r="VUS29"/>
      <c r="VUT29"/>
      <c r="VUU29"/>
      <c r="VUV29"/>
      <c r="VUW29"/>
      <c r="VUX29"/>
      <c r="VUY29"/>
      <c r="VUZ29"/>
      <c r="VVA29"/>
      <c r="VVB29"/>
      <c r="VVC29"/>
      <c r="VVD29"/>
      <c r="VVE29"/>
      <c r="VVF29"/>
      <c r="VVG29"/>
      <c r="VVH29"/>
      <c r="VVI29"/>
      <c r="VVJ29"/>
      <c r="VVK29"/>
      <c r="VVL29"/>
      <c r="VVM29"/>
      <c r="VVN29"/>
      <c r="VVO29"/>
      <c r="VVP29"/>
      <c r="VVQ29"/>
      <c r="VVR29"/>
      <c r="VVS29"/>
      <c r="VVT29"/>
      <c r="VVU29"/>
      <c r="VVV29"/>
      <c r="VVW29"/>
      <c r="VVX29"/>
      <c r="VVY29"/>
      <c r="VVZ29"/>
      <c r="VWA29"/>
      <c r="VWB29"/>
      <c r="VWC29"/>
      <c r="VWD29"/>
      <c r="VWE29"/>
      <c r="VWF29"/>
      <c r="VWG29"/>
      <c r="VWH29"/>
      <c r="VWI29"/>
      <c r="VWJ29"/>
      <c r="VWK29"/>
      <c r="VWL29"/>
      <c r="VWM29"/>
      <c r="VWN29"/>
      <c r="VWO29"/>
      <c r="VWP29"/>
      <c r="VWQ29"/>
      <c r="VWR29"/>
      <c r="VWS29"/>
      <c r="VWT29"/>
      <c r="VWU29"/>
      <c r="VWV29"/>
      <c r="VWW29"/>
      <c r="VWX29"/>
      <c r="VWY29"/>
      <c r="VWZ29"/>
      <c r="VXA29"/>
      <c r="VXB29"/>
      <c r="VXC29"/>
      <c r="VXD29"/>
      <c r="VXE29"/>
      <c r="VXF29"/>
      <c r="VXG29"/>
      <c r="VXH29"/>
      <c r="VXI29"/>
      <c r="VXJ29"/>
      <c r="VXK29"/>
      <c r="VXL29"/>
      <c r="VXM29"/>
      <c r="VXN29"/>
      <c r="VXO29"/>
      <c r="VXP29"/>
      <c r="VXQ29"/>
      <c r="VXR29"/>
      <c r="VXS29"/>
      <c r="VXT29"/>
      <c r="VXU29"/>
      <c r="VXV29"/>
      <c r="VXW29"/>
      <c r="VXX29"/>
      <c r="VXY29"/>
      <c r="VXZ29"/>
      <c r="VYA29"/>
      <c r="VYB29"/>
      <c r="VYC29"/>
      <c r="VYD29"/>
      <c r="VYE29"/>
      <c r="VYF29"/>
      <c r="VYG29"/>
      <c r="VYH29"/>
      <c r="VYI29"/>
      <c r="VYJ29"/>
      <c r="VYK29"/>
      <c r="VYL29"/>
      <c r="VYM29"/>
      <c r="VYN29"/>
      <c r="VYO29"/>
      <c r="VYP29"/>
      <c r="VYQ29"/>
      <c r="VYR29"/>
      <c r="VYS29"/>
      <c r="VYT29"/>
      <c r="VYU29"/>
      <c r="VYV29"/>
      <c r="VYW29"/>
      <c r="VYX29"/>
      <c r="VYY29"/>
      <c r="VYZ29"/>
      <c r="VZA29"/>
      <c r="VZB29"/>
      <c r="VZC29"/>
      <c r="VZD29"/>
      <c r="VZE29"/>
      <c r="VZF29"/>
      <c r="VZG29"/>
      <c r="VZH29"/>
      <c r="VZI29"/>
      <c r="VZJ29"/>
      <c r="VZK29"/>
      <c r="VZL29"/>
      <c r="VZM29"/>
      <c r="VZN29"/>
      <c r="VZO29"/>
      <c r="VZP29"/>
      <c r="VZQ29"/>
      <c r="VZR29"/>
      <c r="VZS29"/>
      <c r="VZT29"/>
      <c r="VZU29"/>
      <c r="VZV29"/>
      <c r="VZW29"/>
      <c r="VZX29"/>
      <c r="VZY29"/>
      <c r="VZZ29"/>
      <c r="WAA29"/>
      <c r="WAB29"/>
      <c r="WAC29"/>
      <c r="WAD29"/>
      <c r="WAE29"/>
      <c r="WAF29"/>
      <c r="WAG29"/>
      <c r="WAH29"/>
      <c r="WAI29"/>
      <c r="WAJ29"/>
      <c r="WAK29"/>
      <c r="WAL29"/>
      <c r="WAM29"/>
      <c r="WAN29"/>
      <c r="WAO29"/>
      <c r="WAP29"/>
      <c r="WAQ29"/>
      <c r="WAR29"/>
      <c r="WAS29"/>
      <c r="WAT29"/>
      <c r="WAU29"/>
      <c r="WAV29"/>
      <c r="WAW29"/>
      <c r="WAX29"/>
      <c r="WAY29"/>
      <c r="WAZ29"/>
      <c r="WBA29"/>
      <c r="WBB29"/>
      <c r="WBC29"/>
      <c r="WBD29"/>
      <c r="WBE29"/>
      <c r="WBF29"/>
      <c r="WBG29"/>
      <c r="WBH29"/>
      <c r="WBI29"/>
      <c r="WBJ29"/>
      <c r="WBK29"/>
      <c r="WBL29"/>
      <c r="WBM29"/>
      <c r="WBN29"/>
      <c r="WBO29"/>
      <c r="WBP29"/>
      <c r="WBQ29"/>
      <c r="WBR29"/>
      <c r="WBS29"/>
      <c r="WBT29"/>
      <c r="WBU29"/>
      <c r="WBV29"/>
      <c r="WBW29"/>
      <c r="WBX29"/>
      <c r="WBY29"/>
      <c r="WBZ29"/>
      <c r="WCA29"/>
      <c r="WCB29"/>
      <c r="WCC29"/>
      <c r="WCD29"/>
      <c r="WCE29"/>
      <c r="WCF29"/>
      <c r="WCG29"/>
      <c r="WCH29"/>
      <c r="WCI29"/>
      <c r="WCJ29"/>
      <c r="WCK29"/>
      <c r="WCL29"/>
      <c r="WCM29"/>
      <c r="WCN29"/>
      <c r="WCO29"/>
      <c r="WCP29"/>
      <c r="WCQ29"/>
      <c r="WCR29"/>
      <c r="WCS29"/>
      <c r="WCT29"/>
      <c r="WCU29"/>
      <c r="WCV29"/>
      <c r="WCW29"/>
      <c r="WCX29"/>
      <c r="WCY29"/>
      <c r="WCZ29"/>
      <c r="WDA29"/>
      <c r="WDB29"/>
      <c r="WDC29"/>
      <c r="WDD29"/>
      <c r="WDE29"/>
      <c r="WDF29"/>
      <c r="WDG29"/>
      <c r="WDH29"/>
      <c r="WDI29"/>
      <c r="WDJ29"/>
      <c r="WDK29"/>
      <c r="WDL29"/>
      <c r="WDM29"/>
      <c r="WDN29"/>
      <c r="WDO29"/>
      <c r="WDP29"/>
      <c r="WDQ29"/>
      <c r="WDR29"/>
      <c r="WDS29"/>
      <c r="WDT29"/>
      <c r="WDU29"/>
      <c r="WDV29"/>
      <c r="WDW29"/>
      <c r="WDX29"/>
      <c r="WDY29"/>
      <c r="WDZ29"/>
      <c r="WEA29"/>
      <c r="WEB29"/>
      <c r="WEC29"/>
      <c r="WED29"/>
      <c r="WEE29"/>
      <c r="WEF29"/>
      <c r="WEG29"/>
      <c r="WEH29"/>
      <c r="WEI29"/>
      <c r="WEJ29"/>
      <c r="WEK29"/>
      <c r="WEL29"/>
      <c r="WEM29"/>
      <c r="WEN29"/>
      <c r="WEO29"/>
      <c r="WEP29"/>
      <c r="WEQ29"/>
      <c r="WER29"/>
      <c r="WES29"/>
      <c r="WET29"/>
      <c r="WEU29"/>
      <c r="WEV29"/>
      <c r="WEW29"/>
      <c r="WEX29"/>
      <c r="WEY29"/>
      <c r="WEZ29"/>
      <c r="WFA29"/>
      <c r="WFB29"/>
      <c r="WFC29"/>
      <c r="WFD29"/>
      <c r="WFE29"/>
      <c r="WFF29"/>
      <c r="WFG29"/>
      <c r="WFH29"/>
      <c r="WFI29"/>
      <c r="WFJ29"/>
      <c r="WFK29"/>
      <c r="WFL29"/>
      <c r="WFM29"/>
      <c r="WFN29"/>
      <c r="WFO29"/>
      <c r="WFP29"/>
      <c r="WFQ29"/>
      <c r="WFR29"/>
      <c r="WFS29"/>
      <c r="WFT29"/>
      <c r="WFU29"/>
      <c r="WFV29"/>
      <c r="WFW29"/>
      <c r="WFX29"/>
      <c r="WFY29"/>
      <c r="WFZ29"/>
      <c r="WGA29"/>
      <c r="WGB29"/>
      <c r="WGC29"/>
      <c r="WGD29"/>
      <c r="WGE29"/>
      <c r="WGF29"/>
      <c r="WGG29"/>
      <c r="WGH29"/>
      <c r="WGI29"/>
      <c r="WGJ29"/>
      <c r="WGK29"/>
      <c r="WGL29"/>
      <c r="WGM29"/>
      <c r="WGN29"/>
      <c r="WGO29"/>
      <c r="WGP29"/>
      <c r="WGQ29"/>
      <c r="WGR29"/>
      <c r="WGS29"/>
      <c r="WGT29"/>
      <c r="WGU29"/>
      <c r="WGV29"/>
      <c r="WGW29"/>
      <c r="WGX29"/>
      <c r="WGY29"/>
      <c r="WGZ29"/>
      <c r="WHA29"/>
      <c r="WHB29"/>
      <c r="WHC29"/>
      <c r="WHD29"/>
      <c r="WHE29"/>
      <c r="WHF29"/>
      <c r="WHG29"/>
      <c r="WHH29"/>
      <c r="WHI29"/>
      <c r="WHJ29"/>
      <c r="WHK29"/>
      <c r="WHL29"/>
      <c r="WHM29"/>
      <c r="WHN29"/>
      <c r="WHO29"/>
      <c r="WHP29"/>
      <c r="WHQ29"/>
      <c r="WHR29"/>
      <c r="WHS29"/>
      <c r="WHT29"/>
      <c r="WHU29"/>
      <c r="WHV29"/>
      <c r="WHW29"/>
      <c r="WHX29"/>
      <c r="WHY29"/>
      <c r="WHZ29"/>
      <c r="WIA29"/>
      <c r="WIB29"/>
      <c r="WIC29"/>
      <c r="WID29"/>
      <c r="WIE29"/>
      <c r="WIF29"/>
      <c r="WIG29"/>
      <c r="WIH29"/>
      <c r="WII29"/>
      <c r="WIJ29"/>
      <c r="WIK29"/>
      <c r="WIL29"/>
      <c r="WIM29"/>
      <c r="WIN29"/>
      <c r="WIO29"/>
      <c r="WIP29"/>
      <c r="WIQ29"/>
      <c r="WIR29"/>
      <c r="WIS29"/>
      <c r="WIT29"/>
      <c r="WIU29"/>
      <c r="WIV29"/>
      <c r="WIW29"/>
      <c r="WIX29"/>
      <c r="WIY29"/>
      <c r="WIZ29"/>
      <c r="WJA29"/>
      <c r="WJB29"/>
      <c r="WJC29"/>
      <c r="WJD29"/>
      <c r="WJE29"/>
      <c r="WJF29"/>
      <c r="WJG29"/>
      <c r="WJH29"/>
      <c r="WJI29"/>
      <c r="WJJ29"/>
      <c r="WJK29"/>
      <c r="WJL29"/>
      <c r="WJM29"/>
      <c r="WJN29"/>
      <c r="WJO29"/>
      <c r="WJP29"/>
      <c r="WJQ29"/>
      <c r="WJR29"/>
      <c r="WJS29"/>
      <c r="WJT29"/>
      <c r="WJU29"/>
      <c r="WJV29"/>
      <c r="WJW29"/>
      <c r="WJX29"/>
      <c r="WJY29"/>
      <c r="WJZ29"/>
      <c r="WKA29"/>
      <c r="WKB29"/>
      <c r="WKC29"/>
      <c r="WKD29"/>
      <c r="WKE29"/>
      <c r="WKF29"/>
      <c r="WKG29"/>
      <c r="WKH29"/>
      <c r="WKI29"/>
      <c r="WKJ29"/>
      <c r="WKK29"/>
      <c r="WKL29"/>
      <c r="WKM29"/>
      <c r="WKN29"/>
      <c r="WKO29"/>
      <c r="WKP29"/>
      <c r="WKQ29"/>
      <c r="WKR29"/>
      <c r="WKS29"/>
      <c r="WKT29"/>
      <c r="WKU29"/>
      <c r="WKV29"/>
      <c r="WKW29"/>
      <c r="WKX29"/>
      <c r="WKY29"/>
      <c r="WKZ29"/>
      <c r="WLA29"/>
      <c r="WLB29"/>
      <c r="WLC29"/>
      <c r="WLD29"/>
      <c r="WLE29"/>
      <c r="WLF29"/>
      <c r="WLG29"/>
      <c r="WLH29"/>
      <c r="WLI29"/>
      <c r="WLJ29"/>
      <c r="WLK29"/>
      <c r="WLL29"/>
      <c r="WLM29"/>
      <c r="WLN29"/>
      <c r="WLO29"/>
      <c r="WLP29"/>
      <c r="WLQ29"/>
      <c r="WLR29"/>
      <c r="WLS29"/>
      <c r="WLT29"/>
      <c r="WLU29"/>
      <c r="WLV29"/>
      <c r="WLW29"/>
      <c r="WLX29"/>
      <c r="WLY29"/>
      <c r="WLZ29"/>
      <c r="WMA29"/>
      <c r="WMB29"/>
      <c r="WMC29"/>
      <c r="WMD29"/>
      <c r="WME29"/>
      <c r="WMF29"/>
      <c r="WMG29"/>
      <c r="WMH29"/>
      <c r="WMI29"/>
      <c r="WMJ29"/>
      <c r="WMK29"/>
      <c r="WML29"/>
      <c r="WMM29"/>
      <c r="WMN29"/>
      <c r="WMO29"/>
      <c r="WMP29"/>
      <c r="WMQ29"/>
      <c r="WMR29"/>
      <c r="WMS29"/>
      <c r="WMT29"/>
      <c r="WMU29"/>
      <c r="WMV29"/>
      <c r="WMW29"/>
      <c r="WMX29"/>
      <c r="WMY29"/>
      <c r="WMZ29"/>
      <c r="WNA29"/>
      <c r="WNB29"/>
      <c r="WNC29"/>
      <c r="WND29"/>
      <c r="WNE29"/>
      <c r="WNF29"/>
      <c r="WNG29"/>
      <c r="WNH29"/>
      <c r="WNI29"/>
      <c r="WNJ29"/>
      <c r="WNK29"/>
      <c r="WNL29"/>
      <c r="WNM29"/>
      <c r="WNN29"/>
      <c r="WNO29"/>
      <c r="WNP29"/>
      <c r="WNQ29"/>
      <c r="WNR29"/>
      <c r="WNS29"/>
      <c r="WNT29"/>
      <c r="WNU29"/>
      <c r="WNV29"/>
      <c r="WNW29"/>
      <c r="WNX29"/>
      <c r="WNY29"/>
      <c r="WNZ29"/>
      <c r="WOA29"/>
      <c r="WOB29"/>
      <c r="WOC29"/>
      <c r="WOD29"/>
      <c r="WOE29"/>
      <c r="WOF29"/>
      <c r="WOG29"/>
      <c r="WOH29"/>
      <c r="WOI29"/>
      <c r="WOJ29"/>
      <c r="WOK29"/>
      <c r="WOL29"/>
      <c r="WOM29"/>
      <c r="WON29"/>
      <c r="WOO29"/>
      <c r="WOP29"/>
      <c r="WOQ29"/>
      <c r="WOR29"/>
      <c r="WOS29"/>
      <c r="WOT29"/>
      <c r="WOU29"/>
      <c r="WOV29"/>
      <c r="WOW29"/>
      <c r="WOX29"/>
      <c r="WOY29"/>
      <c r="WOZ29"/>
      <c r="WPA29"/>
      <c r="WPB29"/>
      <c r="WPC29"/>
      <c r="WPD29"/>
      <c r="WPE29"/>
      <c r="WPF29"/>
      <c r="WPG29"/>
      <c r="WPH29"/>
      <c r="WPI29"/>
      <c r="WPJ29"/>
      <c r="WPK29"/>
      <c r="WPL29"/>
      <c r="WPM29"/>
      <c r="WPN29"/>
      <c r="WPO29"/>
      <c r="WPP29"/>
      <c r="WPQ29"/>
      <c r="WPR29"/>
      <c r="WPS29"/>
      <c r="WPT29"/>
      <c r="WPU29"/>
      <c r="WPV29"/>
      <c r="WPW29"/>
      <c r="WPX29"/>
      <c r="WPY29"/>
      <c r="WPZ29"/>
      <c r="WQA29"/>
      <c r="WQB29"/>
      <c r="WQC29"/>
      <c r="WQD29"/>
      <c r="WQE29"/>
      <c r="WQF29"/>
      <c r="WQG29"/>
      <c r="WQH29"/>
      <c r="WQI29"/>
      <c r="WQJ29"/>
      <c r="WQK29"/>
      <c r="WQL29"/>
      <c r="WQM29"/>
      <c r="WQN29"/>
      <c r="WQO29"/>
      <c r="WQP29"/>
      <c r="WQQ29"/>
      <c r="WQR29"/>
      <c r="WQS29"/>
      <c r="WQT29"/>
      <c r="WQU29"/>
      <c r="WQV29"/>
      <c r="WQW29"/>
      <c r="WQX29"/>
      <c r="WQY29"/>
      <c r="WQZ29"/>
      <c r="WRA29"/>
      <c r="WRB29"/>
      <c r="WRC29"/>
      <c r="WRD29"/>
      <c r="WRE29"/>
      <c r="WRF29"/>
      <c r="WRG29"/>
      <c r="WRH29"/>
      <c r="WRI29"/>
      <c r="WRJ29"/>
      <c r="WRK29"/>
      <c r="WRL29"/>
      <c r="WRM29"/>
      <c r="WRN29"/>
      <c r="WRO29"/>
      <c r="WRP29"/>
      <c r="WRQ29"/>
      <c r="WRR29"/>
      <c r="WRS29"/>
      <c r="WRT29"/>
      <c r="WRU29"/>
      <c r="WRV29"/>
      <c r="WRW29"/>
      <c r="WRX29"/>
      <c r="WRY29"/>
      <c r="WRZ29"/>
      <c r="WSA29"/>
      <c r="WSB29"/>
      <c r="WSC29"/>
      <c r="WSD29"/>
      <c r="WSE29"/>
      <c r="WSF29"/>
      <c r="WSG29"/>
      <c r="WSH29"/>
      <c r="WSI29"/>
      <c r="WSJ29"/>
      <c r="WSK29"/>
      <c r="WSL29"/>
      <c r="WSM29"/>
      <c r="WSN29"/>
      <c r="WSO29"/>
      <c r="WSP29"/>
      <c r="WSQ29"/>
      <c r="WSR29"/>
      <c r="WSS29"/>
      <c r="WST29"/>
      <c r="WSU29"/>
      <c r="WSV29"/>
      <c r="WSW29"/>
      <c r="WSX29"/>
      <c r="WSY29"/>
      <c r="WSZ29"/>
      <c r="WTA29"/>
      <c r="WTB29"/>
      <c r="WTC29"/>
      <c r="WTD29"/>
      <c r="WTE29"/>
      <c r="WTF29"/>
      <c r="WTG29"/>
      <c r="WTH29"/>
      <c r="WTI29"/>
      <c r="WTJ29"/>
      <c r="WTK29"/>
      <c r="WTL29"/>
      <c r="WTM29"/>
      <c r="WTN29"/>
      <c r="WTO29"/>
      <c r="WTP29"/>
      <c r="WTQ29"/>
      <c r="WTR29"/>
      <c r="WTS29"/>
      <c r="WTT29"/>
      <c r="WTU29"/>
      <c r="WTV29"/>
      <c r="WTW29"/>
      <c r="WTX29"/>
      <c r="WTY29"/>
      <c r="WTZ29"/>
      <c r="WUA29"/>
      <c r="WUB29"/>
      <c r="WUC29"/>
      <c r="WUD29"/>
      <c r="WUE29"/>
      <c r="WUF29"/>
      <c r="WUG29"/>
      <c r="WUH29"/>
      <c r="WUI29"/>
      <c r="WUJ29"/>
      <c r="WUK29"/>
      <c r="WUL29"/>
      <c r="WUM29"/>
      <c r="WUN29"/>
      <c r="WUO29"/>
      <c r="WUP29"/>
      <c r="WUQ29"/>
      <c r="WUR29"/>
      <c r="WUS29"/>
      <c r="WUT29"/>
      <c r="WUU29"/>
      <c r="WUV29"/>
      <c r="WUW29"/>
      <c r="WUX29"/>
      <c r="WUY29"/>
      <c r="WUZ29"/>
      <c r="WVA29"/>
      <c r="WVB29"/>
      <c r="WVC29"/>
      <c r="WVD29"/>
      <c r="WVE29"/>
      <c r="WVF29"/>
      <c r="WVG29"/>
      <c r="WVH29"/>
      <c r="WVI29"/>
      <c r="WVJ29"/>
      <c r="WVK29"/>
      <c r="WVL29"/>
      <c r="WVM29"/>
      <c r="WVN29"/>
      <c r="WVO29"/>
      <c r="WVP29"/>
      <c r="WVQ29"/>
      <c r="WVR29"/>
      <c r="WVS29"/>
      <c r="WVT29"/>
      <c r="WVU29"/>
      <c r="WVV29"/>
      <c r="WVW29"/>
      <c r="WVX29"/>
      <c r="WVY29"/>
      <c r="WVZ29"/>
      <c r="WWA29"/>
      <c r="WWB29"/>
      <c r="WWC29"/>
      <c r="WWD29"/>
      <c r="WWE29"/>
      <c r="WWF29"/>
      <c r="WWG29"/>
      <c r="WWH29"/>
      <c r="WWI29"/>
      <c r="WWJ29"/>
      <c r="WWK29"/>
      <c r="WWL29"/>
      <c r="WWM29"/>
      <c r="WWN29"/>
      <c r="WWO29"/>
      <c r="WWP29"/>
      <c r="WWQ29"/>
      <c r="WWR29"/>
      <c r="WWS29"/>
      <c r="WWT29"/>
      <c r="WWU29"/>
      <c r="WWV29"/>
      <c r="WWW29"/>
      <c r="WWX29"/>
      <c r="WWY29"/>
      <c r="WWZ29"/>
      <c r="WXA29"/>
      <c r="WXB29"/>
      <c r="WXC29"/>
      <c r="WXD29"/>
      <c r="WXE29"/>
      <c r="WXF29"/>
      <c r="WXG29"/>
      <c r="WXH29"/>
      <c r="WXI29"/>
      <c r="WXJ29"/>
      <c r="WXK29"/>
      <c r="WXL29"/>
      <c r="WXM29"/>
      <c r="WXN29"/>
      <c r="WXO29"/>
      <c r="WXP29"/>
      <c r="WXQ29"/>
      <c r="WXR29"/>
      <c r="WXS29"/>
      <c r="WXT29"/>
      <c r="WXU29"/>
      <c r="WXV29"/>
      <c r="WXW29"/>
      <c r="WXX29"/>
      <c r="WXY29"/>
      <c r="WXZ29"/>
      <c r="WYA29"/>
      <c r="WYB29"/>
      <c r="WYC29"/>
      <c r="WYD29"/>
      <c r="WYE29"/>
      <c r="WYF29"/>
      <c r="WYG29"/>
      <c r="WYH29"/>
      <c r="WYI29"/>
      <c r="WYJ29"/>
      <c r="WYK29"/>
      <c r="WYL29"/>
      <c r="WYM29"/>
      <c r="WYN29"/>
      <c r="WYO29"/>
      <c r="WYP29"/>
      <c r="WYQ29"/>
      <c r="WYR29"/>
      <c r="WYS29"/>
      <c r="WYT29"/>
      <c r="WYU29"/>
      <c r="WYV29"/>
      <c r="WYW29"/>
      <c r="WYX29"/>
      <c r="WYY29"/>
      <c r="WYZ29"/>
      <c r="WZA29"/>
      <c r="WZB29"/>
      <c r="WZC29"/>
      <c r="WZD29"/>
      <c r="WZE29"/>
      <c r="WZF29"/>
      <c r="WZG29"/>
      <c r="WZH29"/>
      <c r="WZI29"/>
      <c r="WZJ29"/>
      <c r="WZK29"/>
      <c r="WZL29"/>
      <c r="WZM29"/>
      <c r="WZN29"/>
      <c r="WZO29"/>
      <c r="WZP29"/>
      <c r="WZQ29"/>
      <c r="WZR29"/>
      <c r="WZS29"/>
      <c r="WZT29"/>
      <c r="WZU29"/>
      <c r="WZV29"/>
      <c r="WZW29"/>
      <c r="WZX29"/>
      <c r="WZY29"/>
      <c r="WZZ29"/>
      <c r="XAA29"/>
      <c r="XAB29"/>
      <c r="XAC29"/>
      <c r="XAD29"/>
      <c r="XAE29"/>
      <c r="XAF29"/>
      <c r="XAG29"/>
      <c r="XAH29"/>
      <c r="XAI29"/>
      <c r="XAJ29"/>
      <c r="XAK29"/>
      <c r="XAL29"/>
      <c r="XAM29"/>
      <c r="XAN29"/>
      <c r="XAO29"/>
      <c r="XAP29"/>
      <c r="XAQ29"/>
      <c r="XAR29"/>
      <c r="XAS29"/>
      <c r="XAT29"/>
      <c r="XAU29"/>
      <c r="XAV29"/>
      <c r="XAW29"/>
      <c r="XAX29"/>
      <c r="XAY29"/>
      <c r="XAZ29"/>
      <c r="XBA29"/>
      <c r="XBB29"/>
      <c r="XBC29"/>
      <c r="XBD29"/>
      <c r="XBE29"/>
      <c r="XBF29"/>
      <c r="XBG29"/>
      <c r="XBH29"/>
      <c r="XBI29"/>
      <c r="XBJ29"/>
      <c r="XBK29"/>
      <c r="XBL29"/>
      <c r="XBM29"/>
      <c r="XBN29"/>
      <c r="XBO29"/>
      <c r="XBP29"/>
      <c r="XBQ29"/>
      <c r="XBR29"/>
      <c r="XBS29"/>
      <c r="XBT29"/>
      <c r="XBU29"/>
      <c r="XBV29"/>
      <c r="XBW29"/>
      <c r="XBX29"/>
      <c r="XBY29"/>
      <c r="XBZ29"/>
      <c r="XCA29"/>
      <c r="XCB29"/>
      <c r="XCC29"/>
      <c r="XCD29"/>
      <c r="XCE29"/>
      <c r="XCF29"/>
      <c r="XCG29"/>
      <c r="XCH29"/>
      <c r="XCI29"/>
      <c r="XCJ29"/>
      <c r="XCK29"/>
      <c r="XCL29"/>
      <c r="XCM29"/>
      <c r="XCN29"/>
      <c r="XCO29"/>
      <c r="XCP29"/>
      <c r="XCQ29"/>
      <c r="XCR29"/>
      <c r="XCS29"/>
      <c r="XCT29"/>
      <c r="XCU29"/>
      <c r="XCV29"/>
      <c r="XCW29"/>
      <c r="XCX29"/>
      <c r="XCY29"/>
      <c r="XCZ29"/>
      <c r="XDA29"/>
      <c r="XDB29"/>
      <c r="XDC29"/>
      <c r="XDD29"/>
      <c r="XDE29"/>
      <c r="XDF29"/>
      <c r="XDG29"/>
      <c r="XDH29"/>
      <c r="XDI29"/>
      <c r="XDJ29"/>
      <c r="XDK29"/>
      <c r="XDL29"/>
      <c r="XDM29"/>
      <c r="XDN29"/>
      <c r="XDO29"/>
      <c r="XDP29"/>
      <c r="XDQ29"/>
      <c r="XDR29"/>
      <c r="XDS29"/>
      <c r="XDT29"/>
      <c r="XDU29"/>
      <c r="XDV29"/>
      <c r="XDW29"/>
      <c r="XDX29"/>
      <c r="XDY29"/>
      <c r="XDZ29"/>
      <c r="XEA29"/>
      <c r="XEB29"/>
      <c r="XEC29"/>
      <c r="XED29"/>
      <c r="XEE29"/>
      <c r="XEF29"/>
      <c r="XEG29"/>
      <c r="XEH29"/>
      <c r="XEI29"/>
      <c r="XEJ29"/>
      <c r="XEK29"/>
      <c r="XEL29"/>
      <c r="XEM29"/>
      <c r="XEN29"/>
      <c r="XEO29"/>
      <c r="XEP29"/>
      <c r="XEQ29"/>
      <c r="XER29"/>
      <c r="XES29"/>
      <c r="XET29"/>
      <c r="XEU29"/>
      <c r="XEV29"/>
      <c r="XEW29"/>
      <c r="XEX29"/>
      <c r="XEY29"/>
    </row>
    <row r="30" spans="1:16379">
      <c r="A30" s="40">
        <v>10528</v>
      </c>
      <c r="B30" s="9">
        <v>14528</v>
      </c>
      <c r="C30" s="54" t="s">
        <v>3613</v>
      </c>
      <c r="D30" s="34"/>
      <c r="E30" s="40"/>
      <c r="F30" s="55"/>
      <c r="G30" s="37"/>
    </row>
    <row r="31" spans="1:16379">
      <c r="A31" s="40">
        <v>10529</v>
      </c>
      <c r="B31" s="9">
        <v>14529</v>
      </c>
      <c r="C31" s="54" t="s">
        <v>3613</v>
      </c>
      <c r="D31" s="34">
        <v>9772147</v>
      </c>
      <c r="E31" s="40"/>
      <c r="F31" s="55"/>
      <c r="G31" s="37"/>
    </row>
    <row r="32" spans="1:16379">
      <c r="A32" s="40">
        <v>10530</v>
      </c>
      <c r="B32" s="9">
        <v>14530</v>
      </c>
      <c r="C32" s="54" t="s">
        <v>3613</v>
      </c>
      <c r="D32" s="34"/>
      <c r="E32" s="40"/>
      <c r="F32" s="55"/>
      <c r="G32" s="37"/>
    </row>
    <row r="33" spans="1:7">
      <c r="A33" s="40">
        <v>10531</v>
      </c>
      <c r="B33" s="9">
        <v>14531</v>
      </c>
      <c r="C33" s="54" t="s">
        <v>3613</v>
      </c>
      <c r="D33" s="34"/>
      <c r="E33" s="9"/>
      <c r="F33" s="55"/>
      <c r="G33" s="9"/>
    </row>
    <row r="34" spans="1:7">
      <c r="A34" s="40">
        <v>10532</v>
      </c>
      <c r="B34" s="9">
        <v>14532</v>
      </c>
      <c r="C34" s="54" t="s">
        <v>3613</v>
      </c>
      <c r="D34" s="34">
        <v>9772383</v>
      </c>
      <c r="E34" s="40"/>
      <c r="F34" s="55"/>
      <c r="G34" s="37"/>
    </row>
    <row r="35" spans="1:7" ht="14.25" customHeight="1">
      <c r="A35" s="40">
        <v>10533</v>
      </c>
      <c r="B35" s="9">
        <v>14533</v>
      </c>
      <c r="C35" s="54" t="s">
        <v>3613</v>
      </c>
      <c r="D35" s="34">
        <v>9772385</v>
      </c>
      <c r="E35" s="40"/>
      <c r="F35" s="55"/>
      <c r="G35" s="37"/>
    </row>
    <row r="36" spans="1:7" ht="14.25" customHeight="1">
      <c r="A36" s="40">
        <v>10534</v>
      </c>
      <c r="B36" s="9">
        <v>14534</v>
      </c>
      <c r="C36" s="54" t="s">
        <v>3613</v>
      </c>
      <c r="D36" s="34"/>
      <c r="E36" s="40"/>
      <c r="F36" s="55"/>
      <c r="G36" s="37"/>
    </row>
    <row r="37" spans="1:7" ht="14.25" customHeight="1">
      <c r="A37" s="40">
        <v>10535</v>
      </c>
      <c r="B37" s="9">
        <v>14535</v>
      </c>
      <c r="C37" s="54" t="s">
        <v>3613</v>
      </c>
      <c r="D37" s="34">
        <v>9772389</v>
      </c>
      <c r="E37" s="40"/>
      <c r="F37" s="55"/>
      <c r="G37" s="37"/>
    </row>
    <row r="38" spans="1:7" ht="14.25" customHeight="1">
      <c r="A38" s="40">
        <v>10536</v>
      </c>
      <c r="B38" s="9">
        <v>14536</v>
      </c>
      <c r="C38" s="54" t="s">
        <v>3613</v>
      </c>
      <c r="D38" s="34"/>
      <c r="E38" s="40"/>
      <c r="F38" s="55"/>
      <c r="G38" s="37"/>
    </row>
    <row r="39" spans="1:7" ht="14.25" customHeight="1">
      <c r="A39" s="40">
        <v>10537</v>
      </c>
      <c r="B39" s="9">
        <v>14537</v>
      </c>
      <c r="C39" s="54" t="s">
        <v>3613</v>
      </c>
      <c r="D39" s="34"/>
      <c r="E39" s="58"/>
      <c r="F39" s="56"/>
      <c r="G39" s="37"/>
    </row>
    <row r="40" spans="1:7" ht="14.25" customHeight="1">
      <c r="A40" s="59">
        <v>10538</v>
      </c>
      <c r="B40" s="9">
        <v>14538</v>
      </c>
      <c r="C40" s="60" t="s">
        <v>3613</v>
      </c>
      <c r="D40" s="34"/>
      <c r="E40" s="40"/>
      <c r="F40" s="55"/>
      <c r="G40" s="39"/>
    </row>
    <row r="41" spans="1:7" ht="14.25" customHeight="1">
      <c r="A41" s="59">
        <v>10539</v>
      </c>
      <c r="B41" s="9">
        <v>14539</v>
      </c>
      <c r="C41" s="60" t="s">
        <v>3613</v>
      </c>
      <c r="D41" s="61">
        <v>9772153</v>
      </c>
      <c r="E41" s="9"/>
      <c r="F41" s="62"/>
      <c r="G41" s="9"/>
    </row>
    <row r="42" spans="1:7" ht="14.25" customHeight="1">
      <c r="A42" s="40">
        <v>10540</v>
      </c>
      <c r="B42" s="9">
        <v>14540</v>
      </c>
      <c r="C42" s="54" t="s">
        <v>3613</v>
      </c>
      <c r="D42" s="34"/>
      <c r="E42" s="58"/>
      <c r="F42" s="55"/>
      <c r="G42" s="37"/>
    </row>
    <row r="43" spans="1:7" ht="14.25" customHeight="1">
      <c r="A43" s="40">
        <v>10541</v>
      </c>
      <c r="B43" s="9">
        <v>14541</v>
      </c>
      <c r="C43" s="54" t="s">
        <v>3613</v>
      </c>
      <c r="D43" s="34">
        <v>9772359</v>
      </c>
      <c r="E43" s="58"/>
      <c r="F43" s="55"/>
      <c r="G43" s="37"/>
    </row>
    <row r="44" spans="1:7" ht="14.25" customHeight="1">
      <c r="A44" s="40">
        <v>10542</v>
      </c>
      <c r="B44" s="9">
        <v>14542</v>
      </c>
      <c r="C44" s="54" t="s">
        <v>3613</v>
      </c>
      <c r="D44" s="40"/>
      <c r="E44" s="58"/>
      <c r="F44" s="55"/>
      <c r="G44" s="37"/>
    </row>
    <row r="45" spans="1:7" ht="14.25" customHeight="1">
      <c r="A45" s="40">
        <v>10543</v>
      </c>
      <c r="B45" s="9">
        <v>14543</v>
      </c>
      <c r="C45" s="54" t="s">
        <v>3613</v>
      </c>
      <c r="D45" s="34"/>
      <c r="E45" s="40"/>
      <c r="F45" s="56"/>
      <c r="G45" s="37"/>
    </row>
    <row r="46" spans="1:7">
      <c r="A46" s="40">
        <v>10544</v>
      </c>
      <c r="B46" s="9">
        <v>14544</v>
      </c>
      <c r="C46" s="54" t="s">
        <v>3613</v>
      </c>
      <c r="D46" s="34">
        <v>9772105</v>
      </c>
      <c r="E46" s="37"/>
      <c r="F46" s="55"/>
      <c r="G46" s="37"/>
    </row>
    <row r="47" spans="1:7">
      <c r="A47" s="40">
        <v>10545</v>
      </c>
      <c r="B47" s="9">
        <v>14545</v>
      </c>
      <c r="C47" s="54" t="s">
        <v>3613</v>
      </c>
      <c r="D47" s="34"/>
      <c r="E47" s="37"/>
      <c r="F47" s="55"/>
      <c r="G47" s="37"/>
    </row>
    <row r="48" spans="1:7">
      <c r="A48" s="40">
        <v>10546</v>
      </c>
      <c r="B48" s="9">
        <v>14546</v>
      </c>
      <c r="C48" s="54" t="s">
        <v>3613</v>
      </c>
      <c r="D48" s="34">
        <v>9772397</v>
      </c>
      <c r="E48" s="37"/>
      <c r="F48" s="55"/>
      <c r="G48" s="37"/>
    </row>
    <row r="49" spans="1:7">
      <c r="A49" s="40">
        <v>10547</v>
      </c>
      <c r="B49" s="9">
        <v>14547</v>
      </c>
      <c r="C49" s="54" t="s">
        <v>3613</v>
      </c>
      <c r="D49" s="34">
        <v>9772302</v>
      </c>
      <c r="E49" s="37"/>
      <c r="F49" s="55"/>
      <c r="G49" s="37"/>
    </row>
    <row r="50" spans="1:7">
      <c r="A50" s="40">
        <v>10548</v>
      </c>
      <c r="B50" s="9">
        <v>14548</v>
      </c>
      <c r="C50" s="54" t="s">
        <v>3613</v>
      </c>
      <c r="D50" s="34"/>
      <c r="E50" s="37"/>
      <c r="F50" s="55"/>
      <c r="G50" s="37"/>
    </row>
    <row r="51" spans="1:7">
      <c r="A51" s="40">
        <v>10549</v>
      </c>
      <c r="B51" s="9">
        <v>14549</v>
      </c>
      <c r="C51" s="54" t="s">
        <v>3613</v>
      </c>
      <c r="D51" s="34">
        <v>9772349</v>
      </c>
      <c r="E51" s="37"/>
      <c r="F51" s="55"/>
      <c r="G51" s="37"/>
    </row>
    <row r="52" spans="1:7">
      <c r="A52" s="40">
        <v>10550</v>
      </c>
      <c r="B52" s="9">
        <v>14550</v>
      </c>
      <c r="C52" s="54" t="s">
        <v>3613</v>
      </c>
      <c r="D52" s="40">
        <v>9772129</v>
      </c>
      <c r="E52" s="37"/>
      <c r="F52" s="55"/>
      <c r="G52" s="37"/>
    </row>
    <row r="53" spans="1:7">
      <c r="A53" s="5">
        <v>10600</v>
      </c>
      <c r="B53" s="159">
        <v>14600</v>
      </c>
      <c r="C53" s="54" t="s">
        <v>3613</v>
      </c>
      <c r="D53" s="40">
        <v>9772401</v>
      </c>
      <c r="E53" s="40"/>
      <c r="F53" s="55"/>
      <c r="G53" s="38"/>
    </row>
    <row r="54" spans="1:7">
      <c r="A54" s="5">
        <v>10601</v>
      </c>
      <c r="B54" s="159">
        <v>14601</v>
      </c>
      <c r="C54" s="54" t="s">
        <v>3613</v>
      </c>
      <c r="D54" s="40">
        <v>9772403</v>
      </c>
      <c r="E54" s="40"/>
      <c r="F54" s="55"/>
      <c r="G54" s="38"/>
    </row>
    <row r="55" spans="1:7">
      <c r="A55" s="5">
        <v>10602</v>
      </c>
      <c r="B55" s="159">
        <v>14602</v>
      </c>
      <c r="C55" s="54" t="s">
        <v>3613</v>
      </c>
      <c r="D55" s="40"/>
      <c r="E55" s="40"/>
      <c r="F55" s="55"/>
      <c r="G55" s="40" t="s">
        <v>3623</v>
      </c>
    </row>
    <row r="56" spans="1:7">
      <c r="A56" s="5">
        <v>10603</v>
      </c>
      <c r="B56" s="159">
        <v>14603</v>
      </c>
      <c r="C56" s="54" t="s">
        <v>3613</v>
      </c>
      <c r="D56" s="40">
        <v>9772407</v>
      </c>
      <c r="E56" s="40"/>
      <c r="F56" s="55"/>
      <c r="G56" s="38"/>
    </row>
    <row r="57" spans="1:7">
      <c r="A57" s="5">
        <v>10604</v>
      </c>
      <c r="B57" s="159">
        <v>14604</v>
      </c>
      <c r="C57" s="54" t="s">
        <v>3613</v>
      </c>
      <c r="D57" s="40">
        <v>9772409</v>
      </c>
      <c r="E57" s="40"/>
      <c r="F57" s="55"/>
      <c r="G57" s="38"/>
    </row>
    <row r="58" spans="1:7">
      <c r="A58" s="5">
        <v>10605</v>
      </c>
      <c r="B58" s="159">
        <v>14605</v>
      </c>
      <c r="C58" s="54" t="s">
        <v>3613</v>
      </c>
      <c r="D58" s="40">
        <v>9772411</v>
      </c>
      <c r="E58" s="40"/>
      <c r="F58" s="55"/>
      <c r="G58" s="38"/>
    </row>
    <row r="59" spans="1:7">
      <c r="A59" s="5">
        <v>10606</v>
      </c>
      <c r="B59" s="159">
        <v>14606</v>
      </c>
      <c r="C59" s="54" t="s">
        <v>3613</v>
      </c>
      <c r="D59" s="40">
        <v>9772413</v>
      </c>
      <c r="E59" s="40"/>
      <c r="F59" s="55"/>
      <c r="G59" s="38"/>
    </row>
    <row r="60" spans="1:7">
      <c r="A60" s="5">
        <v>10607</v>
      </c>
      <c r="B60" s="159">
        <v>14607</v>
      </c>
      <c r="C60" s="54" t="s">
        <v>3613</v>
      </c>
      <c r="D60" s="40">
        <v>9772415</v>
      </c>
      <c r="E60" s="40"/>
      <c r="F60" s="55"/>
      <c r="G60" s="38"/>
    </row>
    <row r="61" spans="1:7">
      <c r="A61" s="5">
        <v>10608</v>
      </c>
      <c r="B61" s="159">
        <v>14608</v>
      </c>
      <c r="C61" s="54" t="s">
        <v>3613</v>
      </c>
      <c r="D61" s="40">
        <v>9772417</v>
      </c>
      <c r="E61" s="40"/>
      <c r="F61" s="55"/>
      <c r="G61" s="38"/>
    </row>
    <row r="62" spans="1:7">
      <c r="A62" s="5">
        <v>10609</v>
      </c>
      <c r="B62" s="159">
        <v>14609</v>
      </c>
      <c r="C62" s="54" t="s">
        <v>3613</v>
      </c>
      <c r="D62" s="40">
        <v>9772419</v>
      </c>
      <c r="E62" s="40"/>
      <c r="F62" s="55"/>
      <c r="G62" s="38"/>
    </row>
    <row r="63" spans="1:7">
      <c r="A63" s="5">
        <v>10610</v>
      </c>
      <c r="B63" s="159">
        <v>14610</v>
      </c>
      <c r="C63" s="54" t="s">
        <v>3613</v>
      </c>
      <c r="D63" s="40">
        <v>9772421</v>
      </c>
      <c r="E63" s="40"/>
      <c r="F63" s="55"/>
      <c r="G63" s="38"/>
    </row>
    <row r="64" spans="1:7">
      <c r="A64" s="5">
        <v>10611</v>
      </c>
      <c r="B64" s="159">
        <v>14611</v>
      </c>
      <c r="C64" s="54" t="s">
        <v>3613</v>
      </c>
      <c r="D64" s="40" t="s">
        <v>3624</v>
      </c>
      <c r="E64" s="40"/>
      <c r="F64" s="55"/>
      <c r="G64" s="38" t="s">
        <v>3625</v>
      </c>
    </row>
    <row r="65" spans="1:7">
      <c r="A65" s="5">
        <v>10612</v>
      </c>
      <c r="B65" s="159">
        <v>14612</v>
      </c>
      <c r="C65" s="54" t="s">
        <v>3613</v>
      </c>
      <c r="D65" s="40"/>
      <c r="E65" s="40"/>
      <c r="F65" s="55"/>
      <c r="G65" s="38"/>
    </row>
    <row r="66" spans="1:7">
      <c r="A66" s="5">
        <v>10613</v>
      </c>
      <c r="B66" s="159">
        <v>14613</v>
      </c>
      <c r="C66" s="54" t="s">
        <v>3613</v>
      </c>
      <c r="D66" s="40">
        <v>9772427</v>
      </c>
      <c r="E66" s="40"/>
      <c r="F66" s="55"/>
      <c r="G66" s="38"/>
    </row>
    <row r="67" spans="1:7">
      <c r="A67" s="5">
        <v>10614</v>
      </c>
      <c r="B67" s="159">
        <v>14614</v>
      </c>
      <c r="C67" s="54" t="s">
        <v>3613</v>
      </c>
      <c r="D67" s="40">
        <v>9772429</v>
      </c>
      <c r="E67" s="40"/>
      <c r="F67" s="55"/>
      <c r="G67" s="38"/>
    </row>
    <row r="68" spans="1:7">
      <c r="A68" s="5">
        <v>10615</v>
      </c>
      <c r="B68" s="159">
        <v>14615</v>
      </c>
      <c r="C68" s="54" t="s">
        <v>3613</v>
      </c>
      <c r="D68" s="40"/>
      <c r="E68" s="40"/>
      <c r="F68" s="55"/>
      <c r="G68" s="38"/>
    </row>
    <row r="69" spans="1:7">
      <c r="A69" s="5">
        <v>10616</v>
      </c>
      <c r="B69" s="159">
        <v>14616</v>
      </c>
      <c r="C69" s="54" t="s">
        <v>3613</v>
      </c>
      <c r="D69" s="40"/>
      <c r="E69" s="40"/>
      <c r="F69" s="55"/>
      <c r="G69" s="38"/>
    </row>
    <row r="70" spans="1:7">
      <c r="A70" s="5">
        <v>10617</v>
      </c>
      <c r="B70" s="159">
        <v>14617</v>
      </c>
      <c r="C70" s="54" t="s">
        <v>3613</v>
      </c>
      <c r="D70" s="40">
        <v>9772435</v>
      </c>
      <c r="E70" s="40"/>
      <c r="F70" s="55"/>
      <c r="G70" s="38"/>
    </row>
    <row r="71" spans="1:7">
      <c r="A71" s="5">
        <v>10618</v>
      </c>
      <c r="B71" s="159">
        <v>14618</v>
      </c>
      <c r="C71" s="54" t="s">
        <v>3613</v>
      </c>
      <c r="D71" s="40">
        <v>9772437</v>
      </c>
      <c r="E71" s="40"/>
      <c r="F71" s="55"/>
      <c r="G71" s="38"/>
    </row>
    <row r="72" spans="1:7">
      <c r="A72" s="5">
        <v>10619</v>
      </c>
      <c r="B72" s="159">
        <v>14619</v>
      </c>
      <c r="C72" s="54" t="s">
        <v>3613</v>
      </c>
      <c r="D72" s="40">
        <v>9772439</v>
      </c>
      <c r="E72" s="40"/>
      <c r="F72" s="55"/>
      <c r="G72" s="38"/>
    </row>
    <row r="73" spans="1:7">
      <c r="A73" s="5">
        <v>10620</v>
      </c>
      <c r="B73" s="159">
        <v>14620</v>
      </c>
      <c r="C73" s="54" t="s">
        <v>3613</v>
      </c>
      <c r="D73" s="34">
        <v>9772623</v>
      </c>
      <c r="E73" s="40"/>
      <c r="F73" s="55"/>
      <c r="G73" s="38"/>
    </row>
    <row r="74" spans="1:7">
      <c r="A74" s="5">
        <v>10621</v>
      </c>
      <c r="B74" s="159">
        <v>14621</v>
      </c>
      <c r="C74" s="54" t="s">
        <v>3613</v>
      </c>
      <c r="D74" s="34">
        <v>9772625</v>
      </c>
      <c r="E74" s="40"/>
      <c r="F74" s="55"/>
      <c r="G74" s="38"/>
    </row>
    <row r="75" spans="1:7">
      <c r="A75" s="5">
        <v>10622</v>
      </c>
      <c r="B75" s="159">
        <v>14622</v>
      </c>
      <c r="C75" s="54" t="s">
        <v>3613</v>
      </c>
      <c r="D75" s="34">
        <v>9772627</v>
      </c>
      <c r="E75" s="40"/>
      <c r="F75" s="55"/>
      <c r="G75" s="38"/>
    </row>
    <row r="76" spans="1:7">
      <c r="A76" s="5">
        <v>10623</v>
      </c>
      <c r="B76" s="159">
        <v>14623</v>
      </c>
      <c r="C76" s="54" t="s">
        <v>3613</v>
      </c>
      <c r="D76" s="34">
        <v>9772629</v>
      </c>
      <c r="E76" s="40"/>
      <c r="F76" s="55"/>
      <c r="G76" s="38"/>
    </row>
    <row r="77" spans="1:7">
      <c r="A77" s="5">
        <v>10624</v>
      </c>
      <c r="B77" s="159">
        <v>14624</v>
      </c>
      <c r="C77" s="54" t="s">
        <v>3613</v>
      </c>
      <c r="D77" s="34">
        <v>9772631</v>
      </c>
      <c r="E77" s="40"/>
      <c r="F77" s="55"/>
      <c r="G77" s="38"/>
    </row>
    <row r="78" spans="1:7">
      <c r="A78" s="5">
        <v>10625</v>
      </c>
      <c r="B78" s="159">
        <v>14625</v>
      </c>
      <c r="C78" s="54" t="s">
        <v>3613</v>
      </c>
      <c r="D78" s="40" t="s">
        <v>3626</v>
      </c>
      <c r="E78" s="40"/>
      <c r="F78" s="55"/>
      <c r="G78" s="38"/>
    </row>
    <row r="79" spans="1:7">
      <c r="A79" s="5">
        <v>10626</v>
      </c>
      <c r="B79" s="159">
        <v>14626</v>
      </c>
      <c r="C79" s="54" t="s">
        <v>3613</v>
      </c>
      <c r="D79" s="40" t="s">
        <v>3627</v>
      </c>
      <c r="E79" s="40"/>
      <c r="F79" s="55"/>
      <c r="G79" s="38"/>
    </row>
    <row r="80" spans="1:7">
      <c r="A80" s="158">
        <v>10627</v>
      </c>
      <c r="B80" s="160">
        <v>14627</v>
      </c>
      <c r="C80" s="54" t="s">
        <v>3613</v>
      </c>
      <c r="D80" s="7">
        <v>772083</v>
      </c>
      <c r="E80" s="7" t="s">
        <v>2572</v>
      </c>
      <c r="F80" s="55"/>
      <c r="G80" s="38"/>
    </row>
    <row r="81" spans="1:7">
      <c r="A81" s="5">
        <v>10628</v>
      </c>
      <c r="B81" s="159">
        <v>14628</v>
      </c>
      <c r="C81" s="54" t="s">
        <v>3613</v>
      </c>
      <c r="D81" s="5">
        <v>9772775</v>
      </c>
      <c r="E81" s="40"/>
      <c r="F81" s="55"/>
      <c r="G81" s="38"/>
    </row>
    <row r="82" spans="1:7">
      <c r="A82" s="5">
        <v>10629</v>
      </c>
      <c r="B82" s="159">
        <v>14629</v>
      </c>
      <c r="C82" s="54" t="s">
        <v>3613</v>
      </c>
      <c r="D82" s="5">
        <v>9772777</v>
      </c>
      <c r="E82" s="40"/>
      <c r="F82" s="55"/>
      <c r="G82" s="38"/>
    </row>
    <row r="83" spans="1:7">
      <c r="A83" s="5">
        <v>10630</v>
      </c>
      <c r="B83" s="159">
        <v>14630</v>
      </c>
      <c r="C83" s="54" t="s">
        <v>3613</v>
      </c>
      <c r="D83" s="5"/>
      <c r="E83" s="40"/>
      <c r="F83" s="55"/>
      <c r="G83" s="38"/>
    </row>
    <row r="84" spans="1:7">
      <c r="A84" s="5">
        <v>10631</v>
      </c>
      <c r="B84" s="159">
        <v>14631</v>
      </c>
      <c r="C84" s="54" t="s">
        <v>3613</v>
      </c>
      <c r="D84" s="5">
        <v>9772651</v>
      </c>
      <c r="E84" s="40"/>
      <c r="F84" s="55"/>
      <c r="G84" s="38"/>
    </row>
    <row r="85" spans="1:7">
      <c r="A85" s="5">
        <v>10632</v>
      </c>
      <c r="B85" s="159">
        <v>14632</v>
      </c>
      <c r="C85" s="54" t="s">
        <v>3613</v>
      </c>
      <c r="D85" s="5">
        <v>9772653</v>
      </c>
      <c r="E85" s="40"/>
      <c r="F85" s="55"/>
      <c r="G85" s="38"/>
    </row>
    <row r="86" spans="1:7">
      <c r="A86" s="5">
        <v>10633</v>
      </c>
      <c r="B86" s="159">
        <v>14633</v>
      </c>
      <c r="C86" s="54" t="s">
        <v>3613</v>
      </c>
      <c r="D86" s="5">
        <v>9772655</v>
      </c>
      <c r="E86" s="40"/>
      <c r="F86" s="55"/>
      <c r="G86" s="38"/>
    </row>
    <row r="87" spans="1:7">
      <c r="A87" s="5">
        <v>10634</v>
      </c>
      <c r="B87" s="159">
        <v>14634</v>
      </c>
      <c r="C87" s="54" t="s">
        <v>3613</v>
      </c>
      <c r="D87" s="5"/>
      <c r="E87" s="40"/>
      <c r="F87" s="55"/>
      <c r="G87" s="38"/>
    </row>
    <row r="88" spans="1:7">
      <c r="A88" s="5">
        <v>10635</v>
      </c>
      <c r="B88" s="159">
        <v>14635</v>
      </c>
      <c r="C88" s="54" t="s">
        <v>3613</v>
      </c>
      <c r="D88" s="5"/>
      <c r="E88" s="40"/>
      <c r="F88" s="55"/>
      <c r="G88" s="38"/>
    </row>
    <row r="89" spans="1:7">
      <c r="A89" s="5">
        <v>10636</v>
      </c>
      <c r="B89" s="159">
        <v>14636</v>
      </c>
      <c r="C89" s="54" t="s">
        <v>3613</v>
      </c>
      <c r="D89" s="5"/>
      <c r="E89" s="40"/>
      <c r="F89" s="55"/>
      <c r="G89" s="38"/>
    </row>
    <row r="90" spans="1:7">
      <c r="A90" s="5">
        <v>10637</v>
      </c>
      <c r="B90" s="159">
        <v>14637</v>
      </c>
      <c r="C90" s="54" t="s">
        <v>3613</v>
      </c>
      <c r="D90" s="5"/>
      <c r="E90" s="40"/>
      <c r="F90" s="55"/>
      <c r="G90" s="38"/>
    </row>
    <row r="91" spans="1:7">
      <c r="A91" s="5">
        <v>10638</v>
      </c>
      <c r="B91" s="159">
        <v>14638</v>
      </c>
      <c r="C91" s="54" t="s">
        <v>3613</v>
      </c>
      <c r="D91" s="5"/>
      <c r="E91" s="40"/>
      <c r="F91" s="55"/>
      <c r="G91" s="38"/>
    </row>
    <row r="92" spans="1:7">
      <c r="A92" s="5">
        <v>10639</v>
      </c>
      <c r="B92" s="159">
        <v>14639</v>
      </c>
      <c r="C92" s="54" t="s">
        <v>3613</v>
      </c>
      <c r="D92" s="5"/>
      <c r="E92" s="40"/>
      <c r="F92" s="55"/>
      <c r="G92" s="38"/>
    </row>
    <row r="93" spans="1:7">
      <c r="A93" s="5">
        <v>10640</v>
      </c>
      <c r="B93" s="159">
        <v>14640</v>
      </c>
      <c r="C93" s="54" t="s">
        <v>3613</v>
      </c>
      <c r="D93" s="5"/>
      <c r="E93" s="40"/>
      <c r="F93" s="55"/>
      <c r="G93" s="38"/>
    </row>
    <row r="94" spans="1:7">
      <c r="A94" s="5">
        <v>10641</v>
      </c>
      <c r="B94" s="159">
        <v>14641</v>
      </c>
      <c r="C94" s="54" t="s">
        <v>3613</v>
      </c>
      <c r="D94" s="5"/>
      <c r="E94" s="40"/>
      <c r="F94" s="55"/>
      <c r="G94" s="38"/>
    </row>
    <row r="95" spans="1:7">
      <c r="A95" s="5">
        <v>10642</v>
      </c>
      <c r="B95" s="159">
        <v>14642</v>
      </c>
      <c r="C95" s="54" t="s">
        <v>3613</v>
      </c>
      <c r="D95" s="5"/>
      <c r="E95" s="40"/>
      <c r="F95" s="55"/>
      <c r="G95" s="38"/>
    </row>
    <row r="96" spans="1:7">
      <c r="A96" s="5">
        <v>10643</v>
      </c>
      <c r="B96" s="159">
        <v>14643</v>
      </c>
      <c r="C96" s="54" t="s">
        <v>3613</v>
      </c>
      <c r="D96" s="5"/>
      <c r="E96" s="40"/>
      <c r="F96" s="55"/>
      <c r="G96" s="38"/>
    </row>
    <row r="97" spans="1:7">
      <c r="A97" s="5">
        <v>10644</v>
      </c>
      <c r="B97" s="159">
        <v>14644</v>
      </c>
      <c r="C97" s="54" t="s">
        <v>3613</v>
      </c>
      <c r="D97" s="5">
        <v>9772487</v>
      </c>
      <c r="E97" s="40"/>
      <c r="F97" s="55"/>
      <c r="G97" s="38"/>
    </row>
    <row r="98" spans="1:7">
      <c r="A98" s="5">
        <v>10645</v>
      </c>
      <c r="B98" s="159">
        <v>14645</v>
      </c>
      <c r="C98" s="54" t="s">
        <v>3613</v>
      </c>
      <c r="D98" s="5"/>
      <c r="E98" s="40"/>
      <c r="F98" s="55"/>
      <c r="G98" s="38"/>
    </row>
    <row r="99" spans="1:7">
      <c r="A99" s="5">
        <v>10646</v>
      </c>
      <c r="B99" s="159">
        <v>14646</v>
      </c>
      <c r="C99" s="54" t="s">
        <v>3613</v>
      </c>
      <c r="D99" s="5">
        <v>9772491</v>
      </c>
      <c r="E99" s="40"/>
      <c r="F99" s="55"/>
      <c r="G99" s="38"/>
    </row>
    <row r="100" spans="1:7">
      <c r="A100" s="5">
        <v>10647</v>
      </c>
      <c r="B100" s="159">
        <v>14647</v>
      </c>
      <c r="C100" s="54" t="s">
        <v>3613</v>
      </c>
      <c r="D100" s="5"/>
      <c r="E100" s="40"/>
      <c r="F100" s="55"/>
      <c r="G100" s="38"/>
    </row>
    <row r="101" spans="1:7">
      <c r="A101" s="5">
        <v>10648</v>
      </c>
      <c r="B101" s="159">
        <v>14648</v>
      </c>
      <c r="C101" s="54" t="s">
        <v>3613</v>
      </c>
      <c r="D101" s="5"/>
      <c r="E101" s="40"/>
      <c r="F101" s="55"/>
      <c r="G101" s="38"/>
    </row>
    <row r="102" spans="1:7">
      <c r="A102" s="5">
        <v>10649</v>
      </c>
      <c r="B102" s="159">
        <v>14649</v>
      </c>
      <c r="C102" s="54" t="s">
        <v>3613</v>
      </c>
      <c r="D102" s="5"/>
      <c r="E102" s="40"/>
      <c r="F102" s="55"/>
      <c r="G102" s="38"/>
    </row>
    <row r="103" spans="1:7">
      <c r="A103" s="5">
        <v>10650</v>
      </c>
      <c r="B103" s="159">
        <v>14650</v>
      </c>
      <c r="C103" s="54" t="s">
        <v>3613</v>
      </c>
      <c r="D103" s="5"/>
      <c r="E103" s="40"/>
      <c r="F103" s="55"/>
      <c r="G103" s="38"/>
    </row>
    <row r="104" spans="1:7">
      <c r="A104" s="5">
        <v>10651</v>
      </c>
      <c r="B104" s="159">
        <v>14651</v>
      </c>
      <c r="C104" s="54" t="s">
        <v>3613</v>
      </c>
      <c r="D104" s="5">
        <v>9772501</v>
      </c>
      <c r="E104" s="40"/>
      <c r="F104" s="55"/>
      <c r="G104" s="38"/>
    </row>
    <row r="105" spans="1:7">
      <c r="A105" s="5">
        <v>10652</v>
      </c>
      <c r="B105" s="159">
        <v>14652</v>
      </c>
      <c r="C105" s="54" t="s">
        <v>3613</v>
      </c>
      <c r="D105" s="5">
        <v>9772503</v>
      </c>
      <c r="E105" s="40"/>
      <c r="F105" s="55"/>
      <c r="G105" s="38"/>
    </row>
    <row r="106" spans="1:7">
      <c r="A106" s="5">
        <v>10653</v>
      </c>
      <c r="B106" s="159">
        <v>14653</v>
      </c>
      <c r="C106" s="54" t="s">
        <v>3613</v>
      </c>
      <c r="D106" s="5">
        <v>9772505</v>
      </c>
      <c r="E106" s="40"/>
      <c r="F106" s="55"/>
      <c r="G106" s="38"/>
    </row>
    <row r="107" spans="1:7">
      <c r="A107" s="5">
        <v>10654</v>
      </c>
      <c r="B107" s="159">
        <v>14654</v>
      </c>
      <c r="C107" s="54" t="s">
        <v>3613</v>
      </c>
      <c r="D107" s="5">
        <v>9772507</v>
      </c>
      <c r="E107" s="40"/>
      <c r="F107" s="55"/>
      <c r="G107" s="38"/>
    </row>
    <row r="108" spans="1:7">
      <c r="A108" s="5">
        <v>10655</v>
      </c>
      <c r="B108" s="159">
        <v>14655</v>
      </c>
      <c r="C108" s="54" t="s">
        <v>3613</v>
      </c>
      <c r="D108" s="5">
        <v>9772509</v>
      </c>
      <c r="E108" s="40"/>
      <c r="F108" s="55"/>
      <c r="G108" s="38"/>
    </row>
    <row r="109" spans="1:7">
      <c r="A109" s="5">
        <v>10656</v>
      </c>
      <c r="B109" s="159">
        <v>14656</v>
      </c>
      <c r="C109" s="54" t="s">
        <v>3613</v>
      </c>
      <c r="D109" s="5">
        <v>9772511</v>
      </c>
      <c r="E109" s="40"/>
      <c r="F109" s="55"/>
      <c r="G109" s="38"/>
    </row>
    <row r="110" spans="1:7">
      <c r="A110" s="5">
        <v>10657</v>
      </c>
      <c r="B110" s="159">
        <v>14657</v>
      </c>
      <c r="C110" s="54" t="s">
        <v>3613</v>
      </c>
      <c r="D110" s="5"/>
      <c r="E110" s="40"/>
      <c r="F110" s="55"/>
      <c r="G110" s="38"/>
    </row>
    <row r="111" spans="1:7">
      <c r="A111" s="5">
        <v>10658</v>
      </c>
      <c r="B111" s="159">
        <v>14658</v>
      </c>
      <c r="C111" s="54" t="s">
        <v>3613</v>
      </c>
      <c r="D111" s="5">
        <v>9772515</v>
      </c>
      <c r="E111" s="40"/>
      <c r="F111" s="55"/>
      <c r="G111" s="38"/>
    </row>
    <row r="112" spans="1:7">
      <c r="A112" s="5">
        <v>10659</v>
      </c>
      <c r="B112" s="159">
        <v>14659</v>
      </c>
      <c r="C112" s="54" t="s">
        <v>3613</v>
      </c>
      <c r="D112" s="5">
        <v>9772517</v>
      </c>
      <c r="E112" s="40"/>
      <c r="F112" s="55"/>
      <c r="G112" s="38"/>
    </row>
    <row r="113" spans="1:7">
      <c r="A113" s="5">
        <v>10660</v>
      </c>
      <c r="B113" s="159">
        <v>14660</v>
      </c>
      <c r="C113" s="54" t="s">
        <v>3613</v>
      </c>
      <c r="D113" s="5"/>
      <c r="E113" s="40"/>
      <c r="F113" s="55"/>
      <c r="G113" s="38"/>
    </row>
    <row r="114" spans="1:7">
      <c r="A114" s="5">
        <v>10661</v>
      </c>
      <c r="B114" s="159">
        <v>14661</v>
      </c>
      <c r="C114" s="54" t="s">
        <v>3613</v>
      </c>
      <c r="D114" s="5"/>
      <c r="E114" s="40"/>
      <c r="F114" s="55"/>
      <c r="G114" s="38"/>
    </row>
    <row r="115" spans="1:7">
      <c r="A115" s="5">
        <v>10662</v>
      </c>
      <c r="B115" s="159">
        <v>14662</v>
      </c>
      <c r="C115" s="54" t="s">
        <v>3613</v>
      </c>
      <c r="D115" s="5"/>
      <c r="E115" s="40"/>
      <c r="F115" s="55"/>
      <c r="G115" s="38"/>
    </row>
    <row r="116" spans="1:7">
      <c r="A116" s="5">
        <v>10663</v>
      </c>
      <c r="B116" s="159">
        <v>14663</v>
      </c>
      <c r="C116" s="54" t="s">
        <v>3613</v>
      </c>
      <c r="D116" s="5">
        <v>9772525</v>
      </c>
      <c r="E116" s="40"/>
      <c r="F116" s="55"/>
      <c r="G116" s="38"/>
    </row>
    <row r="117" spans="1:7">
      <c r="A117" s="5">
        <v>10664</v>
      </c>
      <c r="B117" s="159">
        <v>14664</v>
      </c>
      <c r="C117" s="54" t="s">
        <v>3613</v>
      </c>
      <c r="D117" s="5"/>
      <c r="E117" s="40"/>
      <c r="F117" s="55"/>
      <c r="G117" s="38"/>
    </row>
    <row r="118" spans="1:7">
      <c r="A118" s="5">
        <v>10665</v>
      </c>
      <c r="B118" s="159">
        <v>14665</v>
      </c>
      <c r="C118" s="54" t="s">
        <v>3613</v>
      </c>
      <c r="D118" s="5"/>
      <c r="E118" s="40"/>
      <c r="F118" s="55"/>
      <c r="G118" s="38"/>
    </row>
    <row r="119" spans="1:7">
      <c r="A119" s="5">
        <v>10666</v>
      </c>
      <c r="B119" s="159">
        <v>14666</v>
      </c>
      <c r="C119" s="54" t="s">
        <v>3613</v>
      </c>
      <c r="D119" s="5">
        <v>9772531</v>
      </c>
      <c r="E119" s="40"/>
      <c r="F119" s="55"/>
      <c r="G119" s="38"/>
    </row>
    <row r="120" spans="1:7">
      <c r="A120" s="5">
        <v>10667</v>
      </c>
      <c r="B120" s="159">
        <v>14667</v>
      </c>
      <c r="C120" s="54" t="s">
        <v>3613</v>
      </c>
      <c r="D120" s="5"/>
      <c r="E120" s="40"/>
      <c r="F120" s="55"/>
      <c r="G120" s="38"/>
    </row>
    <row r="121" spans="1:7">
      <c r="A121" s="5">
        <v>10668</v>
      </c>
      <c r="B121" s="159">
        <v>14668</v>
      </c>
      <c r="C121" s="54" t="s">
        <v>3613</v>
      </c>
      <c r="D121" s="5"/>
      <c r="E121" s="40"/>
      <c r="F121" s="55"/>
      <c r="G121" s="38"/>
    </row>
    <row r="122" spans="1:7">
      <c r="A122" s="5">
        <v>10669</v>
      </c>
      <c r="B122" s="159">
        <v>14669</v>
      </c>
      <c r="C122" s="54" t="s">
        <v>3613</v>
      </c>
      <c r="D122" s="5">
        <v>9772537</v>
      </c>
      <c r="E122" s="40"/>
      <c r="F122" s="55"/>
      <c r="G122" s="38"/>
    </row>
    <row r="123" spans="1:7">
      <c r="A123" s="5">
        <v>10670</v>
      </c>
      <c r="B123" s="159">
        <v>14670</v>
      </c>
      <c r="C123" s="54" t="s">
        <v>3613</v>
      </c>
      <c r="D123" s="5">
        <v>9772539</v>
      </c>
      <c r="E123" s="40"/>
      <c r="F123" s="55"/>
      <c r="G123" s="38"/>
    </row>
    <row r="124" spans="1:7">
      <c r="A124" s="5">
        <v>10671</v>
      </c>
      <c r="B124" s="159">
        <v>14671</v>
      </c>
      <c r="C124" s="54" t="s">
        <v>3613</v>
      </c>
      <c r="D124" s="5">
        <v>9772541</v>
      </c>
      <c r="E124" s="40"/>
      <c r="F124" s="55"/>
      <c r="G124" s="38"/>
    </row>
    <row r="125" spans="1:7">
      <c r="A125" s="5">
        <v>10672</v>
      </c>
      <c r="B125" s="159">
        <v>14672</v>
      </c>
      <c r="C125" s="54" t="s">
        <v>3613</v>
      </c>
      <c r="D125" s="5">
        <v>9772543</v>
      </c>
      <c r="E125" s="40"/>
      <c r="F125" s="55"/>
      <c r="G125" s="38"/>
    </row>
    <row r="126" spans="1:7">
      <c r="A126" s="5">
        <v>10673</v>
      </c>
      <c r="B126" s="159">
        <v>14673</v>
      </c>
      <c r="C126" s="54" t="s">
        <v>3613</v>
      </c>
      <c r="D126" s="5">
        <v>9772545</v>
      </c>
      <c r="E126" s="40"/>
      <c r="F126" s="55"/>
      <c r="G126" s="38"/>
    </row>
    <row r="127" spans="1:7">
      <c r="A127" s="5">
        <v>10674</v>
      </c>
      <c r="B127" s="159">
        <v>14674</v>
      </c>
      <c r="C127" s="54" t="s">
        <v>3613</v>
      </c>
      <c r="D127" s="5">
        <v>9772547</v>
      </c>
      <c r="E127" s="40"/>
      <c r="F127" s="55"/>
      <c r="G127" s="38"/>
    </row>
    <row r="128" spans="1:7">
      <c r="A128" s="5">
        <v>10675</v>
      </c>
      <c r="B128" s="159">
        <v>14675</v>
      </c>
      <c r="C128" s="54" t="s">
        <v>3613</v>
      </c>
      <c r="D128" s="5"/>
      <c r="E128" s="40"/>
      <c r="F128" s="55"/>
      <c r="G128" s="38"/>
    </row>
    <row r="129" spans="1:7">
      <c r="A129" s="5">
        <v>10676</v>
      </c>
      <c r="B129" s="159">
        <v>14676</v>
      </c>
      <c r="C129" s="54" t="s">
        <v>3613</v>
      </c>
      <c r="D129" s="5"/>
      <c r="E129" s="40"/>
      <c r="F129" s="55"/>
      <c r="G129" s="38"/>
    </row>
    <row r="130" spans="1:7">
      <c r="A130" s="5">
        <v>10677</v>
      </c>
      <c r="B130" s="159">
        <v>14677</v>
      </c>
      <c r="C130" s="54" t="s">
        <v>3613</v>
      </c>
      <c r="D130" s="5">
        <v>9772553</v>
      </c>
      <c r="E130" s="40"/>
      <c r="F130" s="55"/>
      <c r="G130" s="38"/>
    </row>
    <row r="131" spans="1:7">
      <c r="A131" s="5">
        <v>10678</v>
      </c>
      <c r="B131" s="159">
        <v>14678</v>
      </c>
      <c r="C131" s="54" t="s">
        <v>3613</v>
      </c>
      <c r="D131" s="5">
        <v>9772555</v>
      </c>
      <c r="E131" s="40"/>
      <c r="F131" s="55"/>
      <c r="G131" s="38"/>
    </row>
    <row r="132" spans="1:7">
      <c r="A132" s="5">
        <v>10679</v>
      </c>
      <c r="B132" s="159">
        <v>14679</v>
      </c>
      <c r="C132" s="54" t="s">
        <v>3613</v>
      </c>
      <c r="D132" s="5">
        <v>9772557</v>
      </c>
      <c r="E132" s="40"/>
      <c r="F132" s="55"/>
      <c r="G132" s="38"/>
    </row>
    <row r="133" spans="1:7">
      <c r="A133" s="5">
        <v>10680</v>
      </c>
      <c r="B133" s="159">
        <v>14680</v>
      </c>
      <c r="C133" s="54" t="s">
        <v>3613</v>
      </c>
      <c r="D133" s="5">
        <v>9772559</v>
      </c>
      <c r="E133" s="40"/>
      <c r="F133" s="55"/>
      <c r="G133" s="38"/>
    </row>
    <row r="134" spans="1:7">
      <c r="A134" s="5">
        <v>10681</v>
      </c>
      <c r="B134" s="159">
        <v>14681</v>
      </c>
      <c r="C134" s="54" t="s">
        <v>3613</v>
      </c>
      <c r="D134" s="5">
        <v>9772561</v>
      </c>
      <c r="E134" s="40"/>
      <c r="F134" s="55"/>
      <c r="G134" s="38"/>
    </row>
    <row r="135" spans="1:7">
      <c r="A135" s="5">
        <v>10682</v>
      </c>
      <c r="B135" s="159">
        <v>14682</v>
      </c>
      <c r="C135" s="54" t="s">
        <v>3613</v>
      </c>
      <c r="D135" s="5">
        <v>9772563</v>
      </c>
      <c r="E135" s="40"/>
      <c r="F135" s="55"/>
      <c r="G135" s="38"/>
    </row>
    <row r="136" spans="1:7">
      <c r="A136" s="5">
        <v>10683</v>
      </c>
      <c r="B136" s="159">
        <v>14683</v>
      </c>
      <c r="C136" s="54" t="s">
        <v>3613</v>
      </c>
      <c r="D136" s="5">
        <v>9772565</v>
      </c>
      <c r="E136" s="40"/>
      <c r="F136" s="55"/>
      <c r="G136" s="38"/>
    </row>
    <row r="137" spans="1:7">
      <c r="A137" s="5">
        <v>10684</v>
      </c>
      <c r="B137" s="159">
        <v>14684</v>
      </c>
      <c r="C137" s="54" t="s">
        <v>3613</v>
      </c>
      <c r="D137" s="5">
        <v>9772567</v>
      </c>
      <c r="E137" s="40"/>
      <c r="F137" s="55"/>
      <c r="G137" s="38"/>
    </row>
    <row r="138" spans="1:7">
      <c r="A138" s="5">
        <v>10685</v>
      </c>
      <c r="B138" s="159">
        <v>14685</v>
      </c>
      <c r="C138" s="54" t="s">
        <v>3613</v>
      </c>
      <c r="D138" s="5">
        <v>9772569</v>
      </c>
      <c r="E138" s="40"/>
      <c r="F138" s="55"/>
      <c r="G138" s="38"/>
    </row>
    <row r="139" spans="1:7">
      <c r="A139" s="5">
        <v>10686</v>
      </c>
      <c r="B139" s="159">
        <v>14686</v>
      </c>
      <c r="C139" s="54" t="s">
        <v>3613</v>
      </c>
      <c r="D139" s="5">
        <v>9772571</v>
      </c>
      <c r="E139" s="40"/>
      <c r="F139" s="55"/>
      <c r="G139" s="38"/>
    </row>
    <row r="140" spans="1:7">
      <c r="A140" s="5">
        <v>10687</v>
      </c>
      <c r="B140" s="159">
        <v>14687</v>
      </c>
      <c r="C140" s="54" t="s">
        <v>3613</v>
      </c>
      <c r="D140" s="5">
        <v>9772573</v>
      </c>
      <c r="E140" s="40"/>
      <c r="F140" s="55"/>
      <c r="G140" s="38"/>
    </row>
    <row r="141" spans="1:7">
      <c r="A141" s="5">
        <v>10688</v>
      </c>
      <c r="B141" s="159">
        <v>14688</v>
      </c>
      <c r="C141" s="54" t="s">
        <v>3613</v>
      </c>
      <c r="D141" s="5">
        <v>9772575</v>
      </c>
      <c r="E141" s="40"/>
      <c r="F141" s="55"/>
      <c r="G141" s="38"/>
    </row>
    <row r="142" spans="1:7">
      <c r="A142" s="5">
        <v>10689</v>
      </c>
      <c r="B142" s="159">
        <v>14689</v>
      </c>
      <c r="C142" s="54" t="s">
        <v>3613</v>
      </c>
      <c r="D142" s="5">
        <v>9772577</v>
      </c>
      <c r="E142" s="40"/>
      <c r="F142" s="55"/>
      <c r="G142" s="38"/>
    </row>
    <row r="143" spans="1:7">
      <c r="A143" s="5">
        <v>10690</v>
      </c>
      <c r="B143" s="159">
        <v>14690</v>
      </c>
      <c r="C143" s="54" t="s">
        <v>3613</v>
      </c>
      <c r="D143" s="5">
        <v>9772579</v>
      </c>
      <c r="E143" s="40"/>
      <c r="F143" s="55"/>
      <c r="G143" s="38"/>
    </row>
    <row r="144" spans="1:7">
      <c r="A144" s="5">
        <v>10691</v>
      </c>
      <c r="B144" s="159">
        <v>14691</v>
      </c>
      <c r="C144" s="54" t="s">
        <v>3613</v>
      </c>
      <c r="D144" s="5">
        <v>9772581</v>
      </c>
      <c r="E144" s="40"/>
      <c r="F144" s="55"/>
      <c r="G144" s="38"/>
    </row>
    <row r="145" spans="1:16379">
      <c r="A145" s="5">
        <v>10692</v>
      </c>
      <c r="B145" s="159">
        <v>14692</v>
      </c>
      <c r="C145" s="54" t="s">
        <v>3613</v>
      </c>
      <c r="D145" s="5">
        <v>9772583</v>
      </c>
      <c r="E145" s="40"/>
      <c r="F145" s="55"/>
      <c r="G145" s="38"/>
    </row>
    <row r="146" spans="1:16379">
      <c r="A146" s="5">
        <v>10693</v>
      </c>
      <c r="B146" s="159">
        <v>14693</v>
      </c>
      <c r="C146" s="54" t="s">
        <v>3613</v>
      </c>
      <c r="D146" s="5">
        <v>9772599</v>
      </c>
      <c r="E146" s="40"/>
      <c r="F146" s="55"/>
      <c r="G146" s="38"/>
    </row>
    <row r="147" spans="1:16379">
      <c r="A147" s="5">
        <v>10694</v>
      </c>
      <c r="B147" s="159">
        <v>14694</v>
      </c>
      <c r="C147" s="54" t="s">
        <v>3613</v>
      </c>
      <c r="D147" s="5">
        <v>9772601</v>
      </c>
      <c r="E147" s="40"/>
      <c r="F147" s="55"/>
      <c r="G147" s="38"/>
    </row>
    <row r="148" spans="1:16379">
      <c r="A148" s="5">
        <v>10695</v>
      </c>
      <c r="B148" s="159">
        <v>14695</v>
      </c>
      <c r="C148" s="54" t="s">
        <v>3613</v>
      </c>
      <c r="D148" s="5">
        <v>9772603</v>
      </c>
      <c r="E148" s="40"/>
      <c r="F148" s="55"/>
      <c r="G148" s="38"/>
    </row>
    <row r="149" spans="1:16379">
      <c r="A149" s="5">
        <v>10696</v>
      </c>
      <c r="B149" s="159">
        <v>14696</v>
      </c>
      <c r="C149" s="54" t="s">
        <v>3613</v>
      </c>
      <c r="D149" s="5">
        <v>9772605</v>
      </c>
      <c r="E149" s="40"/>
      <c r="F149" s="55"/>
      <c r="G149" s="38"/>
    </row>
    <row r="150" spans="1:16379">
      <c r="A150" s="5">
        <v>10697</v>
      </c>
      <c r="B150" s="159">
        <v>14697</v>
      </c>
      <c r="C150" s="54" t="s">
        <v>3613</v>
      </c>
      <c r="D150" s="5">
        <v>9772607</v>
      </c>
      <c r="E150" s="40"/>
      <c r="F150" s="55"/>
      <c r="G150" s="38"/>
    </row>
    <row r="151" spans="1:16379">
      <c r="A151" s="5">
        <v>10698</v>
      </c>
      <c r="B151" s="159">
        <v>14698</v>
      </c>
      <c r="C151" s="54" t="s">
        <v>3613</v>
      </c>
      <c r="D151" s="5">
        <v>9772609</v>
      </c>
      <c r="E151" s="40"/>
      <c r="F151" s="55"/>
      <c r="G151" s="38"/>
    </row>
    <row r="152" spans="1:16379">
      <c r="A152" s="5">
        <v>10699</v>
      </c>
      <c r="B152" s="159">
        <v>14699</v>
      </c>
      <c r="C152" s="54" t="s">
        <v>3613</v>
      </c>
      <c r="D152" s="5">
        <v>9772611</v>
      </c>
      <c r="E152" s="40"/>
      <c r="F152" s="55"/>
      <c r="G152" s="38"/>
    </row>
    <row r="153" spans="1:16379">
      <c r="A153" s="37" t="s">
        <v>3628</v>
      </c>
      <c r="B153" s="9" t="s">
        <v>3628</v>
      </c>
      <c r="C153" s="54" t="s">
        <v>3613</v>
      </c>
      <c r="D153" s="34">
        <v>9772000</v>
      </c>
      <c r="E153" s="9" t="s">
        <v>3629</v>
      </c>
      <c r="F153" s="55"/>
      <c r="G153" s="9" t="s">
        <v>3630</v>
      </c>
    </row>
    <row r="154" spans="1:16379">
      <c r="A154" s="37" t="s">
        <v>3628</v>
      </c>
      <c r="B154" s="9" t="s">
        <v>3628</v>
      </c>
      <c r="C154" s="54" t="s">
        <v>3613</v>
      </c>
      <c r="D154" s="34">
        <v>9772751</v>
      </c>
      <c r="E154" s="40" t="s">
        <v>3631</v>
      </c>
      <c r="F154" s="55"/>
      <c r="G154" s="9" t="s">
        <v>3630</v>
      </c>
    </row>
    <row r="155" spans="1:16379">
      <c r="A155" s="37" t="s">
        <v>3632</v>
      </c>
      <c r="B155" s="9"/>
      <c r="C155" s="54" t="s">
        <v>3613</v>
      </c>
      <c r="D155" s="40"/>
      <c r="E155" s="40"/>
      <c r="F155" s="55"/>
      <c r="G155" s="37"/>
    </row>
    <row r="156" spans="1:16379">
      <c r="A156" s="37" t="s">
        <v>3632</v>
      </c>
      <c r="B156" s="9"/>
      <c r="C156" s="54" t="s">
        <v>3613</v>
      </c>
      <c r="D156" s="40">
        <v>9772402</v>
      </c>
      <c r="E156" s="40"/>
      <c r="F156" s="55"/>
      <c r="G156" s="37"/>
    </row>
    <row r="157" spans="1:16379" s="63" customFormat="1">
      <c r="A157" s="37" t="s">
        <v>3632</v>
      </c>
      <c r="B157" s="9"/>
      <c r="C157" s="54" t="s">
        <v>3613</v>
      </c>
      <c r="D157" s="40">
        <v>9772404</v>
      </c>
      <c r="E157" s="40"/>
      <c r="F157" s="55"/>
      <c r="G157" s="37"/>
      <c r="H157"/>
      <c r="I157"/>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c r="AV157"/>
      <c r="AW157"/>
      <c r="AX157"/>
      <c r="AY157"/>
      <c r="AZ157"/>
      <c r="BA157"/>
      <c r="BB157"/>
      <c r="BC157"/>
      <c r="BD157"/>
      <c r="BE157"/>
      <c r="BF157"/>
      <c r="BG157"/>
      <c r="BH157"/>
      <c r="BI157"/>
      <c r="BJ157"/>
      <c r="BK157"/>
      <c r="BL157"/>
      <c r="BM157"/>
      <c r="BN157"/>
      <c r="BO157"/>
      <c r="BP157"/>
      <c r="BQ157"/>
      <c r="BR157"/>
      <c r="BS157"/>
      <c r="BT157"/>
      <c r="BU157"/>
      <c r="BV157"/>
      <c r="BW157"/>
      <c r="BX157"/>
      <c r="BY157"/>
      <c r="BZ157"/>
      <c r="CA157"/>
      <c r="CB157"/>
      <c r="CC157"/>
      <c r="CD157"/>
      <c r="CE157"/>
      <c r="CF157"/>
      <c r="CG157"/>
      <c r="CH157"/>
      <c r="CI157"/>
      <c r="CJ157"/>
      <c r="CK157"/>
      <c r="CL157"/>
      <c r="CM157"/>
      <c r="CN157"/>
      <c r="CO157"/>
      <c r="CP157"/>
      <c r="CQ157"/>
      <c r="CR157"/>
      <c r="CS157"/>
      <c r="CT157"/>
      <c r="CU157"/>
      <c r="CV157"/>
      <c r="CW157"/>
      <c r="CX157"/>
      <c r="CY157"/>
      <c r="CZ157"/>
      <c r="DA157"/>
      <c r="DB157"/>
      <c r="DC157"/>
      <c r="DD157"/>
      <c r="DE157"/>
      <c r="DF157"/>
      <c r="DG157"/>
      <c r="DH157"/>
      <c r="DI157"/>
      <c r="DJ157"/>
      <c r="DK157"/>
      <c r="DL157"/>
      <c r="DM157"/>
      <c r="DN157"/>
      <c r="DO157"/>
      <c r="DP157"/>
      <c r="DQ157"/>
      <c r="DR157"/>
      <c r="DS157"/>
      <c r="DT157"/>
      <c r="DU157"/>
      <c r="DV157"/>
      <c r="DW157"/>
      <c r="DX157"/>
      <c r="DY157"/>
      <c r="DZ157"/>
      <c r="EA157"/>
      <c r="EB157"/>
      <c r="EC157"/>
      <c r="ED157"/>
      <c r="EE157"/>
      <c r="EF157"/>
      <c r="EG157"/>
      <c r="EH157"/>
      <c r="EI157"/>
      <c r="EJ157"/>
      <c r="EK157"/>
      <c r="EL157"/>
      <c r="EM157"/>
      <c r="EN157"/>
      <c r="EO157"/>
      <c r="EP157"/>
      <c r="EQ157"/>
      <c r="ER157"/>
      <c r="ES157"/>
      <c r="ET157"/>
      <c r="EU157"/>
      <c r="EV157"/>
      <c r="EW157"/>
      <c r="EX157"/>
      <c r="EY157"/>
      <c r="EZ157"/>
      <c r="FA157"/>
      <c r="FB157"/>
      <c r="FC157"/>
      <c r="FD157"/>
      <c r="FE157"/>
      <c r="FF157"/>
      <c r="FG157"/>
      <c r="FH157"/>
      <c r="FI157"/>
      <c r="FJ157"/>
      <c r="FK157"/>
      <c r="FL157"/>
      <c r="FM157"/>
      <c r="FN157"/>
      <c r="FO157"/>
      <c r="FP157"/>
      <c r="FQ157"/>
      <c r="FR157"/>
      <c r="FS157"/>
      <c r="FT157"/>
      <c r="FU157"/>
      <c r="FV157"/>
      <c r="FW157"/>
      <c r="FX157"/>
      <c r="FY157"/>
      <c r="FZ157"/>
      <c r="GA157"/>
      <c r="GB157"/>
      <c r="GC157"/>
      <c r="GD157"/>
      <c r="GE157"/>
      <c r="GF157"/>
      <c r="GG157"/>
      <c r="GH157"/>
      <c r="GI157"/>
      <c r="GJ157"/>
      <c r="GK157"/>
      <c r="GL157"/>
      <c r="GM157"/>
      <c r="GN157"/>
      <c r="GO157"/>
      <c r="GP157"/>
      <c r="GQ157"/>
      <c r="GR157"/>
      <c r="GS157"/>
      <c r="GT157"/>
      <c r="GU157"/>
      <c r="GV157"/>
      <c r="GW157"/>
      <c r="GX157"/>
      <c r="GY157"/>
      <c r="GZ157"/>
      <c r="HA157"/>
      <c r="HB157"/>
      <c r="HC157"/>
      <c r="HD157"/>
      <c r="HE157"/>
      <c r="HF157"/>
      <c r="HG157"/>
      <c r="HH157"/>
      <c r="HI157"/>
      <c r="HJ157"/>
      <c r="HK157"/>
      <c r="HL157"/>
      <c r="HM157"/>
      <c r="HN157"/>
      <c r="HO157"/>
      <c r="HP157"/>
      <c r="HQ157"/>
      <c r="HR157"/>
      <c r="HS157"/>
      <c r="HT157"/>
      <c r="HU157"/>
      <c r="HV157"/>
      <c r="HW157"/>
      <c r="HX157"/>
      <c r="HY157"/>
      <c r="HZ157"/>
      <c r="IA157"/>
      <c r="IB157"/>
      <c r="IC157"/>
      <c r="ID157"/>
      <c r="IE157"/>
      <c r="IF157"/>
      <c r="IG157"/>
      <c r="IH157"/>
      <c r="II157"/>
      <c r="IJ157"/>
      <c r="IK157"/>
      <c r="IL157"/>
      <c r="IM157"/>
      <c r="IN157"/>
      <c r="IO157"/>
      <c r="IP157"/>
      <c r="IQ157"/>
      <c r="IR157"/>
      <c r="IS157"/>
      <c r="IT157"/>
      <c r="IU157"/>
      <c r="IV157"/>
      <c r="IW157"/>
      <c r="IX157"/>
      <c r="IY157"/>
      <c r="IZ157"/>
      <c r="JA157"/>
      <c r="JB157"/>
      <c r="JC157"/>
      <c r="JD157"/>
      <c r="JE157"/>
      <c r="JF157"/>
      <c r="JG157"/>
      <c r="JH157"/>
      <c r="JI157"/>
      <c r="JJ157"/>
      <c r="JK157"/>
      <c r="JL157"/>
      <c r="JM157"/>
      <c r="JN157"/>
      <c r="JO157"/>
      <c r="JP157"/>
      <c r="JQ157"/>
      <c r="JR157"/>
      <c r="JS157"/>
      <c r="JT157"/>
      <c r="JU157"/>
      <c r="JV157"/>
      <c r="JW157"/>
      <c r="JX157"/>
      <c r="JY157"/>
      <c r="JZ157"/>
      <c r="KA157"/>
      <c r="KB157"/>
      <c r="KC157"/>
      <c r="KD157"/>
      <c r="KE157"/>
      <c r="KF157"/>
      <c r="KG157"/>
      <c r="KH157"/>
      <c r="KI157"/>
      <c r="KJ157"/>
      <c r="KK157"/>
      <c r="KL157"/>
      <c r="KM157"/>
      <c r="KN157"/>
      <c r="KO157"/>
      <c r="KP157"/>
      <c r="KQ157"/>
      <c r="KR157"/>
      <c r="KS157"/>
      <c r="KT157"/>
      <c r="KU157"/>
      <c r="KV157"/>
      <c r="KW157"/>
      <c r="KX157"/>
      <c r="KY157"/>
      <c r="KZ157"/>
      <c r="LA157"/>
      <c r="LB157"/>
      <c r="LC157"/>
      <c r="LD157"/>
      <c r="LE157"/>
      <c r="LF157"/>
      <c r="LG157"/>
      <c r="LH157"/>
      <c r="LI157"/>
      <c r="LJ157"/>
      <c r="LK157"/>
      <c r="LL157"/>
      <c r="LM157"/>
      <c r="LN157"/>
      <c r="LO157"/>
      <c r="LP157"/>
      <c r="LQ157"/>
      <c r="LR157"/>
      <c r="LS157"/>
      <c r="LT157"/>
      <c r="LU157"/>
      <c r="LV157"/>
      <c r="LW157"/>
      <c r="LX157"/>
      <c r="LY157"/>
      <c r="LZ157"/>
      <c r="MA157"/>
      <c r="MB157"/>
      <c r="MC157"/>
      <c r="MD157"/>
      <c r="ME157"/>
      <c r="MF157"/>
      <c r="MG157"/>
      <c r="MH157"/>
      <c r="MI157"/>
      <c r="MJ157"/>
      <c r="MK157"/>
      <c r="ML157"/>
      <c r="MM157"/>
      <c r="MN157"/>
      <c r="MO157"/>
      <c r="MP157"/>
      <c r="MQ157"/>
      <c r="MR157"/>
      <c r="MS157"/>
      <c r="MT157"/>
      <c r="MU157"/>
      <c r="MV157"/>
      <c r="MW157"/>
      <c r="MX157"/>
      <c r="MY157"/>
      <c r="MZ157"/>
      <c r="NA157"/>
      <c r="NB157"/>
      <c r="NC157"/>
      <c r="ND157"/>
      <c r="NE157"/>
      <c r="NF157"/>
      <c r="NG157"/>
      <c r="NH157"/>
      <c r="NI157"/>
      <c r="NJ157"/>
      <c r="NK157"/>
      <c r="NL157"/>
      <c r="NM157"/>
      <c r="NN157"/>
      <c r="NO157"/>
      <c r="NP157"/>
      <c r="NQ157"/>
      <c r="NR157"/>
      <c r="NS157"/>
      <c r="NT157"/>
      <c r="NU157"/>
      <c r="NV157"/>
      <c r="NW157"/>
      <c r="NX157"/>
      <c r="NY157"/>
      <c r="NZ157"/>
      <c r="OA157"/>
      <c r="OB157"/>
      <c r="OC157"/>
      <c r="OD157"/>
      <c r="OE157"/>
      <c r="OF157"/>
      <c r="OG157"/>
      <c r="OH157"/>
      <c r="OI157"/>
      <c r="OJ157"/>
      <c r="OK157"/>
      <c r="OL157"/>
      <c r="OM157"/>
      <c r="ON157"/>
      <c r="OO157"/>
      <c r="OP157"/>
      <c r="OQ157"/>
      <c r="OR157"/>
      <c r="OS157"/>
      <c r="OT157"/>
      <c r="OU157"/>
      <c r="OV157"/>
      <c r="OW157"/>
      <c r="OX157"/>
      <c r="OY157"/>
      <c r="OZ157"/>
      <c r="PA157"/>
      <c r="PB157"/>
      <c r="PC157"/>
      <c r="PD157"/>
      <c r="PE157"/>
      <c r="PF157"/>
      <c r="PG157"/>
      <c r="PH157"/>
      <c r="PI157"/>
      <c r="PJ157"/>
      <c r="PK157"/>
      <c r="PL157"/>
      <c r="PM157"/>
      <c r="PN157"/>
      <c r="PO157"/>
      <c r="PP157"/>
      <c r="PQ157"/>
      <c r="PR157"/>
      <c r="PS157"/>
      <c r="PT157"/>
      <c r="PU157"/>
      <c r="PV157"/>
      <c r="PW157"/>
      <c r="PX157"/>
      <c r="PY157"/>
      <c r="PZ157"/>
      <c r="QA157"/>
      <c r="QB157"/>
      <c r="QC157"/>
      <c r="QD157"/>
      <c r="QE157"/>
      <c r="QF157"/>
      <c r="QG157"/>
      <c r="QH157"/>
      <c r="QI157"/>
      <c r="QJ157"/>
      <c r="QK157"/>
      <c r="QL157"/>
      <c r="QM157"/>
      <c r="QN157"/>
      <c r="QO157"/>
      <c r="QP157"/>
      <c r="QQ157"/>
      <c r="QR157"/>
      <c r="QS157"/>
      <c r="QT157"/>
      <c r="QU157"/>
      <c r="QV157"/>
      <c r="QW157"/>
      <c r="QX157"/>
      <c r="QY157"/>
      <c r="QZ157"/>
      <c r="RA157"/>
      <c r="RB157"/>
      <c r="RC157"/>
      <c r="RD157"/>
      <c r="RE157"/>
      <c r="RF157"/>
      <c r="RG157"/>
      <c r="RH157"/>
      <c r="RI157"/>
      <c r="RJ157"/>
      <c r="RK157"/>
      <c r="RL157"/>
      <c r="RM157"/>
      <c r="RN157"/>
      <c r="RO157"/>
      <c r="RP157"/>
      <c r="RQ157"/>
      <c r="RR157"/>
      <c r="RS157"/>
      <c r="RT157"/>
      <c r="RU157"/>
      <c r="RV157"/>
      <c r="RW157"/>
      <c r="RX157"/>
      <c r="RY157"/>
      <c r="RZ157"/>
      <c r="SA157"/>
      <c r="SB157"/>
      <c r="SC157"/>
      <c r="SD157"/>
      <c r="SE157"/>
      <c r="SF157"/>
      <c r="SG157"/>
      <c r="SH157"/>
      <c r="SI157"/>
      <c r="SJ157"/>
      <c r="SK157"/>
      <c r="SL157"/>
      <c r="SM157"/>
      <c r="SN157"/>
      <c r="SO157"/>
      <c r="SP157"/>
      <c r="SQ157"/>
      <c r="SR157"/>
      <c r="SS157"/>
      <c r="ST157"/>
      <c r="SU157"/>
      <c r="SV157"/>
      <c r="SW157"/>
      <c r="SX157"/>
      <c r="SY157"/>
      <c r="SZ157"/>
      <c r="TA157"/>
      <c r="TB157"/>
      <c r="TC157"/>
      <c r="TD157"/>
      <c r="TE157"/>
      <c r="TF157"/>
      <c r="TG157"/>
      <c r="TH157"/>
      <c r="TI157"/>
      <c r="TJ157"/>
      <c r="TK157"/>
      <c r="TL157"/>
      <c r="TM157"/>
      <c r="TN157"/>
      <c r="TO157"/>
      <c r="TP157"/>
      <c r="TQ157"/>
      <c r="TR157"/>
      <c r="TS157"/>
      <c r="TT157"/>
      <c r="TU157"/>
      <c r="TV157"/>
      <c r="TW157"/>
      <c r="TX157"/>
      <c r="TY157"/>
      <c r="TZ157"/>
      <c r="UA157"/>
      <c r="UB157"/>
      <c r="UC157"/>
      <c r="UD157"/>
      <c r="UE157"/>
      <c r="UF157"/>
      <c r="UG157"/>
      <c r="UH157"/>
      <c r="UI157"/>
      <c r="UJ157"/>
      <c r="UK157"/>
      <c r="UL157"/>
      <c r="UM157"/>
      <c r="UN157"/>
      <c r="UO157"/>
      <c r="UP157"/>
      <c r="UQ157"/>
      <c r="UR157"/>
      <c r="US157"/>
      <c r="UT157"/>
      <c r="UU157"/>
      <c r="UV157"/>
      <c r="UW157"/>
      <c r="UX157"/>
      <c r="UY157"/>
      <c r="UZ157"/>
      <c r="VA157"/>
      <c r="VB157"/>
      <c r="VC157"/>
      <c r="VD157"/>
      <c r="VE157"/>
      <c r="VF157"/>
      <c r="VG157"/>
      <c r="VH157"/>
      <c r="VI157"/>
      <c r="VJ157"/>
      <c r="VK157"/>
      <c r="VL157"/>
      <c r="VM157"/>
      <c r="VN157"/>
      <c r="VO157"/>
      <c r="VP157"/>
      <c r="VQ157"/>
      <c r="VR157"/>
      <c r="VS157"/>
      <c r="VT157"/>
      <c r="VU157"/>
      <c r="VV157"/>
      <c r="VW157"/>
      <c r="VX157"/>
      <c r="VY157"/>
      <c r="VZ157"/>
      <c r="WA157"/>
      <c r="WB157"/>
      <c r="WC157"/>
      <c r="WD157"/>
      <c r="WE157"/>
      <c r="WF157"/>
      <c r="WG157"/>
      <c r="WH157"/>
      <c r="WI157"/>
      <c r="WJ157"/>
      <c r="WK157"/>
      <c r="WL157"/>
      <c r="WM157"/>
      <c r="WN157"/>
      <c r="WO157"/>
      <c r="WP157"/>
      <c r="WQ157"/>
      <c r="WR157"/>
      <c r="WS157"/>
      <c r="WT157"/>
      <c r="WU157"/>
      <c r="WV157"/>
      <c r="WW157"/>
      <c r="WX157"/>
      <c r="WY157"/>
      <c r="WZ157"/>
      <c r="XA157"/>
      <c r="XB157"/>
      <c r="XC157"/>
      <c r="XD157"/>
      <c r="XE157"/>
      <c r="XF157"/>
      <c r="XG157"/>
      <c r="XH157"/>
      <c r="XI157"/>
      <c r="XJ157"/>
      <c r="XK157"/>
      <c r="XL157"/>
      <c r="XM157"/>
      <c r="XN157"/>
      <c r="XO157"/>
      <c r="XP157"/>
      <c r="XQ157"/>
      <c r="XR157"/>
      <c r="XS157"/>
      <c r="XT157"/>
      <c r="XU157"/>
      <c r="XV157"/>
      <c r="XW157"/>
      <c r="XX157"/>
      <c r="XY157"/>
      <c r="XZ157"/>
      <c r="YA157"/>
      <c r="YB157"/>
      <c r="YC157"/>
      <c r="YD157"/>
      <c r="YE157"/>
      <c r="YF157"/>
      <c r="YG157"/>
      <c r="YH157"/>
      <c r="YI157"/>
      <c r="YJ157"/>
      <c r="YK157"/>
      <c r="YL157"/>
      <c r="YM157"/>
      <c r="YN157"/>
      <c r="YO157"/>
      <c r="YP157"/>
      <c r="YQ157"/>
      <c r="YR157"/>
      <c r="YS157"/>
      <c r="YT157"/>
      <c r="YU157"/>
      <c r="YV157"/>
      <c r="YW157"/>
      <c r="YX157"/>
      <c r="YY157"/>
      <c r="YZ157"/>
      <c r="ZA157"/>
      <c r="ZB157"/>
      <c r="ZC157"/>
      <c r="ZD157"/>
      <c r="ZE157"/>
      <c r="ZF157"/>
      <c r="ZG157"/>
      <c r="ZH157"/>
      <c r="ZI157"/>
      <c r="ZJ157"/>
      <c r="ZK157"/>
      <c r="ZL157"/>
      <c r="ZM157"/>
      <c r="ZN157"/>
      <c r="ZO157"/>
      <c r="ZP157"/>
      <c r="ZQ157"/>
      <c r="ZR157"/>
      <c r="ZS157"/>
      <c r="ZT157"/>
      <c r="ZU157"/>
      <c r="ZV157"/>
      <c r="ZW157"/>
      <c r="ZX157"/>
      <c r="ZY157"/>
      <c r="ZZ157"/>
      <c r="AAA157"/>
      <c r="AAB157"/>
      <c r="AAC157"/>
      <c r="AAD157"/>
      <c r="AAE157"/>
      <c r="AAF157"/>
      <c r="AAG157"/>
      <c r="AAH157"/>
      <c r="AAI157"/>
      <c r="AAJ157"/>
      <c r="AAK157"/>
      <c r="AAL157"/>
      <c r="AAM157"/>
      <c r="AAN157"/>
      <c r="AAO157"/>
      <c r="AAP157"/>
      <c r="AAQ157"/>
      <c r="AAR157"/>
      <c r="AAS157"/>
      <c r="AAT157"/>
      <c r="AAU157"/>
      <c r="AAV157"/>
      <c r="AAW157"/>
      <c r="AAX157"/>
      <c r="AAY157"/>
      <c r="AAZ157"/>
      <c r="ABA157"/>
      <c r="ABB157"/>
      <c r="ABC157"/>
      <c r="ABD157"/>
      <c r="ABE157"/>
      <c r="ABF157"/>
      <c r="ABG157"/>
      <c r="ABH157"/>
      <c r="ABI157"/>
      <c r="ABJ157"/>
      <c r="ABK157"/>
      <c r="ABL157"/>
      <c r="ABM157"/>
      <c r="ABN157"/>
      <c r="ABO157"/>
      <c r="ABP157"/>
      <c r="ABQ157"/>
      <c r="ABR157"/>
      <c r="ABS157"/>
      <c r="ABT157"/>
      <c r="ABU157"/>
      <c r="ABV157"/>
      <c r="ABW157"/>
      <c r="ABX157"/>
      <c r="ABY157"/>
      <c r="ABZ157"/>
      <c r="ACA157"/>
      <c r="ACB157"/>
      <c r="ACC157"/>
      <c r="ACD157"/>
      <c r="ACE157"/>
      <c r="ACF157"/>
      <c r="ACG157"/>
      <c r="ACH157"/>
      <c r="ACI157"/>
      <c r="ACJ157"/>
      <c r="ACK157"/>
      <c r="ACL157"/>
      <c r="ACM157"/>
      <c r="ACN157"/>
      <c r="ACO157"/>
      <c r="ACP157"/>
      <c r="ACQ157"/>
      <c r="ACR157"/>
      <c r="ACS157"/>
      <c r="ACT157"/>
      <c r="ACU157"/>
      <c r="ACV157"/>
      <c r="ACW157"/>
      <c r="ACX157"/>
      <c r="ACY157"/>
      <c r="ACZ157"/>
      <c r="ADA157"/>
      <c r="ADB157"/>
      <c r="ADC157"/>
      <c r="ADD157"/>
      <c r="ADE157"/>
      <c r="ADF157"/>
      <c r="ADG157"/>
      <c r="ADH157"/>
      <c r="ADI157"/>
      <c r="ADJ157"/>
      <c r="ADK157"/>
      <c r="ADL157"/>
      <c r="ADM157"/>
      <c r="ADN157"/>
      <c r="ADO157"/>
      <c r="ADP157"/>
      <c r="ADQ157"/>
      <c r="ADR157"/>
      <c r="ADS157"/>
      <c r="ADT157"/>
      <c r="ADU157"/>
      <c r="ADV157"/>
      <c r="ADW157"/>
      <c r="ADX157"/>
      <c r="ADY157"/>
      <c r="ADZ157"/>
      <c r="AEA157"/>
      <c r="AEB157"/>
      <c r="AEC157"/>
      <c r="AED157"/>
      <c r="AEE157"/>
      <c r="AEF157"/>
      <c r="AEG157"/>
      <c r="AEH157"/>
      <c r="AEI157"/>
      <c r="AEJ157"/>
      <c r="AEK157"/>
      <c r="AEL157"/>
      <c r="AEM157"/>
      <c r="AEN157"/>
      <c r="AEO157"/>
      <c r="AEP157"/>
      <c r="AEQ157"/>
      <c r="AER157"/>
      <c r="AES157"/>
      <c r="AET157"/>
      <c r="AEU157"/>
      <c r="AEV157"/>
      <c r="AEW157"/>
      <c r="AEX157"/>
      <c r="AEY157"/>
      <c r="AEZ157"/>
      <c r="AFA157"/>
      <c r="AFB157"/>
      <c r="AFC157"/>
      <c r="AFD157"/>
      <c r="AFE157"/>
      <c r="AFF157"/>
      <c r="AFG157"/>
      <c r="AFH157"/>
      <c r="AFI157"/>
      <c r="AFJ157"/>
      <c r="AFK157"/>
      <c r="AFL157"/>
      <c r="AFM157"/>
      <c r="AFN157"/>
      <c r="AFO157"/>
      <c r="AFP157"/>
      <c r="AFQ157"/>
      <c r="AFR157"/>
      <c r="AFS157"/>
      <c r="AFT157"/>
      <c r="AFU157"/>
      <c r="AFV157"/>
      <c r="AFW157"/>
      <c r="AFX157"/>
      <c r="AFY157"/>
      <c r="AFZ157"/>
      <c r="AGA157"/>
      <c r="AGB157"/>
      <c r="AGC157"/>
      <c r="AGD157"/>
      <c r="AGE157"/>
      <c r="AGF157"/>
      <c r="AGG157"/>
      <c r="AGH157"/>
      <c r="AGI157"/>
      <c r="AGJ157"/>
      <c r="AGK157"/>
      <c r="AGL157"/>
      <c r="AGM157"/>
      <c r="AGN157"/>
      <c r="AGO157"/>
      <c r="AGP157"/>
      <c r="AGQ157"/>
      <c r="AGR157"/>
      <c r="AGS157"/>
      <c r="AGT157"/>
      <c r="AGU157"/>
      <c r="AGV157"/>
      <c r="AGW157"/>
      <c r="AGX157"/>
      <c r="AGY157"/>
      <c r="AGZ157"/>
      <c r="AHA157"/>
      <c r="AHB157"/>
      <c r="AHC157"/>
      <c r="AHD157"/>
      <c r="AHE157"/>
      <c r="AHF157"/>
      <c r="AHG157"/>
      <c r="AHH157"/>
      <c r="AHI157"/>
      <c r="AHJ157"/>
      <c r="AHK157"/>
      <c r="AHL157"/>
      <c r="AHM157"/>
      <c r="AHN157"/>
      <c r="AHO157"/>
      <c r="AHP157"/>
      <c r="AHQ157"/>
      <c r="AHR157"/>
      <c r="AHS157"/>
      <c r="AHT157"/>
      <c r="AHU157"/>
      <c r="AHV157"/>
      <c r="AHW157"/>
      <c r="AHX157"/>
      <c r="AHY157"/>
      <c r="AHZ157"/>
      <c r="AIA157"/>
      <c r="AIB157"/>
      <c r="AIC157"/>
      <c r="AID157"/>
      <c r="AIE157"/>
      <c r="AIF157"/>
      <c r="AIG157"/>
      <c r="AIH157"/>
      <c r="AII157"/>
      <c r="AIJ157"/>
      <c r="AIK157"/>
      <c r="AIL157"/>
      <c r="AIM157"/>
      <c r="AIN157"/>
      <c r="AIO157"/>
      <c r="AIP157"/>
      <c r="AIQ157"/>
      <c r="AIR157"/>
      <c r="AIS157"/>
      <c r="AIT157"/>
      <c r="AIU157"/>
      <c r="AIV157"/>
      <c r="AIW157"/>
      <c r="AIX157"/>
      <c r="AIY157"/>
      <c r="AIZ157"/>
      <c r="AJA157"/>
      <c r="AJB157"/>
      <c r="AJC157"/>
      <c r="AJD157"/>
      <c r="AJE157"/>
      <c r="AJF157"/>
      <c r="AJG157"/>
      <c r="AJH157"/>
      <c r="AJI157"/>
      <c r="AJJ157"/>
      <c r="AJK157"/>
      <c r="AJL157"/>
      <c r="AJM157"/>
      <c r="AJN157"/>
      <c r="AJO157"/>
      <c r="AJP157"/>
      <c r="AJQ157"/>
      <c r="AJR157"/>
      <c r="AJS157"/>
      <c r="AJT157"/>
      <c r="AJU157"/>
      <c r="AJV157"/>
      <c r="AJW157"/>
      <c r="AJX157"/>
      <c r="AJY157"/>
      <c r="AJZ157"/>
      <c r="AKA157"/>
      <c r="AKB157"/>
      <c r="AKC157"/>
      <c r="AKD157"/>
      <c r="AKE157"/>
      <c r="AKF157"/>
      <c r="AKG157"/>
      <c r="AKH157"/>
      <c r="AKI157"/>
      <c r="AKJ157"/>
      <c r="AKK157"/>
      <c r="AKL157"/>
      <c r="AKM157"/>
      <c r="AKN157"/>
      <c r="AKO157"/>
      <c r="AKP157"/>
      <c r="AKQ157"/>
      <c r="AKR157"/>
      <c r="AKS157"/>
      <c r="AKT157"/>
      <c r="AKU157"/>
      <c r="AKV157"/>
      <c r="AKW157"/>
      <c r="AKX157"/>
      <c r="AKY157"/>
      <c r="AKZ157"/>
      <c r="ALA157"/>
      <c r="ALB157"/>
      <c r="ALC157"/>
      <c r="ALD157"/>
      <c r="ALE157"/>
      <c r="ALF157"/>
      <c r="ALG157"/>
      <c r="ALH157"/>
      <c r="ALI157"/>
      <c r="ALJ157"/>
      <c r="ALK157"/>
      <c r="ALL157"/>
      <c r="ALM157"/>
      <c r="ALN157"/>
      <c r="ALO157"/>
      <c r="ALP157"/>
      <c r="ALQ157"/>
      <c r="ALR157"/>
      <c r="ALS157"/>
      <c r="ALT157"/>
      <c r="ALU157"/>
      <c r="ALV157"/>
      <c r="ALW157"/>
      <c r="ALX157"/>
      <c r="ALY157"/>
      <c r="ALZ157"/>
      <c r="AMA157"/>
      <c r="AMB157"/>
      <c r="AMC157"/>
      <c r="AMD157"/>
      <c r="AME157"/>
      <c r="AMF157"/>
      <c r="AMG157"/>
      <c r="AMH157"/>
      <c r="AMI157"/>
      <c r="AMJ157"/>
      <c r="AMK157"/>
      <c r="AML157"/>
      <c r="AMM157"/>
      <c r="AMN157"/>
      <c r="AMO157"/>
      <c r="AMP157"/>
      <c r="AMQ157"/>
      <c r="AMR157"/>
      <c r="AMS157"/>
      <c r="AMT157"/>
      <c r="AMU157"/>
      <c r="AMV157"/>
      <c r="AMW157"/>
      <c r="AMX157"/>
      <c r="AMY157"/>
      <c r="AMZ157"/>
      <c r="ANA157"/>
      <c r="ANB157"/>
      <c r="ANC157"/>
      <c r="AND157"/>
      <c r="ANE157"/>
      <c r="ANF157"/>
      <c r="ANG157"/>
      <c r="ANH157"/>
      <c r="ANI157"/>
      <c r="ANJ157"/>
      <c r="ANK157"/>
      <c r="ANL157"/>
      <c r="ANM157"/>
      <c r="ANN157"/>
      <c r="ANO157"/>
      <c r="ANP157"/>
      <c r="ANQ157"/>
      <c r="ANR157"/>
      <c r="ANS157"/>
      <c r="ANT157"/>
      <c r="ANU157"/>
      <c r="ANV157"/>
      <c r="ANW157"/>
      <c r="ANX157"/>
      <c r="ANY157"/>
      <c r="ANZ157"/>
      <c r="AOA157"/>
      <c r="AOB157"/>
      <c r="AOC157"/>
      <c r="AOD157"/>
      <c r="AOE157"/>
      <c r="AOF157"/>
      <c r="AOG157"/>
      <c r="AOH157"/>
      <c r="AOI157"/>
      <c r="AOJ157"/>
      <c r="AOK157"/>
      <c r="AOL157"/>
      <c r="AOM157"/>
      <c r="AON157"/>
      <c r="AOO157"/>
      <c r="AOP157"/>
      <c r="AOQ157"/>
      <c r="AOR157"/>
      <c r="AOS157"/>
      <c r="AOT157"/>
      <c r="AOU157"/>
      <c r="AOV157"/>
      <c r="AOW157"/>
      <c r="AOX157"/>
      <c r="AOY157"/>
      <c r="AOZ157"/>
      <c r="APA157"/>
      <c r="APB157"/>
      <c r="APC157"/>
      <c r="APD157"/>
      <c r="APE157"/>
      <c r="APF157"/>
      <c r="APG157"/>
      <c r="APH157"/>
      <c r="API157"/>
      <c r="APJ157"/>
      <c r="APK157"/>
      <c r="APL157"/>
      <c r="APM157"/>
      <c r="APN157"/>
      <c r="APO157"/>
      <c r="APP157"/>
      <c r="APQ157"/>
      <c r="APR157"/>
      <c r="APS157"/>
      <c r="APT157"/>
      <c r="APU157"/>
      <c r="APV157"/>
      <c r="APW157"/>
      <c r="APX157"/>
      <c r="APY157"/>
      <c r="APZ157"/>
      <c r="AQA157"/>
      <c r="AQB157"/>
      <c r="AQC157"/>
      <c r="AQD157"/>
      <c r="AQE157"/>
      <c r="AQF157"/>
      <c r="AQG157"/>
      <c r="AQH157"/>
      <c r="AQI157"/>
      <c r="AQJ157"/>
      <c r="AQK157"/>
      <c r="AQL157"/>
      <c r="AQM157"/>
      <c r="AQN157"/>
      <c r="AQO157"/>
      <c r="AQP157"/>
      <c r="AQQ157"/>
      <c r="AQR157"/>
      <c r="AQS157"/>
      <c r="AQT157"/>
      <c r="AQU157"/>
      <c r="AQV157"/>
      <c r="AQW157"/>
      <c r="AQX157"/>
      <c r="AQY157"/>
      <c r="AQZ157"/>
      <c r="ARA157"/>
      <c r="ARB157"/>
      <c r="ARC157"/>
      <c r="ARD157"/>
      <c r="ARE157"/>
      <c r="ARF157"/>
      <c r="ARG157"/>
      <c r="ARH157"/>
      <c r="ARI157"/>
      <c r="ARJ157"/>
      <c r="ARK157"/>
      <c r="ARL157"/>
      <c r="ARM157"/>
      <c r="ARN157"/>
      <c r="ARO157"/>
      <c r="ARP157"/>
      <c r="ARQ157"/>
      <c r="ARR157"/>
      <c r="ARS157"/>
      <c r="ART157"/>
      <c r="ARU157"/>
      <c r="ARV157"/>
      <c r="ARW157"/>
      <c r="ARX157"/>
      <c r="ARY157"/>
      <c r="ARZ157"/>
      <c r="ASA157"/>
      <c r="ASB157"/>
      <c r="ASC157"/>
      <c r="ASD157"/>
      <c r="ASE157"/>
      <c r="ASF157"/>
      <c r="ASG157"/>
      <c r="ASH157"/>
      <c r="ASI157"/>
      <c r="ASJ157"/>
      <c r="ASK157"/>
      <c r="ASL157"/>
      <c r="ASM157"/>
      <c r="ASN157"/>
      <c r="ASO157"/>
      <c r="ASP157"/>
      <c r="ASQ157"/>
      <c r="ASR157"/>
      <c r="ASS157"/>
      <c r="AST157"/>
      <c r="ASU157"/>
      <c r="ASV157"/>
      <c r="ASW157"/>
      <c r="ASX157"/>
      <c r="ASY157"/>
      <c r="ASZ157"/>
      <c r="ATA157"/>
      <c r="ATB157"/>
      <c r="ATC157"/>
      <c r="ATD157"/>
      <c r="ATE157"/>
      <c r="ATF157"/>
      <c r="ATG157"/>
      <c r="ATH157"/>
      <c r="ATI157"/>
      <c r="ATJ157"/>
      <c r="ATK157"/>
      <c r="ATL157"/>
      <c r="ATM157"/>
      <c r="ATN157"/>
      <c r="ATO157"/>
      <c r="ATP157"/>
      <c r="ATQ157"/>
      <c r="ATR157"/>
      <c r="ATS157"/>
      <c r="ATT157"/>
      <c r="ATU157"/>
      <c r="ATV157"/>
      <c r="ATW157"/>
      <c r="ATX157"/>
      <c r="ATY157"/>
      <c r="ATZ157"/>
      <c r="AUA157"/>
      <c r="AUB157"/>
      <c r="AUC157"/>
      <c r="AUD157"/>
      <c r="AUE157"/>
      <c r="AUF157"/>
      <c r="AUG157"/>
      <c r="AUH157"/>
      <c r="AUI157"/>
      <c r="AUJ157"/>
      <c r="AUK157"/>
      <c r="AUL157"/>
      <c r="AUM157"/>
      <c r="AUN157"/>
      <c r="AUO157"/>
      <c r="AUP157"/>
      <c r="AUQ157"/>
      <c r="AUR157"/>
      <c r="AUS157"/>
      <c r="AUT157"/>
      <c r="AUU157"/>
      <c r="AUV157"/>
      <c r="AUW157"/>
      <c r="AUX157"/>
      <c r="AUY157"/>
      <c r="AUZ157"/>
      <c r="AVA157"/>
      <c r="AVB157"/>
      <c r="AVC157"/>
      <c r="AVD157"/>
      <c r="AVE157"/>
      <c r="AVF157"/>
      <c r="AVG157"/>
      <c r="AVH157"/>
      <c r="AVI157"/>
      <c r="AVJ157"/>
      <c r="AVK157"/>
      <c r="AVL157"/>
      <c r="AVM157"/>
      <c r="AVN157"/>
      <c r="AVO157"/>
      <c r="AVP157"/>
      <c r="AVQ157"/>
      <c r="AVR157"/>
      <c r="AVS157"/>
      <c r="AVT157"/>
      <c r="AVU157"/>
      <c r="AVV157"/>
      <c r="AVW157"/>
      <c r="AVX157"/>
      <c r="AVY157"/>
      <c r="AVZ157"/>
      <c r="AWA157"/>
      <c r="AWB157"/>
      <c r="AWC157"/>
      <c r="AWD157"/>
      <c r="AWE157"/>
      <c r="AWF157"/>
      <c r="AWG157"/>
      <c r="AWH157"/>
      <c r="AWI157"/>
      <c r="AWJ157"/>
      <c r="AWK157"/>
      <c r="AWL157"/>
      <c r="AWM157"/>
      <c r="AWN157"/>
      <c r="AWO157"/>
      <c r="AWP157"/>
      <c r="AWQ157"/>
      <c r="AWR157"/>
      <c r="AWS157"/>
      <c r="AWT157"/>
      <c r="AWU157"/>
      <c r="AWV157"/>
      <c r="AWW157"/>
      <c r="AWX157"/>
      <c r="AWY157"/>
      <c r="AWZ157"/>
      <c r="AXA157"/>
      <c r="AXB157"/>
      <c r="AXC157"/>
      <c r="AXD157"/>
      <c r="AXE157"/>
      <c r="AXF157"/>
      <c r="AXG157"/>
      <c r="AXH157"/>
      <c r="AXI157"/>
      <c r="AXJ157"/>
      <c r="AXK157"/>
      <c r="AXL157"/>
      <c r="AXM157"/>
      <c r="AXN157"/>
      <c r="AXO157"/>
      <c r="AXP157"/>
      <c r="AXQ157"/>
      <c r="AXR157"/>
      <c r="AXS157"/>
      <c r="AXT157"/>
      <c r="AXU157"/>
      <c r="AXV157"/>
      <c r="AXW157"/>
      <c r="AXX157"/>
      <c r="AXY157"/>
      <c r="AXZ157"/>
      <c r="AYA157"/>
      <c r="AYB157"/>
      <c r="AYC157"/>
      <c r="AYD157"/>
      <c r="AYE157"/>
      <c r="AYF157"/>
      <c r="AYG157"/>
      <c r="AYH157"/>
      <c r="AYI157"/>
      <c r="AYJ157"/>
      <c r="AYK157"/>
      <c r="AYL157"/>
      <c r="AYM157"/>
      <c r="AYN157"/>
      <c r="AYO157"/>
      <c r="AYP157"/>
      <c r="AYQ157"/>
      <c r="AYR157"/>
      <c r="AYS157"/>
      <c r="AYT157"/>
      <c r="AYU157"/>
      <c r="AYV157"/>
      <c r="AYW157"/>
      <c r="AYX157"/>
      <c r="AYY157"/>
      <c r="AYZ157"/>
      <c r="AZA157"/>
      <c r="AZB157"/>
      <c r="AZC157"/>
      <c r="AZD157"/>
      <c r="AZE157"/>
      <c r="AZF157"/>
      <c r="AZG157"/>
      <c r="AZH157"/>
      <c r="AZI157"/>
      <c r="AZJ157"/>
      <c r="AZK157"/>
      <c r="AZL157"/>
      <c r="AZM157"/>
      <c r="AZN157"/>
      <c r="AZO157"/>
      <c r="AZP157"/>
      <c r="AZQ157"/>
      <c r="AZR157"/>
      <c r="AZS157"/>
      <c r="AZT157"/>
      <c r="AZU157"/>
      <c r="AZV157"/>
      <c r="AZW157"/>
      <c r="AZX157"/>
      <c r="AZY157"/>
      <c r="AZZ157"/>
      <c r="BAA157"/>
      <c r="BAB157"/>
      <c r="BAC157"/>
      <c r="BAD157"/>
      <c r="BAE157"/>
      <c r="BAF157"/>
      <c r="BAG157"/>
      <c r="BAH157"/>
      <c r="BAI157"/>
      <c r="BAJ157"/>
      <c r="BAK157"/>
      <c r="BAL157"/>
      <c r="BAM157"/>
      <c r="BAN157"/>
      <c r="BAO157"/>
      <c r="BAP157"/>
      <c r="BAQ157"/>
      <c r="BAR157"/>
      <c r="BAS157"/>
      <c r="BAT157"/>
      <c r="BAU157"/>
      <c r="BAV157"/>
      <c r="BAW157"/>
      <c r="BAX157"/>
      <c r="BAY157"/>
      <c r="BAZ157"/>
      <c r="BBA157"/>
      <c r="BBB157"/>
      <c r="BBC157"/>
      <c r="BBD157"/>
      <c r="BBE157"/>
      <c r="BBF157"/>
      <c r="BBG157"/>
      <c r="BBH157"/>
      <c r="BBI157"/>
      <c r="BBJ157"/>
      <c r="BBK157"/>
      <c r="BBL157"/>
      <c r="BBM157"/>
      <c r="BBN157"/>
      <c r="BBO157"/>
      <c r="BBP157"/>
      <c r="BBQ157"/>
      <c r="BBR157"/>
      <c r="BBS157"/>
      <c r="BBT157"/>
      <c r="BBU157"/>
      <c r="BBV157"/>
      <c r="BBW157"/>
      <c r="BBX157"/>
      <c r="BBY157"/>
      <c r="BBZ157"/>
      <c r="BCA157"/>
      <c r="BCB157"/>
      <c r="BCC157"/>
      <c r="BCD157"/>
      <c r="BCE157"/>
      <c r="BCF157"/>
      <c r="BCG157"/>
      <c r="BCH157"/>
      <c r="BCI157"/>
      <c r="BCJ157"/>
      <c r="BCK157"/>
      <c r="BCL157"/>
      <c r="BCM157"/>
      <c r="BCN157"/>
      <c r="BCO157"/>
      <c r="BCP157"/>
      <c r="BCQ157"/>
      <c r="BCR157"/>
      <c r="BCS157"/>
      <c r="BCT157"/>
      <c r="BCU157"/>
      <c r="BCV157"/>
      <c r="BCW157"/>
      <c r="BCX157"/>
      <c r="BCY157"/>
      <c r="BCZ157"/>
      <c r="BDA157"/>
      <c r="BDB157"/>
      <c r="BDC157"/>
      <c r="BDD157"/>
      <c r="BDE157"/>
      <c r="BDF157"/>
      <c r="BDG157"/>
      <c r="BDH157"/>
      <c r="BDI157"/>
      <c r="BDJ157"/>
      <c r="BDK157"/>
      <c r="BDL157"/>
      <c r="BDM157"/>
      <c r="BDN157"/>
      <c r="BDO157"/>
      <c r="BDP157"/>
      <c r="BDQ157"/>
      <c r="BDR157"/>
      <c r="BDS157"/>
      <c r="BDT157"/>
      <c r="BDU157"/>
      <c r="BDV157"/>
      <c r="BDW157"/>
      <c r="BDX157"/>
      <c r="BDY157"/>
      <c r="BDZ157"/>
      <c r="BEA157"/>
      <c r="BEB157"/>
      <c r="BEC157"/>
      <c r="BED157"/>
      <c r="BEE157"/>
      <c r="BEF157"/>
      <c r="BEG157"/>
      <c r="BEH157"/>
      <c r="BEI157"/>
      <c r="BEJ157"/>
      <c r="BEK157"/>
      <c r="BEL157"/>
      <c r="BEM157"/>
      <c r="BEN157"/>
      <c r="BEO157"/>
      <c r="BEP157"/>
      <c r="BEQ157"/>
      <c r="BER157"/>
      <c r="BES157"/>
      <c r="BET157"/>
      <c r="BEU157"/>
      <c r="BEV157"/>
      <c r="BEW157"/>
      <c r="BEX157"/>
      <c r="BEY157"/>
      <c r="BEZ157"/>
      <c r="BFA157"/>
      <c r="BFB157"/>
      <c r="BFC157"/>
      <c r="BFD157"/>
      <c r="BFE157"/>
      <c r="BFF157"/>
      <c r="BFG157"/>
      <c r="BFH157"/>
      <c r="BFI157"/>
      <c r="BFJ157"/>
      <c r="BFK157"/>
      <c r="BFL157"/>
      <c r="BFM157"/>
      <c r="BFN157"/>
      <c r="BFO157"/>
      <c r="BFP157"/>
      <c r="BFQ157"/>
      <c r="BFR157"/>
      <c r="BFS157"/>
      <c r="BFT157"/>
      <c r="BFU157"/>
      <c r="BFV157"/>
      <c r="BFW157"/>
      <c r="BFX157"/>
      <c r="BFY157"/>
      <c r="BFZ157"/>
      <c r="BGA157"/>
      <c r="BGB157"/>
      <c r="BGC157"/>
      <c r="BGD157"/>
      <c r="BGE157"/>
      <c r="BGF157"/>
      <c r="BGG157"/>
      <c r="BGH157"/>
      <c r="BGI157"/>
      <c r="BGJ157"/>
      <c r="BGK157"/>
      <c r="BGL157"/>
      <c r="BGM157"/>
      <c r="BGN157"/>
      <c r="BGO157"/>
      <c r="BGP157"/>
      <c r="BGQ157"/>
      <c r="BGR157"/>
      <c r="BGS157"/>
      <c r="BGT157"/>
      <c r="BGU157"/>
      <c r="BGV157"/>
      <c r="BGW157"/>
      <c r="BGX157"/>
      <c r="BGY157"/>
      <c r="BGZ157"/>
      <c r="BHA157"/>
      <c r="BHB157"/>
      <c r="BHC157"/>
      <c r="BHD157"/>
      <c r="BHE157"/>
      <c r="BHF157"/>
      <c r="BHG157"/>
      <c r="BHH157"/>
      <c r="BHI157"/>
      <c r="BHJ157"/>
      <c r="BHK157"/>
      <c r="BHL157"/>
      <c r="BHM157"/>
      <c r="BHN157"/>
      <c r="BHO157"/>
      <c r="BHP157"/>
      <c r="BHQ157"/>
      <c r="BHR157"/>
      <c r="BHS157"/>
      <c r="BHT157"/>
      <c r="BHU157"/>
      <c r="BHV157"/>
      <c r="BHW157"/>
      <c r="BHX157"/>
      <c r="BHY157"/>
      <c r="BHZ157"/>
      <c r="BIA157"/>
      <c r="BIB157"/>
      <c r="BIC157"/>
      <c r="BID157"/>
      <c r="BIE157"/>
      <c r="BIF157"/>
      <c r="BIG157"/>
      <c r="BIH157"/>
      <c r="BII157"/>
      <c r="BIJ157"/>
      <c r="BIK157"/>
      <c r="BIL157"/>
      <c r="BIM157"/>
      <c r="BIN157"/>
      <c r="BIO157"/>
      <c r="BIP157"/>
      <c r="BIQ157"/>
      <c r="BIR157"/>
      <c r="BIS157"/>
      <c r="BIT157"/>
      <c r="BIU157"/>
      <c r="BIV157"/>
      <c r="BIW157"/>
      <c r="BIX157"/>
      <c r="BIY157"/>
      <c r="BIZ157"/>
      <c r="BJA157"/>
      <c r="BJB157"/>
      <c r="BJC157"/>
      <c r="BJD157"/>
      <c r="BJE157"/>
      <c r="BJF157"/>
      <c r="BJG157"/>
      <c r="BJH157"/>
      <c r="BJI157"/>
      <c r="BJJ157"/>
      <c r="BJK157"/>
      <c r="BJL157"/>
      <c r="BJM157"/>
      <c r="BJN157"/>
      <c r="BJO157"/>
      <c r="BJP157"/>
      <c r="BJQ157"/>
      <c r="BJR157"/>
      <c r="BJS157"/>
      <c r="BJT157"/>
      <c r="BJU157"/>
      <c r="BJV157"/>
      <c r="BJW157"/>
      <c r="BJX157"/>
      <c r="BJY157"/>
      <c r="BJZ157"/>
      <c r="BKA157"/>
      <c r="BKB157"/>
      <c r="BKC157"/>
      <c r="BKD157"/>
      <c r="BKE157"/>
      <c r="BKF157"/>
      <c r="BKG157"/>
      <c r="BKH157"/>
      <c r="BKI157"/>
      <c r="BKJ157"/>
      <c r="BKK157"/>
      <c r="BKL157"/>
      <c r="BKM157"/>
      <c r="BKN157"/>
      <c r="BKO157"/>
      <c r="BKP157"/>
      <c r="BKQ157"/>
      <c r="BKR157"/>
      <c r="BKS157"/>
      <c r="BKT157"/>
      <c r="BKU157"/>
      <c r="BKV157"/>
      <c r="BKW157"/>
      <c r="BKX157"/>
      <c r="BKY157"/>
      <c r="BKZ157"/>
      <c r="BLA157"/>
      <c r="BLB157"/>
      <c r="BLC157"/>
      <c r="BLD157"/>
      <c r="BLE157"/>
      <c r="BLF157"/>
      <c r="BLG157"/>
      <c r="BLH157"/>
      <c r="BLI157"/>
      <c r="BLJ157"/>
      <c r="BLK157"/>
      <c r="BLL157"/>
      <c r="BLM157"/>
      <c r="BLN157"/>
      <c r="BLO157"/>
      <c r="BLP157"/>
      <c r="BLQ157"/>
      <c r="BLR157"/>
      <c r="BLS157"/>
      <c r="BLT157"/>
      <c r="BLU157"/>
      <c r="BLV157"/>
      <c r="BLW157"/>
      <c r="BLX157"/>
      <c r="BLY157"/>
      <c r="BLZ157"/>
      <c r="BMA157"/>
      <c r="BMB157"/>
      <c r="BMC157"/>
      <c r="BMD157"/>
      <c r="BME157"/>
      <c r="BMF157"/>
      <c r="BMG157"/>
      <c r="BMH157"/>
      <c r="BMI157"/>
      <c r="BMJ157"/>
      <c r="BMK157"/>
      <c r="BML157"/>
      <c r="BMM157"/>
      <c r="BMN157"/>
      <c r="BMO157"/>
      <c r="BMP157"/>
      <c r="BMQ157"/>
      <c r="BMR157"/>
      <c r="BMS157"/>
      <c r="BMT157"/>
      <c r="BMU157"/>
      <c r="BMV157"/>
      <c r="BMW157"/>
      <c r="BMX157"/>
      <c r="BMY157"/>
      <c r="BMZ157"/>
      <c r="BNA157"/>
      <c r="BNB157"/>
      <c r="BNC157"/>
      <c r="BND157"/>
      <c r="BNE157"/>
      <c r="BNF157"/>
      <c r="BNG157"/>
      <c r="BNH157"/>
      <c r="BNI157"/>
      <c r="BNJ157"/>
      <c r="BNK157"/>
      <c r="BNL157"/>
      <c r="BNM157"/>
      <c r="BNN157"/>
      <c r="BNO157"/>
      <c r="BNP157"/>
      <c r="BNQ157"/>
      <c r="BNR157"/>
      <c r="BNS157"/>
      <c r="BNT157"/>
      <c r="BNU157"/>
      <c r="BNV157"/>
      <c r="BNW157"/>
      <c r="BNX157"/>
      <c r="BNY157"/>
      <c r="BNZ157"/>
      <c r="BOA157"/>
      <c r="BOB157"/>
      <c r="BOC157"/>
      <c r="BOD157"/>
      <c r="BOE157"/>
      <c r="BOF157"/>
      <c r="BOG157"/>
      <c r="BOH157"/>
      <c r="BOI157"/>
      <c r="BOJ157"/>
      <c r="BOK157"/>
      <c r="BOL157"/>
      <c r="BOM157"/>
      <c r="BON157"/>
      <c r="BOO157"/>
      <c r="BOP157"/>
      <c r="BOQ157"/>
      <c r="BOR157"/>
      <c r="BOS157"/>
      <c r="BOT157"/>
      <c r="BOU157"/>
      <c r="BOV157"/>
      <c r="BOW157"/>
      <c r="BOX157"/>
      <c r="BOY157"/>
      <c r="BOZ157"/>
      <c r="BPA157"/>
      <c r="BPB157"/>
      <c r="BPC157"/>
      <c r="BPD157"/>
      <c r="BPE157"/>
      <c r="BPF157"/>
      <c r="BPG157"/>
      <c r="BPH157"/>
      <c r="BPI157"/>
      <c r="BPJ157"/>
      <c r="BPK157"/>
      <c r="BPL157"/>
      <c r="BPM157"/>
      <c r="BPN157"/>
      <c r="BPO157"/>
      <c r="BPP157"/>
      <c r="BPQ157"/>
      <c r="BPR157"/>
      <c r="BPS157"/>
      <c r="BPT157"/>
      <c r="BPU157"/>
      <c r="BPV157"/>
      <c r="BPW157"/>
      <c r="BPX157"/>
      <c r="BPY157"/>
      <c r="BPZ157"/>
      <c r="BQA157"/>
      <c r="BQB157"/>
      <c r="BQC157"/>
      <c r="BQD157"/>
      <c r="BQE157"/>
      <c r="BQF157"/>
      <c r="BQG157"/>
      <c r="BQH157"/>
      <c r="BQI157"/>
      <c r="BQJ157"/>
      <c r="BQK157"/>
      <c r="BQL157"/>
      <c r="BQM157"/>
      <c r="BQN157"/>
      <c r="BQO157"/>
      <c r="BQP157"/>
      <c r="BQQ157"/>
      <c r="BQR157"/>
      <c r="BQS157"/>
      <c r="BQT157"/>
      <c r="BQU157"/>
      <c r="BQV157"/>
      <c r="BQW157"/>
      <c r="BQX157"/>
      <c r="BQY157"/>
      <c r="BQZ157"/>
      <c r="BRA157"/>
      <c r="BRB157"/>
      <c r="BRC157"/>
      <c r="BRD157"/>
      <c r="BRE157"/>
      <c r="BRF157"/>
      <c r="BRG157"/>
      <c r="BRH157"/>
      <c r="BRI157"/>
      <c r="BRJ157"/>
      <c r="BRK157"/>
      <c r="BRL157"/>
      <c r="BRM157"/>
      <c r="BRN157"/>
      <c r="BRO157"/>
      <c r="BRP157"/>
      <c r="BRQ157"/>
      <c r="BRR157"/>
      <c r="BRS157"/>
      <c r="BRT157"/>
      <c r="BRU157"/>
      <c r="BRV157"/>
      <c r="BRW157"/>
      <c r="BRX157"/>
      <c r="BRY157"/>
      <c r="BRZ157"/>
      <c r="BSA157"/>
      <c r="BSB157"/>
      <c r="BSC157"/>
      <c r="BSD157"/>
      <c r="BSE157"/>
      <c r="BSF157"/>
      <c r="BSG157"/>
      <c r="BSH157"/>
      <c r="BSI157"/>
      <c r="BSJ157"/>
      <c r="BSK157"/>
      <c r="BSL157"/>
      <c r="BSM157"/>
      <c r="BSN157"/>
      <c r="BSO157"/>
      <c r="BSP157"/>
      <c r="BSQ157"/>
      <c r="BSR157"/>
      <c r="BSS157"/>
      <c r="BST157"/>
      <c r="BSU157"/>
      <c r="BSV157"/>
      <c r="BSW157"/>
      <c r="BSX157"/>
      <c r="BSY157"/>
      <c r="BSZ157"/>
      <c r="BTA157"/>
      <c r="BTB157"/>
      <c r="BTC157"/>
      <c r="BTD157"/>
      <c r="BTE157"/>
      <c r="BTF157"/>
      <c r="BTG157"/>
      <c r="BTH157"/>
      <c r="BTI157"/>
      <c r="BTJ157"/>
      <c r="BTK157"/>
      <c r="BTL157"/>
      <c r="BTM157"/>
      <c r="BTN157"/>
      <c r="BTO157"/>
      <c r="BTP157"/>
      <c r="BTQ157"/>
      <c r="BTR157"/>
      <c r="BTS157"/>
      <c r="BTT157"/>
      <c r="BTU157"/>
      <c r="BTV157"/>
      <c r="BTW157"/>
      <c r="BTX157"/>
      <c r="BTY157"/>
      <c r="BTZ157"/>
      <c r="BUA157"/>
      <c r="BUB157"/>
      <c r="BUC157"/>
      <c r="BUD157"/>
      <c r="BUE157"/>
      <c r="BUF157"/>
      <c r="BUG157"/>
      <c r="BUH157"/>
      <c r="BUI157"/>
      <c r="BUJ157"/>
      <c r="BUK157"/>
      <c r="BUL157"/>
      <c r="BUM157"/>
      <c r="BUN157"/>
      <c r="BUO157"/>
      <c r="BUP157"/>
      <c r="BUQ157"/>
      <c r="BUR157"/>
      <c r="BUS157"/>
      <c r="BUT157"/>
      <c r="BUU157"/>
      <c r="BUV157"/>
      <c r="BUW157"/>
      <c r="BUX157"/>
      <c r="BUY157"/>
      <c r="BUZ157"/>
      <c r="BVA157"/>
      <c r="BVB157"/>
      <c r="BVC157"/>
      <c r="BVD157"/>
      <c r="BVE157"/>
      <c r="BVF157"/>
      <c r="BVG157"/>
      <c r="BVH157"/>
      <c r="BVI157"/>
      <c r="BVJ157"/>
      <c r="BVK157"/>
      <c r="BVL157"/>
      <c r="BVM157"/>
      <c r="BVN157"/>
      <c r="BVO157"/>
      <c r="BVP157"/>
      <c r="BVQ157"/>
      <c r="BVR157"/>
      <c r="BVS157"/>
      <c r="BVT157"/>
      <c r="BVU157"/>
      <c r="BVV157"/>
      <c r="BVW157"/>
      <c r="BVX157"/>
      <c r="BVY157"/>
      <c r="BVZ157"/>
      <c r="BWA157"/>
      <c r="BWB157"/>
      <c r="BWC157"/>
      <c r="BWD157"/>
      <c r="BWE157"/>
      <c r="BWF157"/>
      <c r="BWG157"/>
      <c r="BWH157"/>
      <c r="BWI157"/>
      <c r="BWJ157"/>
      <c r="BWK157"/>
      <c r="BWL157"/>
      <c r="BWM157"/>
      <c r="BWN157"/>
      <c r="BWO157"/>
      <c r="BWP157"/>
      <c r="BWQ157"/>
      <c r="BWR157"/>
      <c r="BWS157"/>
      <c r="BWT157"/>
      <c r="BWU157"/>
      <c r="BWV157"/>
      <c r="BWW157"/>
      <c r="BWX157"/>
      <c r="BWY157"/>
      <c r="BWZ157"/>
      <c r="BXA157"/>
      <c r="BXB157"/>
      <c r="BXC157"/>
      <c r="BXD157"/>
      <c r="BXE157"/>
      <c r="BXF157"/>
      <c r="BXG157"/>
      <c r="BXH157"/>
      <c r="BXI157"/>
      <c r="BXJ157"/>
      <c r="BXK157"/>
      <c r="BXL157"/>
      <c r="BXM157"/>
      <c r="BXN157"/>
      <c r="BXO157"/>
      <c r="BXP157"/>
      <c r="BXQ157"/>
      <c r="BXR157"/>
      <c r="BXS157"/>
      <c r="BXT157"/>
      <c r="BXU157"/>
      <c r="BXV157"/>
      <c r="BXW157"/>
      <c r="BXX157"/>
      <c r="BXY157"/>
      <c r="BXZ157"/>
      <c r="BYA157"/>
      <c r="BYB157"/>
      <c r="BYC157"/>
      <c r="BYD157"/>
      <c r="BYE157"/>
      <c r="BYF157"/>
      <c r="BYG157"/>
      <c r="BYH157"/>
      <c r="BYI157"/>
      <c r="BYJ157"/>
      <c r="BYK157"/>
      <c r="BYL157"/>
      <c r="BYM157"/>
      <c r="BYN157"/>
      <c r="BYO157"/>
      <c r="BYP157"/>
      <c r="BYQ157"/>
      <c r="BYR157"/>
      <c r="BYS157"/>
      <c r="BYT157"/>
      <c r="BYU157"/>
      <c r="BYV157"/>
      <c r="BYW157"/>
      <c r="BYX157"/>
      <c r="BYY157"/>
      <c r="BYZ157"/>
      <c r="BZA157"/>
      <c r="BZB157"/>
      <c r="BZC157"/>
      <c r="BZD157"/>
      <c r="BZE157"/>
      <c r="BZF157"/>
      <c r="BZG157"/>
      <c r="BZH157"/>
      <c r="BZI157"/>
      <c r="BZJ157"/>
      <c r="BZK157"/>
      <c r="BZL157"/>
      <c r="BZM157"/>
      <c r="BZN157"/>
      <c r="BZO157"/>
      <c r="BZP157"/>
      <c r="BZQ157"/>
      <c r="BZR157"/>
      <c r="BZS157"/>
      <c r="BZT157"/>
      <c r="BZU157"/>
      <c r="BZV157"/>
      <c r="BZW157"/>
      <c r="BZX157"/>
      <c r="BZY157"/>
      <c r="BZZ157"/>
      <c r="CAA157"/>
      <c r="CAB157"/>
      <c r="CAC157"/>
      <c r="CAD157"/>
      <c r="CAE157"/>
      <c r="CAF157"/>
      <c r="CAG157"/>
      <c r="CAH157"/>
      <c r="CAI157"/>
      <c r="CAJ157"/>
      <c r="CAK157"/>
      <c r="CAL157"/>
      <c r="CAM157"/>
      <c r="CAN157"/>
      <c r="CAO157"/>
      <c r="CAP157"/>
      <c r="CAQ157"/>
      <c r="CAR157"/>
      <c r="CAS157"/>
      <c r="CAT157"/>
      <c r="CAU157"/>
      <c r="CAV157"/>
      <c r="CAW157"/>
      <c r="CAX157"/>
      <c r="CAY157"/>
      <c r="CAZ157"/>
      <c r="CBA157"/>
      <c r="CBB157"/>
      <c r="CBC157"/>
      <c r="CBD157"/>
      <c r="CBE157"/>
      <c r="CBF157"/>
      <c r="CBG157"/>
      <c r="CBH157"/>
      <c r="CBI157"/>
      <c r="CBJ157"/>
      <c r="CBK157"/>
      <c r="CBL157"/>
      <c r="CBM157"/>
      <c r="CBN157"/>
      <c r="CBO157"/>
      <c r="CBP157"/>
      <c r="CBQ157"/>
      <c r="CBR157"/>
      <c r="CBS157"/>
      <c r="CBT157"/>
      <c r="CBU157"/>
      <c r="CBV157"/>
      <c r="CBW157"/>
      <c r="CBX157"/>
      <c r="CBY157"/>
      <c r="CBZ157"/>
      <c r="CCA157"/>
      <c r="CCB157"/>
      <c r="CCC157"/>
      <c r="CCD157"/>
      <c r="CCE157"/>
      <c r="CCF157"/>
      <c r="CCG157"/>
      <c r="CCH157"/>
      <c r="CCI157"/>
      <c r="CCJ157"/>
      <c r="CCK157"/>
      <c r="CCL157"/>
      <c r="CCM157"/>
      <c r="CCN157"/>
      <c r="CCO157"/>
      <c r="CCP157"/>
      <c r="CCQ157"/>
      <c r="CCR157"/>
      <c r="CCS157"/>
      <c r="CCT157"/>
      <c r="CCU157"/>
      <c r="CCV157"/>
      <c r="CCW157"/>
      <c r="CCX157"/>
      <c r="CCY157"/>
      <c r="CCZ157"/>
      <c r="CDA157"/>
      <c r="CDB157"/>
      <c r="CDC157"/>
      <c r="CDD157"/>
      <c r="CDE157"/>
      <c r="CDF157"/>
      <c r="CDG157"/>
      <c r="CDH157"/>
      <c r="CDI157"/>
      <c r="CDJ157"/>
      <c r="CDK157"/>
      <c r="CDL157"/>
      <c r="CDM157"/>
      <c r="CDN157"/>
      <c r="CDO157"/>
      <c r="CDP157"/>
      <c r="CDQ157"/>
      <c r="CDR157"/>
      <c r="CDS157"/>
      <c r="CDT157"/>
      <c r="CDU157"/>
      <c r="CDV157"/>
      <c r="CDW157"/>
      <c r="CDX157"/>
      <c r="CDY157"/>
      <c r="CDZ157"/>
      <c r="CEA157"/>
      <c r="CEB157"/>
      <c r="CEC157"/>
      <c r="CED157"/>
      <c r="CEE157"/>
      <c r="CEF157"/>
      <c r="CEG157"/>
      <c r="CEH157"/>
      <c r="CEI157"/>
      <c r="CEJ157"/>
      <c r="CEK157"/>
      <c r="CEL157"/>
      <c r="CEM157"/>
      <c r="CEN157"/>
      <c r="CEO157"/>
      <c r="CEP157"/>
      <c r="CEQ157"/>
      <c r="CER157"/>
      <c r="CES157"/>
      <c r="CET157"/>
      <c r="CEU157"/>
      <c r="CEV157"/>
      <c r="CEW157"/>
      <c r="CEX157"/>
      <c r="CEY157"/>
      <c r="CEZ157"/>
      <c r="CFA157"/>
      <c r="CFB157"/>
      <c r="CFC157"/>
      <c r="CFD157"/>
      <c r="CFE157"/>
      <c r="CFF157"/>
      <c r="CFG157"/>
      <c r="CFH157"/>
      <c r="CFI157"/>
      <c r="CFJ157"/>
      <c r="CFK157"/>
      <c r="CFL157"/>
      <c r="CFM157"/>
      <c r="CFN157"/>
      <c r="CFO157"/>
      <c r="CFP157"/>
      <c r="CFQ157"/>
      <c r="CFR157"/>
      <c r="CFS157"/>
      <c r="CFT157"/>
      <c r="CFU157"/>
      <c r="CFV157"/>
      <c r="CFW157"/>
      <c r="CFX157"/>
      <c r="CFY157"/>
      <c r="CFZ157"/>
      <c r="CGA157"/>
      <c r="CGB157"/>
      <c r="CGC157"/>
      <c r="CGD157"/>
      <c r="CGE157"/>
      <c r="CGF157"/>
      <c r="CGG157"/>
      <c r="CGH157"/>
      <c r="CGI157"/>
      <c r="CGJ157"/>
      <c r="CGK157"/>
      <c r="CGL157"/>
      <c r="CGM157"/>
      <c r="CGN157"/>
      <c r="CGO157"/>
      <c r="CGP157"/>
      <c r="CGQ157"/>
      <c r="CGR157"/>
      <c r="CGS157"/>
      <c r="CGT157"/>
      <c r="CGU157"/>
      <c r="CGV157"/>
      <c r="CGW157"/>
      <c r="CGX157"/>
      <c r="CGY157"/>
      <c r="CGZ157"/>
      <c r="CHA157"/>
      <c r="CHB157"/>
      <c r="CHC157"/>
      <c r="CHD157"/>
      <c r="CHE157"/>
      <c r="CHF157"/>
      <c r="CHG157"/>
      <c r="CHH157"/>
      <c r="CHI157"/>
      <c r="CHJ157"/>
      <c r="CHK157"/>
      <c r="CHL157"/>
      <c r="CHM157"/>
      <c r="CHN157"/>
      <c r="CHO157"/>
      <c r="CHP157"/>
      <c r="CHQ157"/>
      <c r="CHR157"/>
      <c r="CHS157"/>
      <c r="CHT157"/>
      <c r="CHU157"/>
      <c r="CHV157"/>
      <c r="CHW157"/>
      <c r="CHX157"/>
      <c r="CHY157"/>
      <c r="CHZ157"/>
      <c r="CIA157"/>
      <c r="CIB157"/>
      <c r="CIC157"/>
      <c r="CID157"/>
      <c r="CIE157"/>
      <c r="CIF157"/>
      <c r="CIG157"/>
      <c r="CIH157"/>
      <c r="CII157"/>
      <c r="CIJ157"/>
      <c r="CIK157"/>
      <c r="CIL157"/>
      <c r="CIM157"/>
      <c r="CIN157"/>
      <c r="CIO157"/>
      <c r="CIP157"/>
      <c r="CIQ157"/>
      <c r="CIR157"/>
      <c r="CIS157"/>
      <c r="CIT157"/>
      <c r="CIU157"/>
      <c r="CIV157"/>
      <c r="CIW157"/>
      <c r="CIX157"/>
      <c r="CIY157"/>
      <c r="CIZ157"/>
      <c r="CJA157"/>
      <c r="CJB157"/>
      <c r="CJC157"/>
      <c r="CJD157"/>
      <c r="CJE157"/>
      <c r="CJF157"/>
      <c r="CJG157"/>
      <c r="CJH157"/>
      <c r="CJI157"/>
      <c r="CJJ157"/>
      <c r="CJK157"/>
      <c r="CJL157"/>
      <c r="CJM157"/>
      <c r="CJN157"/>
      <c r="CJO157"/>
      <c r="CJP157"/>
      <c r="CJQ157"/>
      <c r="CJR157"/>
      <c r="CJS157"/>
      <c r="CJT157"/>
      <c r="CJU157"/>
      <c r="CJV157"/>
      <c r="CJW157"/>
      <c r="CJX157"/>
      <c r="CJY157"/>
      <c r="CJZ157"/>
      <c r="CKA157"/>
      <c r="CKB157"/>
      <c r="CKC157"/>
      <c r="CKD157"/>
      <c r="CKE157"/>
      <c r="CKF157"/>
      <c r="CKG157"/>
      <c r="CKH157"/>
      <c r="CKI157"/>
      <c r="CKJ157"/>
      <c r="CKK157"/>
      <c r="CKL157"/>
      <c r="CKM157"/>
      <c r="CKN157"/>
      <c r="CKO157"/>
      <c r="CKP157"/>
      <c r="CKQ157"/>
      <c r="CKR157"/>
      <c r="CKS157"/>
      <c r="CKT157"/>
      <c r="CKU157"/>
      <c r="CKV157"/>
      <c r="CKW157"/>
      <c r="CKX157"/>
      <c r="CKY157"/>
      <c r="CKZ157"/>
      <c r="CLA157"/>
      <c r="CLB157"/>
      <c r="CLC157"/>
      <c r="CLD157"/>
      <c r="CLE157"/>
      <c r="CLF157"/>
      <c r="CLG157"/>
      <c r="CLH157"/>
      <c r="CLI157"/>
      <c r="CLJ157"/>
      <c r="CLK157"/>
      <c r="CLL157"/>
      <c r="CLM157"/>
      <c r="CLN157"/>
      <c r="CLO157"/>
      <c r="CLP157"/>
      <c r="CLQ157"/>
      <c r="CLR157"/>
      <c r="CLS157"/>
      <c r="CLT157"/>
      <c r="CLU157"/>
      <c r="CLV157"/>
      <c r="CLW157"/>
      <c r="CLX157"/>
      <c r="CLY157"/>
      <c r="CLZ157"/>
      <c r="CMA157"/>
      <c r="CMB157"/>
      <c r="CMC157"/>
      <c r="CMD157"/>
      <c r="CME157"/>
      <c r="CMF157"/>
      <c r="CMG157"/>
      <c r="CMH157"/>
      <c r="CMI157"/>
      <c r="CMJ157"/>
      <c r="CMK157"/>
      <c r="CML157"/>
      <c r="CMM157"/>
      <c r="CMN157"/>
      <c r="CMO157"/>
      <c r="CMP157"/>
      <c r="CMQ157"/>
      <c r="CMR157"/>
      <c r="CMS157"/>
      <c r="CMT157"/>
      <c r="CMU157"/>
      <c r="CMV157"/>
      <c r="CMW157"/>
      <c r="CMX157"/>
      <c r="CMY157"/>
      <c r="CMZ157"/>
      <c r="CNA157"/>
      <c r="CNB157"/>
      <c r="CNC157"/>
      <c r="CND157"/>
      <c r="CNE157"/>
      <c r="CNF157"/>
      <c r="CNG157"/>
      <c r="CNH157"/>
      <c r="CNI157"/>
      <c r="CNJ157"/>
      <c r="CNK157"/>
      <c r="CNL157"/>
      <c r="CNM157"/>
      <c r="CNN157"/>
      <c r="CNO157"/>
      <c r="CNP157"/>
      <c r="CNQ157"/>
      <c r="CNR157"/>
      <c r="CNS157"/>
      <c r="CNT157"/>
      <c r="CNU157"/>
      <c r="CNV157"/>
      <c r="CNW157"/>
      <c r="CNX157"/>
      <c r="CNY157"/>
      <c r="CNZ157"/>
      <c r="COA157"/>
      <c r="COB157"/>
      <c r="COC157"/>
      <c r="COD157"/>
      <c r="COE157"/>
      <c r="COF157"/>
      <c r="COG157"/>
      <c r="COH157"/>
      <c r="COI157"/>
      <c r="COJ157"/>
      <c r="COK157"/>
      <c r="COL157"/>
      <c r="COM157"/>
      <c r="CON157"/>
      <c r="COO157"/>
      <c r="COP157"/>
      <c r="COQ157"/>
      <c r="COR157"/>
      <c r="COS157"/>
      <c r="COT157"/>
      <c r="COU157"/>
      <c r="COV157"/>
      <c r="COW157"/>
      <c r="COX157"/>
      <c r="COY157"/>
      <c r="COZ157"/>
      <c r="CPA157"/>
      <c r="CPB157"/>
      <c r="CPC157"/>
      <c r="CPD157"/>
      <c r="CPE157"/>
      <c r="CPF157"/>
      <c r="CPG157"/>
      <c r="CPH157"/>
      <c r="CPI157"/>
      <c r="CPJ157"/>
      <c r="CPK157"/>
      <c r="CPL157"/>
      <c r="CPM157"/>
      <c r="CPN157"/>
      <c r="CPO157"/>
      <c r="CPP157"/>
      <c r="CPQ157"/>
      <c r="CPR157"/>
      <c r="CPS157"/>
      <c r="CPT157"/>
      <c r="CPU157"/>
      <c r="CPV157"/>
      <c r="CPW157"/>
      <c r="CPX157"/>
      <c r="CPY157"/>
      <c r="CPZ157"/>
      <c r="CQA157"/>
      <c r="CQB157"/>
      <c r="CQC157"/>
      <c r="CQD157"/>
      <c r="CQE157"/>
      <c r="CQF157"/>
      <c r="CQG157"/>
      <c r="CQH157"/>
      <c r="CQI157"/>
      <c r="CQJ157"/>
      <c r="CQK157"/>
      <c r="CQL157"/>
      <c r="CQM157"/>
      <c r="CQN157"/>
      <c r="CQO157"/>
      <c r="CQP157"/>
      <c r="CQQ157"/>
      <c r="CQR157"/>
      <c r="CQS157"/>
      <c r="CQT157"/>
      <c r="CQU157"/>
      <c r="CQV157"/>
      <c r="CQW157"/>
      <c r="CQX157"/>
      <c r="CQY157"/>
      <c r="CQZ157"/>
      <c r="CRA157"/>
      <c r="CRB157"/>
      <c r="CRC157"/>
      <c r="CRD157"/>
      <c r="CRE157"/>
      <c r="CRF157"/>
      <c r="CRG157"/>
      <c r="CRH157"/>
      <c r="CRI157"/>
      <c r="CRJ157"/>
      <c r="CRK157"/>
      <c r="CRL157"/>
      <c r="CRM157"/>
      <c r="CRN157"/>
      <c r="CRO157"/>
      <c r="CRP157"/>
      <c r="CRQ157"/>
      <c r="CRR157"/>
      <c r="CRS157"/>
      <c r="CRT157"/>
      <c r="CRU157"/>
      <c r="CRV157"/>
      <c r="CRW157"/>
      <c r="CRX157"/>
      <c r="CRY157"/>
      <c r="CRZ157"/>
      <c r="CSA157"/>
      <c r="CSB157"/>
      <c r="CSC157"/>
      <c r="CSD157"/>
      <c r="CSE157"/>
      <c r="CSF157"/>
      <c r="CSG157"/>
      <c r="CSH157"/>
      <c r="CSI157"/>
      <c r="CSJ157"/>
      <c r="CSK157"/>
      <c r="CSL157"/>
      <c r="CSM157"/>
      <c r="CSN157"/>
      <c r="CSO157"/>
      <c r="CSP157"/>
      <c r="CSQ157"/>
      <c r="CSR157"/>
      <c r="CSS157"/>
      <c r="CST157"/>
      <c r="CSU157"/>
      <c r="CSV157"/>
      <c r="CSW157"/>
      <c r="CSX157"/>
      <c r="CSY157"/>
      <c r="CSZ157"/>
      <c r="CTA157"/>
      <c r="CTB157"/>
      <c r="CTC157"/>
      <c r="CTD157"/>
      <c r="CTE157"/>
      <c r="CTF157"/>
      <c r="CTG157"/>
      <c r="CTH157"/>
      <c r="CTI157"/>
      <c r="CTJ157"/>
      <c r="CTK157"/>
      <c r="CTL157"/>
      <c r="CTM157"/>
      <c r="CTN157"/>
      <c r="CTO157"/>
      <c r="CTP157"/>
      <c r="CTQ157"/>
      <c r="CTR157"/>
      <c r="CTS157"/>
      <c r="CTT157"/>
      <c r="CTU157"/>
      <c r="CTV157"/>
      <c r="CTW157"/>
      <c r="CTX157"/>
      <c r="CTY157"/>
      <c r="CTZ157"/>
      <c r="CUA157"/>
      <c r="CUB157"/>
      <c r="CUC157"/>
      <c r="CUD157"/>
      <c r="CUE157"/>
      <c r="CUF157"/>
      <c r="CUG157"/>
      <c r="CUH157"/>
      <c r="CUI157"/>
      <c r="CUJ157"/>
      <c r="CUK157"/>
      <c r="CUL157"/>
      <c r="CUM157"/>
      <c r="CUN157"/>
      <c r="CUO157"/>
      <c r="CUP157"/>
      <c r="CUQ157"/>
      <c r="CUR157"/>
      <c r="CUS157"/>
      <c r="CUT157"/>
      <c r="CUU157"/>
      <c r="CUV157"/>
      <c r="CUW157"/>
      <c r="CUX157"/>
      <c r="CUY157"/>
      <c r="CUZ157"/>
      <c r="CVA157"/>
      <c r="CVB157"/>
      <c r="CVC157"/>
      <c r="CVD157"/>
      <c r="CVE157"/>
      <c r="CVF157"/>
      <c r="CVG157"/>
      <c r="CVH157"/>
      <c r="CVI157"/>
      <c r="CVJ157"/>
      <c r="CVK157"/>
      <c r="CVL157"/>
      <c r="CVM157"/>
      <c r="CVN157"/>
      <c r="CVO157"/>
      <c r="CVP157"/>
      <c r="CVQ157"/>
      <c r="CVR157"/>
      <c r="CVS157"/>
      <c r="CVT157"/>
      <c r="CVU157"/>
      <c r="CVV157"/>
      <c r="CVW157"/>
      <c r="CVX157"/>
      <c r="CVY157"/>
      <c r="CVZ157"/>
      <c r="CWA157"/>
      <c r="CWB157"/>
      <c r="CWC157"/>
      <c r="CWD157"/>
      <c r="CWE157"/>
      <c r="CWF157"/>
      <c r="CWG157"/>
      <c r="CWH157"/>
      <c r="CWI157"/>
      <c r="CWJ157"/>
      <c r="CWK157"/>
      <c r="CWL157"/>
      <c r="CWM157"/>
      <c r="CWN157"/>
      <c r="CWO157"/>
      <c r="CWP157"/>
      <c r="CWQ157"/>
      <c r="CWR157"/>
      <c r="CWS157"/>
      <c r="CWT157"/>
      <c r="CWU157"/>
      <c r="CWV157"/>
      <c r="CWW157"/>
      <c r="CWX157"/>
      <c r="CWY157"/>
      <c r="CWZ157"/>
      <c r="CXA157"/>
      <c r="CXB157"/>
      <c r="CXC157"/>
      <c r="CXD157"/>
      <c r="CXE157"/>
      <c r="CXF157"/>
      <c r="CXG157"/>
      <c r="CXH157"/>
      <c r="CXI157"/>
      <c r="CXJ157"/>
      <c r="CXK157"/>
      <c r="CXL157"/>
      <c r="CXM157"/>
      <c r="CXN157"/>
      <c r="CXO157"/>
      <c r="CXP157"/>
      <c r="CXQ157"/>
      <c r="CXR157"/>
      <c r="CXS157"/>
      <c r="CXT157"/>
      <c r="CXU157"/>
      <c r="CXV157"/>
      <c r="CXW157"/>
      <c r="CXX157"/>
      <c r="CXY157"/>
      <c r="CXZ157"/>
      <c r="CYA157"/>
      <c r="CYB157"/>
      <c r="CYC157"/>
      <c r="CYD157"/>
      <c r="CYE157"/>
      <c r="CYF157"/>
      <c r="CYG157"/>
      <c r="CYH157"/>
      <c r="CYI157"/>
      <c r="CYJ157"/>
      <c r="CYK157"/>
      <c r="CYL157"/>
      <c r="CYM157"/>
      <c r="CYN157"/>
      <c r="CYO157"/>
      <c r="CYP157"/>
      <c r="CYQ157"/>
      <c r="CYR157"/>
      <c r="CYS157"/>
      <c r="CYT157"/>
      <c r="CYU157"/>
      <c r="CYV157"/>
      <c r="CYW157"/>
      <c r="CYX157"/>
      <c r="CYY157"/>
      <c r="CYZ157"/>
      <c r="CZA157"/>
      <c r="CZB157"/>
      <c r="CZC157"/>
      <c r="CZD157"/>
      <c r="CZE157"/>
      <c r="CZF157"/>
      <c r="CZG157"/>
      <c r="CZH157"/>
      <c r="CZI157"/>
      <c r="CZJ157"/>
      <c r="CZK157"/>
      <c r="CZL157"/>
      <c r="CZM157"/>
      <c r="CZN157"/>
      <c r="CZO157"/>
      <c r="CZP157"/>
      <c r="CZQ157"/>
      <c r="CZR157"/>
      <c r="CZS157"/>
      <c r="CZT157"/>
      <c r="CZU157"/>
      <c r="CZV157"/>
      <c r="CZW157"/>
      <c r="CZX157"/>
      <c r="CZY157"/>
      <c r="CZZ157"/>
      <c r="DAA157"/>
      <c r="DAB157"/>
      <c r="DAC157"/>
      <c r="DAD157"/>
      <c r="DAE157"/>
      <c r="DAF157"/>
      <c r="DAG157"/>
      <c r="DAH157"/>
      <c r="DAI157"/>
      <c r="DAJ157"/>
      <c r="DAK157"/>
      <c r="DAL157"/>
      <c r="DAM157"/>
      <c r="DAN157"/>
      <c r="DAO157"/>
      <c r="DAP157"/>
      <c r="DAQ157"/>
      <c r="DAR157"/>
      <c r="DAS157"/>
      <c r="DAT157"/>
      <c r="DAU157"/>
      <c r="DAV157"/>
      <c r="DAW157"/>
      <c r="DAX157"/>
      <c r="DAY157"/>
      <c r="DAZ157"/>
      <c r="DBA157"/>
      <c r="DBB157"/>
      <c r="DBC157"/>
      <c r="DBD157"/>
      <c r="DBE157"/>
      <c r="DBF157"/>
      <c r="DBG157"/>
      <c r="DBH157"/>
      <c r="DBI157"/>
      <c r="DBJ157"/>
      <c r="DBK157"/>
      <c r="DBL157"/>
      <c r="DBM157"/>
      <c r="DBN157"/>
      <c r="DBO157"/>
      <c r="DBP157"/>
      <c r="DBQ157"/>
      <c r="DBR157"/>
      <c r="DBS157"/>
      <c r="DBT157"/>
      <c r="DBU157"/>
      <c r="DBV157"/>
      <c r="DBW157"/>
      <c r="DBX157"/>
      <c r="DBY157"/>
      <c r="DBZ157"/>
      <c r="DCA157"/>
      <c r="DCB157"/>
      <c r="DCC157"/>
      <c r="DCD157"/>
      <c r="DCE157"/>
      <c r="DCF157"/>
      <c r="DCG157"/>
      <c r="DCH157"/>
      <c r="DCI157"/>
      <c r="DCJ157"/>
      <c r="DCK157"/>
      <c r="DCL157"/>
      <c r="DCM157"/>
      <c r="DCN157"/>
      <c r="DCO157"/>
      <c r="DCP157"/>
      <c r="DCQ157"/>
      <c r="DCR157"/>
      <c r="DCS157"/>
      <c r="DCT157"/>
      <c r="DCU157"/>
      <c r="DCV157"/>
      <c r="DCW157"/>
      <c r="DCX157"/>
      <c r="DCY157"/>
      <c r="DCZ157"/>
      <c r="DDA157"/>
      <c r="DDB157"/>
      <c r="DDC157"/>
      <c r="DDD157"/>
      <c r="DDE157"/>
      <c r="DDF157"/>
      <c r="DDG157"/>
      <c r="DDH157"/>
      <c r="DDI157"/>
      <c r="DDJ157"/>
      <c r="DDK157"/>
      <c r="DDL157"/>
      <c r="DDM157"/>
      <c r="DDN157"/>
      <c r="DDO157"/>
      <c r="DDP157"/>
      <c r="DDQ157"/>
      <c r="DDR157"/>
      <c r="DDS157"/>
      <c r="DDT157"/>
      <c r="DDU157"/>
      <c r="DDV157"/>
      <c r="DDW157"/>
      <c r="DDX157"/>
      <c r="DDY157"/>
      <c r="DDZ157"/>
      <c r="DEA157"/>
      <c r="DEB157"/>
      <c r="DEC157"/>
      <c r="DED157"/>
      <c r="DEE157"/>
      <c r="DEF157"/>
      <c r="DEG157"/>
      <c r="DEH157"/>
      <c r="DEI157"/>
      <c r="DEJ157"/>
      <c r="DEK157"/>
      <c r="DEL157"/>
      <c r="DEM157"/>
      <c r="DEN157"/>
      <c r="DEO157"/>
      <c r="DEP157"/>
      <c r="DEQ157"/>
      <c r="DER157"/>
      <c r="DES157"/>
      <c r="DET157"/>
      <c r="DEU157"/>
      <c r="DEV157"/>
      <c r="DEW157"/>
      <c r="DEX157"/>
      <c r="DEY157"/>
      <c r="DEZ157"/>
      <c r="DFA157"/>
      <c r="DFB157"/>
      <c r="DFC157"/>
      <c r="DFD157"/>
      <c r="DFE157"/>
      <c r="DFF157"/>
      <c r="DFG157"/>
      <c r="DFH157"/>
      <c r="DFI157"/>
      <c r="DFJ157"/>
      <c r="DFK157"/>
      <c r="DFL157"/>
      <c r="DFM157"/>
      <c r="DFN157"/>
      <c r="DFO157"/>
      <c r="DFP157"/>
      <c r="DFQ157"/>
      <c r="DFR157"/>
      <c r="DFS157"/>
      <c r="DFT157"/>
      <c r="DFU157"/>
      <c r="DFV157"/>
      <c r="DFW157"/>
      <c r="DFX157"/>
      <c r="DFY157"/>
      <c r="DFZ157"/>
      <c r="DGA157"/>
      <c r="DGB157"/>
      <c r="DGC157"/>
      <c r="DGD157"/>
      <c r="DGE157"/>
      <c r="DGF157"/>
      <c r="DGG157"/>
      <c r="DGH157"/>
      <c r="DGI157"/>
      <c r="DGJ157"/>
      <c r="DGK157"/>
      <c r="DGL157"/>
      <c r="DGM157"/>
      <c r="DGN157"/>
      <c r="DGO157"/>
      <c r="DGP157"/>
      <c r="DGQ157"/>
      <c r="DGR157"/>
      <c r="DGS157"/>
      <c r="DGT157"/>
      <c r="DGU157"/>
      <c r="DGV157"/>
      <c r="DGW157"/>
      <c r="DGX157"/>
      <c r="DGY157"/>
      <c r="DGZ157"/>
      <c r="DHA157"/>
      <c r="DHB157"/>
      <c r="DHC157"/>
      <c r="DHD157"/>
      <c r="DHE157"/>
      <c r="DHF157"/>
      <c r="DHG157"/>
      <c r="DHH157"/>
      <c r="DHI157"/>
      <c r="DHJ157"/>
      <c r="DHK157"/>
      <c r="DHL157"/>
      <c r="DHM157"/>
      <c r="DHN157"/>
      <c r="DHO157"/>
      <c r="DHP157"/>
      <c r="DHQ157"/>
      <c r="DHR157"/>
      <c r="DHS157"/>
      <c r="DHT157"/>
      <c r="DHU157"/>
      <c r="DHV157"/>
      <c r="DHW157"/>
      <c r="DHX157"/>
      <c r="DHY157"/>
      <c r="DHZ157"/>
      <c r="DIA157"/>
      <c r="DIB157"/>
      <c r="DIC157"/>
      <c r="DID157"/>
      <c r="DIE157"/>
      <c r="DIF157"/>
      <c r="DIG157"/>
      <c r="DIH157"/>
      <c r="DII157"/>
      <c r="DIJ157"/>
      <c r="DIK157"/>
      <c r="DIL157"/>
      <c r="DIM157"/>
      <c r="DIN157"/>
      <c r="DIO157"/>
      <c r="DIP157"/>
      <c r="DIQ157"/>
      <c r="DIR157"/>
      <c r="DIS157"/>
      <c r="DIT157"/>
      <c r="DIU157"/>
      <c r="DIV157"/>
      <c r="DIW157"/>
      <c r="DIX157"/>
      <c r="DIY157"/>
      <c r="DIZ157"/>
      <c r="DJA157"/>
      <c r="DJB157"/>
      <c r="DJC157"/>
      <c r="DJD157"/>
      <c r="DJE157"/>
      <c r="DJF157"/>
      <c r="DJG157"/>
      <c r="DJH157"/>
      <c r="DJI157"/>
      <c r="DJJ157"/>
      <c r="DJK157"/>
      <c r="DJL157"/>
      <c r="DJM157"/>
      <c r="DJN157"/>
      <c r="DJO157"/>
      <c r="DJP157"/>
      <c r="DJQ157"/>
      <c r="DJR157"/>
      <c r="DJS157"/>
      <c r="DJT157"/>
      <c r="DJU157"/>
      <c r="DJV157"/>
      <c r="DJW157"/>
      <c r="DJX157"/>
      <c r="DJY157"/>
      <c r="DJZ157"/>
      <c r="DKA157"/>
      <c r="DKB157"/>
      <c r="DKC157"/>
      <c r="DKD157"/>
      <c r="DKE157"/>
      <c r="DKF157"/>
      <c r="DKG157"/>
      <c r="DKH157"/>
      <c r="DKI157"/>
      <c r="DKJ157"/>
      <c r="DKK157"/>
      <c r="DKL157"/>
      <c r="DKM157"/>
      <c r="DKN157"/>
      <c r="DKO157"/>
      <c r="DKP157"/>
      <c r="DKQ157"/>
      <c r="DKR157"/>
      <c r="DKS157"/>
      <c r="DKT157"/>
      <c r="DKU157"/>
      <c r="DKV157"/>
      <c r="DKW157"/>
      <c r="DKX157"/>
      <c r="DKY157"/>
      <c r="DKZ157"/>
      <c r="DLA157"/>
      <c r="DLB157"/>
      <c r="DLC157"/>
      <c r="DLD157"/>
      <c r="DLE157"/>
      <c r="DLF157"/>
      <c r="DLG157"/>
      <c r="DLH157"/>
      <c r="DLI157"/>
      <c r="DLJ157"/>
      <c r="DLK157"/>
      <c r="DLL157"/>
      <c r="DLM157"/>
      <c r="DLN157"/>
      <c r="DLO157"/>
      <c r="DLP157"/>
      <c r="DLQ157"/>
      <c r="DLR157"/>
      <c r="DLS157"/>
      <c r="DLT157"/>
      <c r="DLU157"/>
      <c r="DLV157"/>
      <c r="DLW157"/>
      <c r="DLX157"/>
      <c r="DLY157"/>
      <c r="DLZ157"/>
      <c r="DMA157"/>
      <c r="DMB157"/>
      <c r="DMC157"/>
      <c r="DMD157"/>
      <c r="DME157"/>
      <c r="DMF157"/>
      <c r="DMG157"/>
      <c r="DMH157"/>
      <c r="DMI157"/>
      <c r="DMJ157"/>
      <c r="DMK157"/>
      <c r="DML157"/>
      <c r="DMM157"/>
      <c r="DMN157"/>
      <c r="DMO157"/>
      <c r="DMP157"/>
      <c r="DMQ157"/>
      <c r="DMR157"/>
      <c r="DMS157"/>
      <c r="DMT157"/>
      <c r="DMU157"/>
      <c r="DMV157"/>
      <c r="DMW157"/>
      <c r="DMX157"/>
      <c r="DMY157"/>
      <c r="DMZ157"/>
      <c r="DNA157"/>
      <c r="DNB157"/>
      <c r="DNC157"/>
      <c r="DND157"/>
      <c r="DNE157"/>
      <c r="DNF157"/>
      <c r="DNG157"/>
      <c r="DNH157"/>
      <c r="DNI157"/>
      <c r="DNJ157"/>
      <c r="DNK157"/>
      <c r="DNL157"/>
      <c r="DNM157"/>
      <c r="DNN157"/>
      <c r="DNO157"/>
      <c r="DNP157"/>
      <c r="DNQ157"/>
      <c r="DNR157"/>
      <c r="DNS157"/>
      <c r="DNT157"/>
      <c r="DNU157"/>
      <c r="DNV157"/>
      <c r="DNW157"/>
      <c r="DNX157"/>
      <c r="DNY157"/>
      <c r="DNZ157"/>
      <c r="DOA157"/>
      <c r="DOB157"/>
      <c r="DOC157"/>
      <c r="DOD157"/>
      <c r="DOE157"/>
      <c r="DOF157"/>
      <c r="DOG157"/>
      <c r="DOH157"/>
      <c r="DOI157"/>
      <c r="DOJ157"/>
      <c r="DOK157"/>
      <c r="DOL157"/>
      <c r="DOM157"/>
      <c r="DON157"/>
      <c r="DOO157"/>
      <c r="DOP157"/>
      <c r="DOQ157"/>
      <c r="DOR157"/>
      <c r="DOS157"/>
      <c r="DOT157"/>
      <c r="DOU157"/>
      <c r="DOV157"/>
      <c r="DOW157"/>
      <c r="DOX157"/>
      <c r="DOY157"/>
      <c r="DOZ157"/>
      <c r="DPA157"/>
      <c r="DPB157"/>
      <c r="DPC157"/>
      <c r="DPD157"/>
      <c r="DPE157"/>
      <c r="DPF157"/>
      <c r="DPG157"/>
      <c r="DPH157"/>
      <c r="DPI157"/>
      <c r="DPJ157"/>
      <c r="DPK157"/>
      <c r="DPL157"/>
      <c r="DPM157"/>
      <c r="DPN157"/>
      <c r="DPO157"/>
      <c r="DPP157"/>
      <c r="DPQ157"/>
      <c r="DPR157"/>
      <c r="DPS157"/>
      <c r="DPT157"/>
      <c r="DPU157"/>
      <c r="DPV157"/>
      <c r="DPW157"/>
      <c r="DPX157"/>
      <c r="DPY157"/>
      <c r="DPZ157"/>
      <c r="DQA157"/>
      <c r="DQB157"/>
      <c r="DQC157"/>
      <c r="DQD157"/>
      <c r="DQE157"/>
      <c r="DQF157"/>
      <c r="DQG157"/>
      <c r="DQH157"/>
      <c r="DQI157"/>
      <c r="DQJ157"/>
      <c r="DQK157"/>
      <c r="DQL157"/>
      <c r="DQM157"/>
      <c r="DQN157"/>
      <c r="DQO157"/>
      <c r="DQP157"/>
      <c r="DQQ157"/>
      <c r="DQR157"/>
      <c r="DQS157"/>
      <c r="DQT157"/>
      <c r="DQU157"/>
      <c r="DQV157"/>
      <c r="DQW157"/>
      <c r="DQX157"/>
      <c r="DQY157"/>
      <c r="DQZ157"/>
      <c r="DRA157"/>
      <c r="DRB157"/>
      <c r="DRC157"/>
      <c r="DRD157"/>
      <c r="DRE157"/>
      <c r="DRF157"/>
      <c r="DRG157"/>
      <c r="DRH157"/>
      <c r="DRI157"/>
      <c r="DRJ157"/>
      <c r="DRK157"/>
      <c r="DRL157"/>
      <c r="DRM157"/>
      <c r="DRN157"/>
      <c r="DRO157"/>
      <c r="DRP157"/>
      <c r="DRQ157"/>
      <c r="DRR157"/>
      <c r="DRS157"/>
      <c r="DRT157"/>
      <c r="DRU157"/>
      <c r="DRV157"/>
      <c r="DRW157"/>
      <c r="DRX157"/>
      <c r="DRY157"/>
      <c r="DRZ157"/>
      <c r="DSA157"/>
      <c r="DSB157"/>
      <c r="DSC157"/>
      <c r="DSD157"/>
      <c r="DSE157"/>
      <c r="DSF157"/>
      <c r="DSG157"/>
      <c r="DSH157"/>
      <c r="DSI157"/>
      <c r="DSJ157"/>
      <c r="DSK157"/>
      <c r="DSL157"/>
      <c r="DSM157"/>
      <c r="DSN157"/>
      <c r="DSO157"/>
      <c r="DSP157"/>
      <c r="DSQ157"/>
      <c r="DSR157"/>
      <c r="DSS157"/>
      <c r="DST157"/>
      <c r="DSU157"/>
      <c r="DSV157"/>
      <c r="DSW157"/>
      <c r="DSX157"/>
      <c r="DSY157"/>
      <c r="DSZ157"/>
      <c r="DTA157"/>
      <c r="DTB157"/>
      <c r="DTC157"/>
      <c r="DTD157"/>
      <c r="DTE157"/>
      <c r="DTF157"/>
      <c r="DTG157"/>
      <c r="DTH157"/>
      <c r="DTI157"/>
      <c r="DTJ157"/>
      <c r="DTK157"/>
      <c r="DTL157"/>
      <c r="DTM157"/>
      <c r="DTN157"/>
      <c r="DTO157"/>
      <c r="DTP157"/>
      <c r="DTQ157"/>
      <c r="DTR157"/>
      <c r="DTS157"/>
      <c r="DTT157"/>
      <c r="DTU157"/>
      <c r="DTV157"/>
      <c r="DTW157"/>
      <c r="DTX157"/>
      <c r="DTY157"/>
      <c r="DTZ157"/>
      <c r="DUA157"/>
      <c r="DUB157"/>
      <c r="DUC157"/>
      <c r="DUD157"/>
      <c r="DUE157"/>
      <c r="DUF157"/>
      <c r="DUG157"/>
      <c r="DUH157"/>
      <c r="DUI157"/>
      <c r="DUJ157"/>
      <c r="DUK157"/>
      <c r="DUL157"/>
      <c r="DUM157"/>
      <c r="DUN157"/>
      <c r="DUO157"/>
      <c r="DUP157"/>
      <c r="DUQ157"/>
      <c r="DUR157"/>
      <c r="DUS157"/>
      <c r="DUT157"/>
      <c r="DUU157"/>
      <c r="DUV157"/>
      <c r="DUW157"/>
      <c r="DUX157"/>
      <c r="DUY157"/>
      <c r="DUZ157"/>
      <c r="DVA157"/>
      <c r="DVB157"/>
      <c r="DVC157"/>
      <c r="DVD157"/>
      <c r="DVE157"/>
      <c r="DVF157"/>
      <c r="DVG157"/>
      <c r="DVH157"/>
      <c r="DVI157"/>
      <c r="DVJ157"/>
      <c r="DVK157"/>
      <c r="DVL157"/>
      <c r="DVM157"/>
      <c r="DVN157"/>
      <c r="DVO157"/>
      <c r="DVP157"/>
      <c r="DVQ157"/>
      <c r="DVR157"/>
      <c r="DVS157"/>
      <c r="DVT157"/>
      <c r="DVU157"/>
      <c r="DVV157"/>
      <c r="DVW157"/>
      <c r="DVX157"/>
      <c r="DVY157"/>
      <c r="DVZ157"/>
      <c r="DWA157"/>
      <c r="DWB157"/>
      <c r="DWC157"/>
      <c r="DWD157"/>
      <c r="DWE157"/>
      <c r="DWF157"/>
      <c r="DWG157"/>
      <c r="DWH157"/>
      <c r="DWI157"/>
      <c r="DWJ157"/>
      <c r="DWK157"/>
      <c r="DWL157"/>
      <c r="DWM157"/>
      <c r="DWN157"/>
      <c r="DWO157"/>
      <c r="DWP157"/>
      <c r="DWQ157"/>
      <c r="DWR157"/>
      <c r="DWS157"/>
      <c r="DWT157"/>
      <c r="DWU157"/>
      <c r="DWV157"/>
      <c r="DWW157"/>
      <c r="DWX157"/>
      <c r="DWY157"/>
      <c r="DWZ157"/>
      <c r="DXA157"/>
      <c r="DXB157"/>
      <c r="DXC157"/>
      <c r="DXD157"/>
      <c r="DXE157"/>
      <c r="DXF157"/>
      <c r="DXG157"/>
      <c r="DXH157"/>
      <c r="DXI157"/>
      <c r="DXJ157"/>
      <c r="DXK157"/>
      <c r="DXL157"/>
      <c r="DXM157"/>
      <c r="DXN157"/>
      <c r="DXO157"/>
      <c r="DXP157"/>
      <c r="DXQ157"/>
      <c r="DXR157"/>
      <c r="DXS157"/>
      <c r="DXT157"/>
      <c r="DXU157"/>
      <c r="DXV157"/>
      <c r="DXW157"/>
      <c r="DXX157"/>
      <c r="DXY157"/>
      <c r="DXZ157"/>
      <c r="DYA157"/>
      <c r="DYB157"/>
      <c r="DYC157"/>
      <c r="DYD157"/>
      <c r="DYE157"/>
      <c r="DYF157"/>
      <c r="DYG157"/>
      <c r="DYH157"/>
      <c r="DYI157"/>
      <c r="DYJ157"/>
      <c r="DYK157"/>
      <c r="DYL157"/>
      <c r="DYM157"/>
      <c r="DYN157"/>
      <c r="DYO157"/>
      <c r="DYP157"/>
      <c r="DYQ157"/>
      <c r="DYR157"/>
      <c r="DYS157"/>
      <c r="DYT157"/>
      <c r="DYU157"/>
      <c r="DYV157"/>
      <c r="DYW157"/>
      <c r="DYX157"/>
      <c r="DYY157"/>
      <c r="DYZ157"/>
      <c r="DZA157"/>
      <c r="DZB157"/>
      <c r="DZC157"/>
      <c r="DZD157"/>
      <c r="DZE157"/>
      <c r="DZF157"/>
      <c r="DZG157"/>
      <c r="DZH157"/>
      <c r="DZI157"/>
      <c r="DZJ157"/>
      <c r="DZK157"/>
      <c r="DZL157"/>
      <c r="DZM157"/>
      <c r="DZN157"/>
      <c r="DZO157"/>
      <c r="DZP157"/>
      <c r="DZQ157"/>
      <c r="DZR157"/>
      <c r="DZS157"/>
      <c r="DZT157"/>
      <c r="DZU157"/>
      <c r="DZV157"/>
      <c r="DZW157"/>
      <c r="DZX157"/>
      <c r="DZY157"/>
      <c r="DZZ157"/>
      <c r="EAA157"/>
      <c r="EAB157"/>
      <c r="EAC157"/>
      <c r="EAD157"/>
      <c r="EAE157"/>
      <c r="EAF157"/>
      <c r="EAG157"/>
      <c r="EAH157"/>
      <c r="EAI157"/>
      <c r="EAJ157"/>
      <c r="EAK157"/>
      <c r="EAL157"/>
      <c r="EAM157"/>
      <c r="EAN157"/>
      <c r="EAO157"/>
      <c r="EAP157"/>
      <c r="EAQ157"/>
      <c r="EAR157"/>
      <c r="EAS157"/>
      <c r="EAT157"/>
      <c r="EAU157"/>
      <c r="EAV157"/>
      <c r="EAW157"/>
      <c r="EAX157"/>
      <c r="EAY157"/>
      <c r="EAZ157"/>
      <c r="EBA157"/>
      <c r="EBB157"/>
      <c r="EBC157"/>
      <c r="EBD157"/>
      <c r="EBE157"/>
      <c r="EBF157"/>
      <c r="EBG157"/>
      <c r="EBH157"/>
      <c r="EBI157"/>
      <c r="EBJ157"/>
      <c r="EBK157"/>
      <c r="EBL157"/>
      <c r="EBM157"/>
      <c r="EBN157"/>
      <c r="EBO157"/>
      <c r="EBP157"/>
      <c r="EBQ157"/>
      <c r="EBR157"/>
      <c r="EBS157"/>
      <c r="EBT157"/>
      <c r="EBU157"/>
      <c r="EBV157"/>
      <c r="EBW157"/>
      <c r="EBX157"/>
      <c r="EBY157"/>
      <c r="EBZ157"/>
      <c r="ECA157"/>
      <c r="ECB157"/>
      <c r="ECC157"/>
      <c r="ECD157"/>
      <c r="ECE157"/>
      <c r="ECF157"/>
      <c r="ECG157"/>
      <c r="ECH157"/>
      <c r="ECI157"/>
      <c r="ECJ157"/>
      <c r="ECK157"/>
      <c r="ECL157"/>
      <c r="ECM157"/>
      <c r="ECN157"/>
      <c r="ECO157"/>
      <c r="ECP157"/>
      <c r="ECQ157"/>
      <c r="ECR157"/>
      <c r="ECS157"/>
      <c r="ECT157"/>
      <c r="ECU157"/>
      <c r="ECV157"/>
      <c r="ECW157"/>
      <c r="ECX157"/>
      <c r="ECY157"/>
      <c r="ECZ157"/>
      <c r="EDA157"/>
      <c r="EDB157"/>
      <c r="EDC157"/>
      <c r="EDD157"/>
      <c r="EDE157"/>
      <c r="EDF157"/>
      <c r="EDG157"/>
      <c r="EDH157"/>
      <c r="EDI157"/>
      <c r="EDJ157"/>
      <c r="EDK157"/>
      <c r="EDL157"/>
      <c r="EDM157"/>
      <c r="EDN157"/>
      <c r="EDO157"/>
      <c r="EDP157"/>
      <c r="EDQ157"/>
      <c r="EDR157"/>
      <c r="EDS157"/>
      <c r="EDT157"/>
      <c r="EDU157"/>
      <c r="EDV157"/>
      <c r="EDW157"/>
      <c r="EDX157"/>
      <c r="EDY157"/>
      <c r="EDZ157"/>
      <c r="EEA157"/>
      <c r="EEB157"/>
      <c r="EEC157"/>
      <c r="EED157"/>
      <c r="EEE157"/>
      <c r="EEF157"/>
      <c r="EEG157"/>
      <c r="EEH157"/>
      <c r="EEI157"/>
      <c r="EEJ157"/>
      <c r="EEK157"/>
      <c r="EEL157"/>
      <c r="EEM157"/>
      <c r="EEN157"/>
      <c r="EEO157"/>
      <c r="EEP157"/>
      <c r="EEQ157"/>
      <c r="EER157"/>
      <c r="EES157"/>
      <c r="EET157"/>
      <c r="EEU157"/>
      <c r="EEV157"/>
      <c r="EEW157"/>
      <c r="EEX157"/>
      <c r="EEY157"/>
      <c r="EEZ157"/>
      <c r="EFA157"/>
      <c r="EFB157"/>
      <c r="EFC157"/>
      <c r="EFD157"/>
      <c r="EFE157"/>
      <c r="EFF157"/>
      <c r="EFG157"/>
      <c r="EFH157"/>
      <c r="EFI157"/>
      <c r="EFJ157"/>
      <c r="EFK157"/>
      <c r="EFL157"/>
      <c r="EFM157"/>
      <c r="EFN157"/>
      <c r="EFO157"/>
      <c r="EFP157"/>
      <c r="EFQ157"/>
      <c r="EFR157"/>
      <c r="EFS157"/>
      <c r="EFT157"/>
      <c r="EFU157"/>
      <c r="EFV157"/>
      <c r="EFW157"/>
      <c r="EFX157"/>
      <c r="EFY157"/>
      <c r="EFZ157"/>
      <c r="EGA157"/>
      <c r="EGB157"/>
      <c r="EGC157"/>
      <c r="EGD157"/>
      <c r="EGE157"/>
      <c r="EGF157"/>
      <c r="EGG157"/>
      <c r="EGH157"/>
      <c r="EGI157"/>
      <c r="EGJ157"/>
      <c r="EGK157"/>
      <c r="EGL157"/>
      <c r="EGM157"/>
      <c r="EGN157"/>
      <c r="EGO157"/>
      <c r="EGP157"/>
      <c r="EGQ157"/>
      <c r="EGR157"/>
      <c r="EGS157"/>
      <c r="EGT157"/>
      <c r="EGU157"/>
      <c r="EGV157"/>
      <c r="EGW157"/>
      <c r="EGX157"/>
      <c r="EGY157"/>
      <c r="EGZ157"/>
      <c r="EHA157"/>
      <c r="EHB157"/>
      <c r="EHC157"/>
      <c r="EHD157"/>
      <c r="EHE157"/>
      <c r="EHF157"/>
      <c r="EHG157"/>
      <c r="EHH157"/>
      <c r="EHI157"/>
      <c r="EHJ157"/>
      <c r="EHK157"/>
      <c r="EHL157"/>
      <c r="EHM157"/>
      <c r="EHN157"/>
      <c r="EHO157"/>
      <c r="EHP157"/>
      <c r="EHQ157"/>
      <c r="EHR157"/>
      <c r="EHS157"/>
      <c r="EHT157"/>
      <c r="EHU157"/>
      <c r="EHV157"/>
      <c r="EHW157"/>
      <c r="EHX157"/>
      <c r="EHY157"/>
      <c r="EHZ157"/>
      <c r="EIA157"/>
      <c r="EIB157"/>
      <c r="EIC157"/>
      <c r="EID157"/>
      <c r="EIE157"/>
      <c r="EIF157"/>
      <c r="EIG157"/>
      <c r="EIH157"/>
      <c r="EII157"/>
      <c r="EIJ157"/>
      <c r="EIK157"/>
      <c r="EIL157"/>
      <c r="EIM157"/>
      <c r="EIN157"/>
      <c r="EIO157"/>
      <c r="EIP157"/>
      <c r="EIQ157"/>
      <c r="EIR157"/>
      <c r="EIS157"/>
      <c r="EIT157"/>
      <c r="EIU157"/>
      <c r="EIV157"/>
      <c r="EIW157"/>
      <c r="EIX157"/>
      <c r="EIY157"/>
      <c r="EIZ157"/>
      <c r="EJA157"/>
      <c r="EJB157"/>
      <c r="EJC157"/>
      <c r="EJD157"/>
      <c r="EJE157"/>
      <c r="EJF157"/>
      <c r="EJG157"/>
      <c r="EJH157"/>
      <c r="EJI157"/>
      <c r="EJJ157"/>
      <c r="EJK157"/>
      <c r="EJL157"/>
      <c r="EJM157"/>
      <c r="EJN157"/>
      <c r="EJO157"/>
      <c r="EJP157"/>
      <c r="EJQ157"/>
      <c r="EJR157"/>
      <c r="EJS157"/>
      <c r="EJT157"/>
      <c r="EJU157"/>
      <c r="EJV157"/>
      <c r="EJW157"/>
      <c r="EJX157"/>
      <c r="EJY157"/>
      <c r="EJZ157"/>
      <c r="EKA157"/>
      <c r="EKB157"/>
      <c r="EKC157"/>
      <c r="EKD157"/>
      <c r="EKE157"/>
      <c r="EKF157"/>
      <c r="EKG157"/>
      <c r="EKH157"/>
      <c r="EKI157"/>
      <c r="EKJ157"/>
      <c r="EKK157"/>
      <c r="EKL157"/>
      <c r="EKM157"/>
      <c r="EKN157"/>
      <c r="EKO157"/>
      <c r="EKP157"/>
      <c r="EKQ157"/>
      <c r="EKR157"/>
      <c r="EKS157"/>
      <c r="EKT157"/>
      <c r="EKU157"/>
      <c r="EKV157"/>
      <c r="EKW157"/>
      <c r="EKX157"/>
      <c r="EKY157"/>
      <c r="EKZ157"/>
      <c r="ELA157"/>
      <c r="ELB157"/>
      <c r="ELC157"/>
      <c r="ELD157"/>
      <c r="ELE157"/>
      <c r="ELF157"/>
      <c r="ELG157"/>
      <c r="ELH157"/>
      <c r="ELI157"/>
      <c r="ELJ157"/>
      <c r="ELK157"/>
      <c r="ELL157"/>
      <c r="ELM157"/>
      <c r="ELN157"/>
      <c r="ELO157"/>
      <c r="ELP157"/>
      <c r="ELQ157"/>
      <c r="ELR157"/>
      <c r="ELS157"/>
      <c r="ELT157"/>
      <c r="ELU157"/>
      <c r="ELV157"/>
      <c r="ELW157"/>
      <c r="ELX157"/>
      <c r="ELY157"/>
      <c r="ELZ157"/>
      <c r="EMA157"/>
      <c r="EMB157"/>
      <c r="EMC157"/>
      <c r="EMD157"/>
      <c r="EME157"/>
      <c r="EMF157"/>
      <c r="EMG157"/>
      <c r="EMH157"/>
      <c r="EMI157"/>
      <c r="EMJ157"/>
      <c r="EMK157"/>
      <c r="EML157"/>
      <c r="EMM157"/>
      <c r="EMN157"/>
      <c r="EMO157"/>
      <c r="EMP157"/>
      <c r="EMQ157"/>
      <c r="EMR157"/>
      <c r="EMS157"/>
      <c r="EMT157"/>
      <c r="EMU157"/>
      <c r="EMV157"/>
      <c r="EMW157"/>
      <c r="EMX157"/>
      <c r="EMY157"/>
      <c r="EMZ157"/>
      <c r="ENA157"/>
      <c r="ENB157"/>
      <c r="ENC157"/>
      <c r="END157"/>
      <c r="ENE157"/>
      <c r="ENF157"/>
      <c r="ENG157"/>
      <c r="ENH157"/>
      <c r="ENI157"/>
      <c r="ENJ157"/>
      <c r="ENK157"/>
      <c r="ENL157"/>
      <c r="ENM157"/>
      <c r="ENN157"/>
      <c r="ENO157"/>
      <c r="ENP157"/>
      <c r="ENQ157"/>
      <c r="ENR157"/>
      <c r="ENS157"/>
      <c r="ENT157"/>
      <c r="ENU157"/>
      <c r="ENV157"/>
      <c r="ENW157"/>
      <c r="ENX157"/>
      <c r="ENY157"/>
      <c r="ENZ157"/>
      <c r="EOA157"/>
      <c r="EOB157"/>
      <c r="EOC157"/>
      <c r="EOD157"/>
      <c r="EOE157"/>
      <c r="EOF157"/>
      <c r="EOG157"/>
      <c r="EOH157"/>
      <c r="EOI157"/>
      <c r="EOJ157"/>
      <c r="EOK157"/>
      <c r="EOL157"/>
      <c r="EOM157"/>
      <c r="EON157"/>
      <c r="EOO157"/>
      <c r="EOP157"/>
      <c r="EOQ157"/>
      <c r="EOR157"/>
      <c r="EOS157"/>
      <c r="EOT157"/>
      <c r="EOU157"/>
      <c r="EOV157"/>
      <c r="EOW157"/>
      <c r="EOX157"/>
      <c r="EOY157"/>
      <c r="EOZ157"/>
      <c r="EPA157"/>
      <c r="EPB157"/>
      <c r="EPC157"/>
      <c r="EPD157"/>
      <c r="EPE157"/>
      <c r="EPF157"/>
      <c r="EPG157"/>
      <c r="EPH157"/>
      <c r="EPI157"/>
      <c r="EPJ157"/>
      <c r="EPK157"/>
      <c r="EPL157"/>
      <c r="EPM157"/>
      <c r="EPN157"/>
      <c r="EPO157"/>
      <c r="EPP157"/>
      <c r="EPQ157"/>
      <c r="EPR157"/>
      <c r="EPS157"/>
      <c r="EPT157"/>
      <c r="EPU157"/>
      <c r="EPV157"/>
      <c r="EPW157"/>
      <c r="EPX157"/>
      <c r="EPY157"/>
      <c r="EPZ157"/>
      <c r="EQA157"/>
      <c r="EQB157"/>
      <c r="EQC157"/>
      <c r="EQD157"/>
      <c r="EQE157"/>
      <c r="EQF157"/>
      <c r="EQG157"/>
      <c r="EQH157"/>
      <c r="EQI157"/>
      <c r="EQJ157"/>
      <c r="EQK157"/>
      <c r="EQL157"/>
      <c r="EQM157"/>
      <c r="EQN157"/>
      <c r="EQO157"/>
      <c r="EQP157"/>
      <c r="EQQ157"/>
      <c r="EQR157"/>
      <c r="EQS157"/>
      <c r="EQT157"/>
      <c r="EQU157"/>
      <c r="EQV157"/>
      <c r="EQW157"/>
      <c r="EQX157"/>
      <c r="EQY157"/>
      <c r="EQZ157"/>
      <c r="ERA157"/>
      <c r="ERB157"/>
      <c r="ERC157"/>
      <c r="ERD157"/>
      <c r="ERE157"/>
      <c r="ERF157"/>
      <c r="ERG157"/>
      <c r="ERH157"/>
      <c r="ERI157"/>
      <c r="ERJ157"/>
      <c r="ERK157"/>
      <c r="ERL157"/>
      <c r="ERM157"/>
      <c r="ERN157"/>
      <c r="ERO157"/>
      <c r="ERP157"/>
      <c r="ERQ157"/>
      <c r="ERR157"/>
      <c r="ERS157"/>
      <c r="ERT157"/>
      <c r="ERU157"/>
      <c r="ERV157"/>
      <c r="ERW157"/>
      <c r="ERX157"/>
      <c r="ERY157"/>
      <c r="ERZ157"/>
      <c r="ESA157"/>
      <c r="ESB157"/>
      <c r="ESC157"/>
      <c r="ESD157"/>
      <c r="ESE157"/>
      <c r="ESF157"/>
      <c r="ESG157"/>
      <c r="ESH157"/>
      <c r="ESI157"/>
      <c r="ESJ157"/>
      <c r="ESK157"/>
      <c r="ESL157"/>
      <c r="ESM157"/>
      <c r="ESN157"/>
      <c r="ESO157"/>
      <c r="ESP157"/>
      <c r="ESQ157"/>
      <c r="ESR157"/>
      <c r="ESS157"/>
      <c r="EST157"/>
      <c r="ESU157"/>
      <c r="ESV157"/>
      <c r="ESW157"/>
      <c r="ESX157"/>
      <c r="ESY157"/>
      <c r="ESZ157"/>
      <c r="ETA157"/>
      <c r="ETB157"/>
      <c r="ETC157"/>
      <c r="ETD157"/>
      <c r="ETE157"/>
      <c r="ETF157"/>
      <c r="ETG157"/>
      <c r="ETH157"/>
      <c r="ETI157"/>
      <c r="ETJ157"/>
      <c r="ETK157"/>
      <c r="ETL157"/>
      <c r="ETM157"/>
      <c r="ETN157"/>
      <c r="ETO157"/>
      <c r="ETP157"/>
      <c r="ETQ157"/>
      <c r="ETR157"/>
      <c r="ETS157"/>
      <c r="ETT157"/>
      <c r="ETU157"/>
      <c r="ETV157"/>
      <c r="ETW157"/>
      <c r="ETX157"/>
      <c r="ETY157"/>
      <c r="ETZ157"/>
      <c r="EUA157"/>
      <c r="EUB157"/>
      <c r="EUC157"/>
      <c r="EUD157"/>
      <c r="EUE157"/>
      <c r="EUF157"/>
      <c r="EUG157"/>
      <c r="EUH157"/>
      <c r="EUI157"/>
      <c r="EUJ157"/>
      <c r="EUK157"/>
      <c r="EUL157"/>
      <c r="EUM157"/>
      <c r="EUN157"/>
      <c r="EUO157"/>
      <c r="EUP157"/>
      <c r="EUQ157"/>
      <c r="EUR157"/>
      <c r="EUS157"/>
      <c r="EUT157"/>
      <c r="EUU157"/>
      <c r="EUV157"/>
      <c r="EUW157"/>
      <c r="EUX157"/>
      <c r="EUY157"/>
      <c r="EUZ157"/>
      <c r="EVA157"/>
      <c r="EVB157"/>
      <c r="EVC157"/>
      <c r="EVD157"/>
      <c r="EVE157"/>
      <c r="EVF157"/>
      <c r="EVG157"/>
      <c r="EVH157"/>
      <c r="EVI157"/>
      <c r="EVJ157"/>
      <c r="EVK157"/>
      <c r="EVL157"/>
      <c r="EVM157"/>
      <c r="EVN157"/>
      <c r="EVO157"/>
      <c r="EVP157"/>
      <c r="EVQ157"/>
      <c r="EVR157"/>
      <c r="EVS157"/>
      <c r="EVT157"/>
      <c r="EVU157"/>
      <c r="EVV157"/>
      <c r="EVW157"/>
      <c r="EVX157"/>
      <c r="EVY157"/>
      <c r="EVZ157"/>
      <c r="EWA157"/>
      <c r="EWB157"/>
      <c r="EWC157"/>
      <c r="EWD157"/>
      <c r="EWE157"/>
      <c r="EWF157"/>
      <c r="EWG157"/>
      <c r="EWH157"/>
      <c r="EWI157"/>
      <c r="EWJ157"/>
      <c r="EWK157"/>
      <c r="EWL157"/>
      <c r="EWM157"/>
      <c r="EWN157"/>
      <c r="EWO157"/>
      <c r="EWP157"/>
      <c r="EWQ157"/>
      <c r="EWR157"/>
      <c r="EWS157"/>
      <c r="EWT157"/>
      <c r="EWU157"/>
      <c r="EWV157"/>
      <c r="EWW157"/>
      <c r="EWX157"/>
      <c r="EWY157"/>
      <c r="EWZ157"/>
      <c r="EXA157"/>
      <c r="EXB157"/>
      <c r="EXC157"/>
      <c r="EXD157"/>
      <c r="EXE157"/>
      <c r="EXF157"/>
      <c r="EXG157"/>
      <c r="EXH157"/>
      <c r="EXI157"/>
      <c r="EXJ157"/>
      <c r="EXK157"/>
      <c r="EXL157"/>
      <c r="EXM157"/>
      <c r="EXN157"/>
      <c r="EXO157"/>
      <c r="EXP157"/>
      <c r="EXQ157"/>
      <c r="EXR157"/>
      <c r="EXS157"/>
      <c r="EXT157"/>
      <c r="EXU157"/>
      <c r="EXV157"/>
      <c r="EXW157"/>
      <c r="EXX157"/>
      <c r="EXY157"/>
      <c r="EXZ157"/>
      <c r="EYA157"/>
      <c r="EYB157"/>
      <c r="EYC157"/>
      <c r="EYD157"/>
      <c r="EYE157"/>
      <c r="EYF157"/>
      <c r="EYG157"/>
      <c r="EYH157"/>
      <c r="EYI157"/>
      <c r="EYJ157"/>
      <c r="EYK157"/>
      <c r="EYL157"/>
      <c r="EYM157"/>
      <c r="EYN157"/>
      <c r="EYO157"/>
      <c r="EYP157"/>
      <c r="EYQ157"/>
      <c r="EYR157"/>
      <c r="EYS157"/>
      <c r="EYT157"/>
      <c r="EYU157"/>
      <c r="EYV157"/>
      <c r="EYW157"/>
      <c r="EYX157"/>
      <c r="EYY157"/>
      <c r="EYZ157"/>
      <c r="EZA157"/>
      <c r="EZB157"/>
      <c r="EZC157"/>
      <c r="EZD157"/>
      <c r="EZE157"/>
      <c r="EZF157"/>
      <c r="EZG157"/>
      <c r="EZH157"/>
      <c r="EZI157"/>
      <c r="EZJ157"/>
      <c r="EZK157"/>
      <c r="EZL157"/>
      <c r="EZM157"/>
      <c r="EZN157"/>
      <c r="EZO157"/>
      <c r="EZP157"/>
      <c r="EZQ157"/>
      <c r="EZR157"/>
      <c r="EZS157"/>
      <c r="EZT157"/>
      <c r="EZU157"/>
      <c r="EZV157"/>
      <c r="EZW157"/>
      <c r="EZX157"/>
      <c r="EZY157"/>
      <c r="EZZ157"/>
      <c r="FAA157"/>
      <c r="FAB157"/>
      <c r="FAC157"/>
      <c r="FAD157"/>
      <c r="FAE157"/>
      <c r="FAF157"/>
      <c r="FAG157"/>
      <c r="FAH157"/>
      <c r="FAI157"/>
      <c r="FAJ157"/>
      <c r="FAK157"/>
      <c r="FAL157"/>
      <c r="FAM157"/>
      <c r="FAN157"/>
      <c r="FAO157"/>
      <c r="FAP157"/>
      <c r="FAQ157"/>
      <c r="FAR157"/>
      <c r="FAS157"/>
      <c r="FAT157"/>
      <c r="FAU157"/>
      <c r="FAV157"/>
      <c r="FAW157"/>
      <c r="FAX157"/>
      <c r="FAY157"/>
      <c r="FAZ157"/>
      <c r="FBA157"/>
      <c r="FBB157"/>
      <c r="FBC157"/>
      <c r="FBD157"/>
      <c r="FBE157"/>
      <c r="FBF157"/>
      <c r="FBG157"/>
      <c r="FBH157"/>
      <c r="FBI157"/>
      <c r="FBJ157"/>
      <c r="FBK157"/>
      <c r="FBL157"/>
      <c r="FBM157"/>
      <c r="FBN157"/>
      <c r="FBO157"/>
      <c r="FBP157"/>
      <c r="FBQ157"/>
      <c r="FBR157"/>
      <c r="FBS157"/>
      <c r="FBT157"/>
      <c r="FBU157"/>
      <c r="FBV157"/>
      <c r="FBW157"/>
      <c r="FBX157"/>
      <c r="FBY157"/>
      <c r="FBZ157"/>
      <c r="FCA157"/>
      <c r="FCB157"/>
      <c r="FCC157"/>
      <c r="FCD157"/>
      <c r="FCE157"/>
      <c r="FCF157"/>
      <c r="FCG157"/>
      <c r="FCH157"/>
      <c r="FCI157"/>
      <c r="FCJ157"/>
      <c r="FCK157"/>
      <c r="FCL157"/>
      <c r="FCM157"/>
      <c r="FCN157"/>
      <c r="FCO157"/>
      <c r="FCP157"/>
      <c r="FCQ157"/>
      <c r="FCR157"/>
      <c r="FCS157"/>
      <c r="FCT157"/>
      <c r="FCU157"/>
      <c r="FCV157"/>
      <c r="FCW157"/>
      <c r="FCX157"/>
      <c r="FCY157"/>
      <c r="FCZ157"/>
      <c r="FDA157"/>
      <c r="FDB157"/>
      <c r="FDC157"/>
      <c r="FDD157"/>
      <c r="FDE157"/>
      <c r="FDF157"/>
      <c r="FDG157"/>
      <c r="FDH157"/>
      <c r="FDI157"/>
      <c r="FDJ157"/>
      <c r="FDK157"/>
      <c r="FDL157"/>
      <c r="FDM157"/>
      <c r="FDN157"/>
      <c r="FDO157"/>
      <c r="FDP157"/>
      <c r="FDQ157"/>
      <c r="FDR157"/>
      <c r="FDS157"/>
      <c r="FDT157"/>
      <c r="FDU157"/>
      <c r="FDV157"/>
      <c r="FDW157"/>
      <c r="FDX157"/>
      <c r="FDY157"/>
      <c r="FDZ157"/>
      <c r="FEA157"/>
      <c r="FEB157"/>
      <c r="FEC157"/>
      <c r="FED157"/>
      <c r="FEE157"/>
      <c r="FEF157"/>
      <c r="FEG157"/>
      <c r="FEH157"/>
      <c r="FEI157"/>
      <c r="FEJ157"/>
      <c r="FEK157"/>
      <c r="FEL157"/>
      <c r="FEM157"/>
      <c r="FEN157"/>
      <c r="FEO157"/>
      <c r="FEP157"/>
      <c r="FEQ157"/>
      <c r="FER157"/>
      <c r="FES157"/>
      <c r="FET157"/>
      <c r="FEU157"/>
      <c r="FEV157"/>
      <c r="FEW157"/>
      <c r="FEX157"/>
      <c r="FEY157"/>
      <c r="FEZ157"/>
      <c r="FFA157"/>
      <c r="FFB157"/>
      <c r="FFC157"/>
      <c r="FFD157"/>
      <c r="FFE157"/>
      <c r="FFF157"/>
      <c r="FFG157"/>
      <c r="FFH157"/>
      <c r="FFI157"/>
      <c r="FFJ157"/>
      <c r="FFK157"/>
      <c r="FFL157"/>
      <c r="FFM157"/>
      <c r="FFN157"/>
      <c r="FFO157"/>
      <c r="FFP157"/>
      <c r="FFQ157"/>
      <c r="FFR157"/>
      <c r="FFS157"/>
      <c r="FFT157"/>
      <c r="FFU157"/>
      <c r="FFV157"/>
      <c r="FFW157"/>
      <c r="FFX157"/>
      <c r="FFY157"/>
      <c r="FFZ157"/>
      <c r="FGA157"/>
      <c r="FGB157"/>
      <c r="FGC157"/>
      <c r="FGD157"/>
      <c r="FGE157"/>
      <c r="FGF157"/>
      <c r="FGG157"/>
      <c r="FGH157"/>
      <c r="FGI157"/>
      <c r="FGJ157"/>
      <c r="FGK157"/>
      <c r="FGL157"/>
      <c r="FGM157"/>
      <c r="FGN157"/>
      <c r="FGO157"/>
      <c r="FGP157"/>
      <c r="FGQ157"/>
      <c r="FGR157"/>
      <c r="FGS157"/>
      <c r="FGT157"/>
      <c r="FGU157"/>
      <c r="FGV157"/>
      <c r="FGW157"/>
      <c r="FGX157"/>
      <c r="FGY157"/>
      <c r="FGZ157"/>
      <c r="FHA157"/>
      <c r="FHB157"/>
      <c r="FHC157"/>
      <c r="FHD157"/>
      <c r="FHE157"/>
      <c r="FHF157"/>
      <c r="FHG157"/>
      <c r="FHH157"/>
      <c r="FHI157"/>
      <c r="FHJ157"/>
      <c r="FHK157"/>
      <c r="FHL157"/>
      <c r="FHM157"/>
      <c r="FHN157"/>
      <c r="FHO157"/>
      <c r="FHP157"/>
      <c r="FHQ157"/>
      <c r="FHR157"/>
      <c r="FHS157"/>
      <c r="FHT157"/>
      <c r="FHU157"/>
      <c r="FHV157"/>
      <c r="FHW157"/>
      <c r="FHX157"/>
      <c r="FHY157"/>
      <c r="FHZ157"/>
      <c r="FIA157"/>
      <c r="FIB157"/>
      <c r="FIC157"/>
      <c r="FID157"/>
      <c r="FIE157"/>
      <c r="FIF157"/>
      <c r="FIG157"/>
      <c r="FIH157"/>
      <c r="FII157"/>
      <c r="FIJ157"/>
      <c r="FIK157"/>
      <c r="FIL157"/>
      <c r="FIM157"/>
      <c r="FIN157"/>
      <c r="FIO157"/>
      <c r="FIP157"/>
      <c r="FIQ157"/>
      <c r="FIR157"/>
      <c r="FIS157"/>
      <c r="FIT157"/>
      <c r="FIU157"/>
      <c r="FIV157"/>
      <c r="FIW157"/>
      <c r="FIX157"/>
      <c r="FIY157"/>
      <c r="FIZ157"/>
      <c r="FJA157"/>
      <c r="FJB157"/>
      <c r="FJC157"/>
      <c r="FJD157"/>
      <c r="FJE157"/>
      <c r="FJF157"/>
      <c r="FJG157"/>
      <c r="FJH157"/>
      <c r="FJI157"/>
      <c r="FJJ157"/>
      <c r="FJK157"/>
      <c r="FJL157"/>
      <c r="FJM157"/>
      <c r="FJN157"/>
      <c r="FJO157"/>
      <c r="FJP157"/>
      <c r="FJQ157"/>
      <c r="FJR157"/>
      <c r="FJS157"/>
      <c r="FJT157"/>
      <c r="FJU157"/>
      <c r="FJV157"/>
      <c r="FJW157"/>
      <c r="FJX157"/>
      <c r="FJY157"/>
      <c r="FJZ157"/>
      <c r="FKA157"/>
      <c r="FKB157"/>
      <c r="FKC157"/>
      <c r="FKD157"/>
      <c r="FKE157"/>
      <c r="FKF157"/>
      <c r="FKG157"/>
      <c r="FKH157"/>
      <c r="FKI157"/>
      <c r="FKJ157"/>
      <c r="FKK157"/>
      <c r="FKL157"/>
      <c r="FKM157"/>
      <c r="FKN157"/>
      <c r="FKO157"/>
      <c r="FKP157"/>
      <c r="FKQ157"/>
      <c r="FKR157"/>
      <c r="FKS157"/>
      <c r="FKT157"/>
      <c r="FKU157"/>
      <c r="FKV157"/>
      <c r="FKW157"/>
      <c r="FKX157"/>
      <c r="FKY157"/>
      <c r="FKZ157"/>
      <c r="FLA157"/>
      <c r="FLB157"/>
      <c r="FLC157"/>
      <c r="FLD157"/>
      <c r="FLE157"/>
      <c r="FLF157"/>
      <c r="FLG157"/>
      <c r="FLH157"/>
      <c r="FLI157"/>
      <c r="FLJ157"/>
      <c r="FLK157"/>
      <c r="FLL157"/>
      <c r="FLM157"/>
      <c r="FLN157"/>
      <c r="FLO157"/>
      <c r="FLP157"/>
      <c r="FLQ157"/>
      <c r="FLR157"/>
      <c r="FLS157"/>
      <c r="FLT157"/>
      <c r="FLU157"/>
      <c r="FLV157"/>
      <c r="FLW157"/>
      <c r="FLX157"/>
      <c r="FLY157"/>
      <c r="FLZ157"/>
      <c r="FMA157"/>
      <c r="FMB157"/>
      <c r="FMC157"/>
      <c r="FMD157"/>
      <c r="FME157"/>
      <c r="FMF157"/>
      <c r="FMG157"/>
      <c r="FMH157"/>
      <c r="FMI157"/>
      <c r="FMJ157"/>
      <c r="FMK157"/>
      <c r="FML157"/>
      <c r="FMM157"/>
      <c r="FMN157"/>
      <c r="FMO157"/>
      <c r="FMP157"/>
      <c r="FMQ157"/>
      <c r="FMR157"/>
      <c r="FMS157"/>
      <c r="FMT157"/>
      <c r="FMU157"/>
      <c r="FMV157"/>
      <c r="FMW157"/>
      <c r="FMX157"/>
      <c r="FMY157"/>
      <c r="FMZ157"/>
      <c r="FNA157"/>
      <c r="FNB157"/>
      <c r="FNC157"/>
      <c r="FND157"/>
      <c r="FNE157"/>
      <c r="FNF157"/>
      <c r="FNG157"/>
      <c r="FNH157"/>
      <c r="FNI157"/>
      <c r="FNJ157"/>
      <c r="FNK157"/>
      <c r="FNL157"/>
      <c r="FNM157"/>
      <c r="FNN157"/>
      <c r="FNO157"/>
      <c r="FNP157"/>
      <c r="FNQ157"/>
      <c r="FNR157"/>
      <c r="FNS157"/>
      <c r="FNT157"/>
      <c r="FNU157"/>
      <c r="FNV157"/>
      <c r="FNW157"/>
      <c r="FNX157"/>
      <c r="FNY157"/>
      <c r="FNZ157"/>
      <c r="FOA157"/>
      <c r="FOB157"/>
      <c r="FOC157"/>
      <c r="FOD157"/>
      <c r="FOE157"/>
      <c r="FOF157"/>
      <c r="FOG157"/>
      <c r="FOH157"/>
      <c r="FOI157"/>
      <c r="FOJ157"/>
      <c r="FOK157"/>
      <c r="FOL157"/>
      <c r="FOM157"/>
      <c r="FON157"/>
      <c r="FOO157"/>
      <c r="FOP157"/>
      <c r="FOQ157"/>
      <c r="FOR157"/>
      <c r="FOS157"/>
      <c r="FOT157"/>
      <c r="FOU157"/>
      <c r="FOV157"/>
      <c r="FOW157"/>
      <c r="FOX157"/>
      <c r="FOY157"/>
      <c r="FOZ157"/>
      <c r="FPA157"/>
      <c r="FPB157"/>
      <c r="FPC157"/>
      <c r="FPD157"/>
      <c r="FPE157"/>
      <c r="FPF157"/>
      <c r="FPG157"/>
      <c r="FPH157"/>
      <c r="FPI157"/>
      <c r="FPJ157"/>
      <c r="FPK157"/>
      <c r="FPL157"/>
      <c r="FPM157"/>
      <c r="FPN157"/>
      <c r="FPO157"/>
      <c r="FPP157"/>
      <c r="FPQ157"/>
      <c r="FPR157"/>
      <c r="FPS157"/>
      <c r="FPT157"/>
      <c r="FPU157"/>
      <c r="FPV157"/>
      <c r="FPW157"/>
      <c r="FPX157"/>
      <c r="FPY157"/>
      <c r="FPZ157"/>
      <c r="FQA157"/>
      <c r="FQB157"/>
      <c r="FQC157"/>
      <c r="FQD157"/>
      <c r="FQE157"/>
      <c r="FQF157"/>
      <c r="FQG157"/>
      <c r="FQH157"/>
      <c r="FQI157"/>
      <c r="FQJ157"/>
      <c r="FQK157"/>
      <c r="FQL157"/>
      <c r="FQM157"/>
      <c r="FQN157"/>
      <c r="FQO157"/>
      <c r="FQP157"/>
      <c r="FQQ157"/>
      <c r="FQR157"/>
      <c r="FQS157"/>
      <c r="FQT157"/>
      <c r="FQU157"/>
      <c r="FQV157"/>
      <c r="FQW157"/>
      <c r="FQX157"/>
      <c r="FQY157"/>
      <c r="FQZ157"/>
      <c r="FRA157"/>
      <c r="FRB157"/>
      <c r="FRC157"/>
      <c r="FRD157"/>
      <c r="FRE157"/>
      <c r="FRF157"/>
      <c r="FRG157"/>
      <c r="FRH157"/>
      <c r="FRI157"/>
      <c r="FRJ157"/>
      <c r="FRK157"/>
      <c r="FRL157"/>
      <c r="FRM157"/>
      <c r="FRN157"/>
      <c r="FRO157"/>
      <c r="FRP157"/>
      <c r="FRQ157"/>
      <c r="FRR157"/>
      <c r="FRS157"/>
      <c r="FRT157"/>
      <c r="FRU157"/>
      <c r="FRV157"/>
      <c r="FRW157"/>
      <c r="FRX157"/>
      <c r="FRY157"/>
      <c r="FRZ157"/>
      <c r="FSA157"/>
      <c r="FSB157"/>
      <c r="FSC157"/>
      <c r="FSD157"/>
      <c r="FSE157"/>
      <c r="FSF157"/>
      <c r="FSG157"/>
      <c r="FSH157"/>
      <c r="FSI157"/>
      <c r="FSJ157"/>
      <c r="FSK157"/>
      <c r="FSL157"/>
      <c r="FSM157"/>
      <c r="FSN157"/>
      <c r="FSO157"/>
      <c r="FSP157"/>
      <c r="FSQ157"/>
      <c r="FSR157"/>
      <c r="FSS157"/>
      <c r="FST157"/>
      <c r="FSU157"/>
      <c r="FSV157"/>
      <c r="FSW157"/>
      <c r="FSX157"/>
      <c r="FSY157"/>
      <c r="FSZ157"/>
      <c r="FTA157"/>
      <c r="FTB157"/>
      <c r="FTC157"/>
      <c r="FTD157"/>
      <c r="FTE157"/>
      <c r="FTF157"/>
      <c r="FTG157"/>
      <c r="FTH157"/>
      <c r="FTI157"/>
      <c r="FTJ157"/>
      <c r="FTK157"/>
      <c r="FTL157"/>
      <c r="FTM157"/>
      <c r="FTN157"/>
      <c r="FTO157"/>
      <c r="FTP157"/>
      <c r="FTQ157"/>
      <c r="FTR157"/>
      <c r="FTS157"/>
      <c r="FTT157"/>
      <c r="FTU157"/>
      <c r="FTV157"/>
      <c r="FTW157"/>
      <c r="FTX157"/>
      <c r="FTY157"/>
      <c r="FTZ157"/>
      <c r="FUA157"/>
      <c r="FUB157"/>
      <c r="FUC157"/>
      <c r="FUD157"/>
      <c r="FUE157"/>
      <c r="FUF157"/>
      <c r="FUG157"/>
      <c r="FUH157"/>
      <c r="FUI157"/>
      <c r="FUJ157"/>
      <c r="FUK157"/>
      <c r="FUL157"/>
      <c r="FUM157"/>
      <c r="FUN157"/>
      <c r="FUO157"/>
      <c r="FUP157"/>
      <c r="FUQ157"/>
      <c r="FUR157"/>
      <c r="FUS157"/>
      <c r="FUT157"/>
      <c r="FUU157"/>
      <c r="FUV157"/>
      <c r="FUW157"/>
      <c r="FUX157"/>
      <c r="FUY157"/>
      <c r="FUZ157"/>
      <c r="FVA157"/>
      <c r="FVB157"/>
      <c r="FVC157"/>
      <c r="FVD157"/>
      <c r="FVE157"/>
      <c r="FVF157"/>
      <c r="FVG157"/>
      <c r="FVH157"/>
      <c r="FVI157"/>
      <c r="FVJ157"/>
      <c r="FVK157"/>
      <c r="FVL157"/>
      <c r="FVM157"/>
      <c r="FVN157"/>
      <c r="FVO157"/>
      <c r="FVP157"/>
      <c r="FVQ157"/>
      <c r="FVR157"/>
      <c r="FVS157"/>
      <c r="FVT157"/>
      <c r="FVU157"/>
      <c r="FVV157"/>
      <c r="FVW157"/>
      <c r="FVX157"/>
      <c r="FVY157"/>
      <c r="FVZ157"/>
      <c r="FWA157"/>
      <c r="FWB157"/>
      <c r="FWC157"/>
      <c r="FWD157"/>
      <c r="FWE157"/>
      <c r="FWF157"/>
      <c r="FWG157"/>
      <c r="FWH157"/>
      <c r="FWI157"/>
      <c r="FWJ157"/>
      <c r="FWK157"/>
      <c r="FWL157"/>
      <c r="FWM157"/>
      <c r="FWN157"/>
      <c r="FWO157"/>
      <c r="FWP157"/>
      <c r="FWQ157"/>
      <c r="FWR157"/>
      <c r="FWS157"/>
      <c r="FWT157"/>
      <c r="FWU157"/>
      <c r="FWV157"/>
      <c r="FWW157"/>
      <c r="FWX157"/>
      <c r="FWY157"/>
      <c r="FWZ157"/>
      <c r="FXA157"/>
      <c r="FXB157"/>
      <c r="FXC157"/>
      <c r="FXD157"/>
      <c r="FXE157"/>
      <c r="FXF157"/>
      <c r="FXG157"/>
      <c r="FXH157"/>
      <c r="FXI157"/>
      <c r="FXJ157"/>
      <c r="FXK157"/>
      <c r="FXL157"/>
      <c r="FXM157"/>
      <c r="FXN157"/>
      <c r="FXO157"/>
      <c r="FXP157"/>
      <c r="FXQ157"/>
      <c r="FXR157"/>
      <c r="FXS157"/>
      <c r="FXT157"/>
      <c r="FXU157"/>
      <c r="FXV157"/>
      <c r="FXW157"/>
      <c r="FXX157"/>
      <c r="FXY157"/>
      <c r="FXZ157"/>
      <c r="FYA157"/>
      <c r="FYB157"/>
      <c r="FYC157"/>
      <c r="FYD157"/>
      <c r="FYE157"/>
      <c r="FYF157"/>
      <c r="FYG157"/>
      <c r="FYH157"/>
      <c r="FYI157"/>
      <c r="FYJ157"/>
      <c r="FYK157"/>
      <c r="FYL157"/>
      <c r="FYM157"/>
      <c r="FYN157"/>
      <c r="FYO157"/>
      <c r="FYP157"/>
      <c r="FYQ157"/>
      <c r="FYR157"/>
      <c r="FYS157"/>
      <c r="FYT157"/>
      <c r="FYU157"/>
      <c r="FYV157"/>
      <c r="FYW157"/>
      <c r="FYX157"/>
      <c r="FYY157"/>
      <c r="FYZ157"/>
      <c r="FZA157"/>
      <c r="FZB157"/>
      <c r="FZC157"/>
      <c r="FZD157"/>
      <c r="FZE157"/>
      <c r="FZF157"/>
      <c r="FZG157"/>
      <c r="FZH157"/>
      <c r="FZI157"/>
      <c r="FZJ157"/>
      <c r="FZK157"/>
      <c r="FZL157"/>
      <c r="FZM157"/>
      <c r="FZN157"/>
      <c r="FZO157"/>
      <c r="FZP157"/>
      <c r="FZQ157"/>
      <c r="FZR157"/>
      <c r="FZS157"/>
      <c r="FZT157"/>
      <c r="FZU157"/>
      <c r="FZV157"/>
      <c r="FZW157"/>
      <c r="FZX157"/>
      <c r="FZY157"/>
      <c r="FZZ157"/>
      <c r="GAA157"/>
      <c r="GAB157"/>
      <c r="GAC157"/>
      <c r="GAD157"/>
      <c r="GAE157"/>
      <c r="GAF157"/>
      <c r="GAG157"/>
      <c r="GAH157"/>
      <c r="GAI157"/>
      <c r="GAJ157"/>
      <c r="GAK157"/>
      <c r="GAL157"/>
      <c r="GAM157"/>
      <c r="GAN157"/>
      <c r="GAO157"/>
      <c r="GAP157"/>
      <c r="GAQ157"/>
      <c r="GAR157"/>
      <c r="GAS157"/>
      <c r="GAT157"/>
      <c r="GAU157"/>
      <c r="GAV157"/>
      <c r="GAW157"/>
      <c r="GAX157"/>
      <c r="GAY157"/>
      <c r="GAZ157"/>
      <c r="GBA157"/>
      <c r="GBB157"/>
      <c r="GBC157"/>
      <c r="GBD157"/>
      <c r="GBE157"/>
      <c r="GBF157"/>
      <c r="GBG157"/>
      <c r="GBH157"/>
      <c r="GBI157"/>
      <c r="GBJ157"/>
      <c r="GBK157"/>
      <c r="GBL157"/>
      <c r="GBM157"/>
      <c r="GBN157"/>
      <c r="GBO157"/>
      <c r="GBP157"/>
      <c r="GBQ157"/>
      <c r="GBR157"/>
      <c r="GBS157"/>
      <c r="GBT157"/>
      <c r="GBU157"/>
      <c r="GBV157"/>
      <c r="GBW157"/>
      <c r="GBX157"/>
      <c r="GBY157"/>
      <c r="GBZ157"/>
      <c r="GCA157"/>
      <c r="GCB157"/>
      <c r="GCC157"/>
      <c r="GCD157"/>
      <c r="GCE157"/>
      <c r="GCF157"/>
      <c r="GCG157"/>
      <c r="GCH157"/>
      <c r="GCI157"/>
      <c r="GCJ157"/>
      <c r="GCK157"/>
      <c r="GCL157"/>
      <c r="GCM157"/>
      <c r="GCN157"/>
      <c r="GCO157"/>
      <c r="GCP157"/>
      <c r="GCQ157"/>
      <c r="GCR157"/>
      <c r="GCS157"/>
      <c r="GCT157"/>
      <c r="GCU157"/>
      <c r="GCV157"/>
      <c r="GCW157"/>
      <c r="GCX157"/>
      <c r="GCY157"/>
      <c r="GCZ157"/>
      <c r="GDA157"/>
      <c r="GDB157"/>
      <c r="GDC157"/>
      <c r="GDD157"/>
      <c r="GDE157"/>
      <c r="GDF157"/>
      <c r="GDG157"/>
      <c r="GDH157"/>
      <c r="GDI157"/>
      <c r="GDJ157"/>
      <c r="GDK157"/>
      <c r="GDL157"/>
      <c r="GDM157"/>
      <c r="GDN157"/>
      <c r="GDO157"/>
      <c r="GDP157"/>
      <c r="GDQ157"/>
      <c r="GDR157"/>
      <c r="GDS157"/>
      <c r="GDT157"/>
      <c r="GDU157"/>
      <c r="GDV157"/>
      <c r="GDW157"/>
      <c r="GDX157"/>
      <c r="GDY157"/>
      <c r="GDZ157"/>
      <c r="GEA157"/>
      <c r="GEB157"/>
      <c r="GEC157"/>
      <c r="GED157"/>
      <c r="GEE157"/>
      <c r="GEF157"/>
      <c r="GEG157"/>
      <c r="GEH157"/>
      <c r="GEI157"/>
      <c r="GEJ157"/>
      <c r="GEK157"/>
      <c r="GEL157"/>
      <c r="GEM157"/>
      <c r="GEN157"/>
      <c r="GEO157"/>
      <c r="GEP157"/>
      <c r="GEQ157"/>
      <c r="GER157"/>
      <c r="GES157"/>
      <c r="GET157"/>
      <c r="GEU157"/>
      <c r="GEV157"/>
      <c r="GEW157"/>
      <c r="GEX157"/>
      <c r="GEY157"/>
      <c r="GEZ157"/>
      <c r="GFA157"/>
      <c r="GFB157"/>
      <c r="GFC157"/>
      <c r="GFD157"/>
      <c r="GFE157"/>
      <c r="GFF157"/>
      <c r="GFG157"/>
      <c r="GFH157"/>
      <c r="GFI157"/>
      <c r="GFJ157"/>
      <c r="GFK157"/>
      <c r="GFL157"/>
      <c r="GFM157"/>
      <c r="GFN157"/>
      <c r="GFO157"/>
      <c r="GFP157"/>
      <c r="GFQ157"/>
      <c r="GFR157"/>
      <c r="GFS157"/>
      <c r="GFT157"/>
      <c r="GFU157"/>
      <c r="GFV157"/>
      <c r="GFW157"/>
      <c r="GFX157"/>
      <c r="GFY157"/>
      <c r="GFZ157"/>
      <c r="GGA157"/>
      <c r="GGB157"/>
      <c r="GGC157"/>
      <c r="GGD157"/>
      <c r="GGE157"/>
      <c r="GGF157"/>
      <c r="GGG157"/>
      <c r="GGH157"/>
      <c r="GGI157"/>
      <c r="GGJ157"/>
      <c r="GGK157"/>
      <c r="GGL157"/>
      <c r="GGM157"/>
      <c r="GGN157"/>
      <c r="GGO157"/>
      <c r="GGP157"/>
      <c r="GGQ157"/>
      <c r="GGR157"/>
      <c r="GGS157"/>
      <c r="GGT157"/>
      <c r="GGU157"/>
      <c r="GGV157"/>
      <c r="GGW157"/>
      <c r="GGX157"/>
      <c r="GGY157"/>
      <c r="GGZ157"/>
      <c r="GHA157"/>
      <c r="GHB157"/>
      <c r="GHC157"/>
      <c r="GHD157"/>
      <c r="GHE157"/>
      <c r="GHF157"/>
      <c r="GHG157"/>
      <c r="GHH157"/>
      <c r="GHI157"/>
      <c r="GHJ157"/>
      <c r="GHK157"/>
      <c r="GHL157"/>
      <c r="GHM157"/>
      <c r="GHN157"/>
      <c r="GHO157"/>
      <c r="GHP157"/>
      <c r="GHQ157"/>
      <c r="GHR157"/>
      <c r="GHS157"/>
      <c r="GHT157"/>
      <c r="GHU157"/>
      <c r="GHV157"/>
      <c r="GHW157"/>
      <c r="GHX157"/>
      <c r="GHY157"/>
      <c r="GHZ157"/>
      <c r="GIA157"/>
      <c r="GIB157"/>
      <c r="GIC157"/>
      <c r="GID157"/>
      <c r="GIE157"/>
      <c r="GIF157"/>
      <c r="GIG157"/>
      <c r="GIH157"/>
      <c r="GII157"/>
      <c r="GIJ157"/>
      <c r="GIK157"/>
      <c r="GIL157"/>
      <c r="GIM157"/>
      <c r="GIN157"/>
      <c r="GIO157"/>
      <c r="GIP157"/>
      <c r="GIQ157"/>
      <c r="GIR157"/>
      <c r="GIS157"/>
      <c r="GIT157"/>
      <c r="GIU157"/>
      <c r="GIV157"/>
      <c r="GIW157"/>
      <c r="GIX157"/>
      <c r="GIY157"/>
      <c r="GIZ157"/>
      <c r="GJA157"/>
      <c r="GJB157"/>
      <c r="GJC157"/>
      <c r="GJD157"/>
      <c r="GJE157"/>
      <c r="GJF157"/>
      <c r="GJG157"/>
      <c r="GJH157"/>
      <c r="GJI157"/>
      <c r="GJJ157"/>
      <c r="GJK157"/>
      <c r="GJL157"/>
      <c r="GJM157"/>
      <c r="GJN157"/>
      <c r="GJO157"/>
      <c r="GJP157"/>
      <c r="GJQ157"/>
      <c r="GJR157"/>
      <c r="GJS157"/>
      <c r="GJT157"/>
      <c r="GJU157"/>
      <c r="GJV157"/>
      <c r="GJW157"/>
      <c r="GJX157"/>
      <c r="GJY157"/>
      <c r="GJZ157"/>
      <c r="GKA157"/>
      <c r="GKB157"/>
      <c r="GKC157"/>
      <c r="GKD157"/>
      <c r="GKE157"/>
      <c r="GKF157"/>
      <c r="GKG157"/>
      <c r="GKH157"/>
      <c r="GKI157"/>
      <c r="GKJ157"/>
      <c r="GKK157"/>
      <c r="GKL157"/>
      <c r="GKM157"/>
      <c r="GKN157"/>
      <c r="GKO157"/>
      <c r="GKP157"/>
      <c r="GKQ157"/>
      <c r="GKR157"/>
      <c r="GKS157"/>
      <c r="GKT157"/>
      <c r="GKU157"/>
      <c r="GKV157"/>
      <c r="GKW157"/>
      <c r="GKX157"/>
      <c r="GKY157"/>
      <c r="GKZ157"/>
      <c r="GLA157"/>
      <c r="GLB157"/>
      <c r="GLC157"/>
      <c r="GLD157"/>
      <c r="GLE157"/>
      <c r="GLF157"/>
      <c r="GLG157"/>
      <c r="GLH157"/>
      <c r="GLI157"/>
      <c r="GLJ157"/>
      <c r="GLK157"/>
      <c r="GLL157"/>
      <c r="GLM157"/>
      <c r="GLN157"/>
      <c r="GLO157"/>
      <c r="GLP157"/>
      <c r="GLQ157"/>
      <c r="GLR157"/>
      <c r="GLS157"/>
      <c r="GLT157"/>
      <c r="GLU157"/>
      <c r="GLV157"/>
      <c r="GLW157"/>
      <c r="GLX157"/>
      <c r="GLY157"/>
      <c r="GLZ157"/>
      <c r="GMA157"/>
      <c r="GMB157"/>
      <c r="GMC157"/>
      <c r="GMD157"/>
      <c r="GME157"/>
      <c r="GMF157"/>
      <c r="GMG157"/>
      <c r="GMH157"/>
      <c r="GMI157"/>
      <c r="GMJ157"/>
      <c r="GMK157"/>
      <c r="GML157"/>
      <c r="GMM157"/>
      <c r="GMN157"/>
      <c r="GMO157"/>
      <c r="GMP157"/>
      <c r="GMQ157"/>
      <c r="GMR157"/>
      <c r="GMS157"/>
      <c r="GMT157"/>
      <c r="GMU157"/>
      <c r="GMV157"/>
      <c r="GMW157"/>
      <c r="GMX157"/>
      <c r="GMY157"/>
      <c r="GMZ157"/>
      <c r="GNA157"/>
      <c r="GNB157"/>
      <c r="GNC157"/>
      <c r="GND157"/>
      <c r="GNE157"/>
      <c r="GNF157"/>
      <c r="GNG157"/>
      <c r="GNH157"/>
      <c r="GNI157"/>
      <c r="GNJ157"/>
      <c r="GNK157"/>
      <c r="GNL157"/>
      <c r="GNM157"/>
      <c r="GNN157"/>
      <c r="GNO157"/>
      <c r="GNP157"/>
      <c r="GNQ157"/>
      <c r="GNR157"/>
      <c r="GNS157"/>
      <c r="GNT157"/>
      <c r="GNU157"/>
      <c r="GNV157"/>
      <c r="GNW157"/>
      <c r="GNX157"/>
      <c r="GNY157"/>
      <c r="GNZ157"/>
      <c r="GOA157"/>
      <c r="GOB157"/>
      <c r="GOC157"/>
      <c r="GOD157"/>
      <c r="GOE157"/>
      <c r="GOF157"/>
      <c r="GOG157"/>
      <c r="GOH157"/>
      <c r="GOI157"/>
      <c r="GOJ157"/>
      <c r="GOK157"/>
      <c r="GOL157"/>
      <c r="GOM157"/>
      <c r="GON157"/>
      <c r="GOO157"/>
      <c r="GOP157"/>
      <c r="GOQ157"/>
      <c r="GOR157"/>
      <c r="GOS157"/>
      <c r="GOT157"/>
      <c r="GOU157"/>
      <c r="GOV157"/>
      <c r="GOW157"/>
      <c r="GOX157"/>
      <c r="GOY157"/>
      <c r="GOZ157"/>
      <c r="GPA157"/>
      <c r="GPB157"/>
      <c r="GPC157"/>
      <c r="GPD157"/>
      <c r="GPE157"/>
      <c r="GPF157"/>
      <c r="GPG157"/>
      <c r="GPH157"/>
      <c r="GPI157"/>
      <c r="GPJ157"/>
      <c r="GPK157"/>
      <c r="GPL157"/>
      <c r="GPM157"/>
      <c r="GPN157"/>
      <c r="GPO157"/>
      <c r="GPP157"/>
      <c r="GPQ157"/>
      <c r="GPR157"/>
      <c r="GPS157"/>
      <c r="GPT157"/>
      <c r="GPU157"/>
      <c r="GPV157"/>
      <c r="GPW157"/>
      <c r="GPX157"/>
      <c r="GPY157"/>
      <c r="GPZ157"/>
      <c r="GQA157"/>
      <c r="GQB157"/>
      <c r="GQC157"/>
      <c r="GQD157"/>
      <c r="GQE157"/>
      <c r="GQF157"/>
      <c r="GQG157"/>
      <c r="GQH157"/>
      <c r="GQI157"/>
      <c r="GQJ157"/>
      <c r="GQK157"/>
      <c r="GQL157"/>
      <c r="GQM157"/>
      <c r="GQN157"/>
      <c r="GQO157"/>
      <c r="GQP157"/>
      <c r="GQQ157"/>
      <c r="GQR157"/>
      <c r="GQS157"/>
      <c r="GQT157"/>
      <c r="GQU157"/>
      <c r="GQV157"/>
      <c r="GQW157"/>
      <c r="GQX157"/>
      <c r="GQY157"/>
      <c r="GQZ157"/>
      <c r="GRA157"/>
      <c r="GRB157"/>
      <c r="GRC157"/>
      <c r="GRD157"/>
      <c r="GRE157"/>
      <c r="GRF157"/>
      <c r="GRG157"/>
      <c r="GRH157"/>
      <c r="GRI157"/>
      <c r="GRJ157"/>
      <c r="GRK157"/>
      <c r="GRL157"/>
      <c r="GRM157"/>
      <c r="GRN157"/>
      <c r="GRO157"/>
      <c r="GRP157"/>
      <c r="GRQ157"/>
      <c r="GRR157"/>
      <c r="GRS157"/>
      <c r="GRT157"/>
      <c r="GRU157"/>
      <c r="GRV157"/>
      <c r="GRW157"/>
      <c r="GRX157"/>
      <c r="GRY157"/>
      <c r="GRZ157"/>
      <c r="GSA157"/>
      <c r="GSB157"/>
      <c r="GSC157"/>
      <c r="GSD157"/>
      <c r="GSE157"/>
      <c r="GSF157"/>
      <c r="GSG157"/>
      <c r="GSH157"/>
      <c r="GSI157"/>
      <c r="GSJ157"/>
      <c r="GSK157"/>
      <c r="GSL157"/>
      <c r="GSM157"/>
      <c r="GSN157"/>
      <c r="GSO157"/>
      <c r="GSP157"/>
      <c r="GSQ157"/>
      <c r="GSR157"/>
      <c r="GSS157"/>
      <c r="GST157"/>
      <c r="GSU157"/>
      <c r="GSV157"/>
      <c r="GSW157"/>
      <c r="GSX157"/>
      <c r="GSY157"/>
      <c r="GSZ157"/>
      <c r="GTA157"/>
      <c r="GTB157"/>
      <c r="GTC157"/>
      <c r="GTD157"/>
      <c r="GTE157"/>
      <c r="GTF157"/>
      <c r="GTG157"/>
      <c r="GTH157"/>
      <c r="GTI157"/>
      <c r="GTJ157"/>
      <c r="GTK157"/>
      <c r="GTL157"/>
      <c r="GTM157"/>
      <c r="GTN157"/>
      <c r="GTO157"/>
      <c r="GTP157"/>
      <c r="GTQ157"/>
      <c r="GTR157"/>
      <c r="GTS157"/>
      <c r="GTT157"/>
      <c r="GTU157"/>
      <c r="GTV157"/>
      <c r="GTW157"/>
      <c r="GTX157"/>
      <c r="GTY157"/>
      <c r="GTZ157"/>
      <c r="GUA157"/>
      <c r="GUB157"/>
      <c r="GUC157"/>
      <c r="GUD157"/>
      <c r="GUE157"/>
      <c r="GUF157"/>
      <c r="GUG157"/>
      <c r="GUH157"/>
      <c r="GUI157"/>
      <c r="GUJ157"/>
      <c r="GUK157"/>
      <c r="GUL157"/>
      <c r="GUM157"/>
      <c r="GUN157"/>
      <c r="GUO157"/>
      <c r="GUP157"/>
      <c r="GUQ157"/>
      <c r="GUR157"/>
      <c r="GUS157"/>
      <c r="GUT157"/>
      <c r="GUU157"/>
      <c r="GUV157"/>
      <c r="GUW157"/>
      <c r="GUX157"/>
      <c r="GUY157"/>
      <c r="GUZ157"/>
      <c r="GVA157"/>
      <c r="GVB157"/>
      <c r="GVC157"/>
      <c r="GVD157"/>
      <c r="GVE157"/>
      <c r="GVF157"/>
      <c r="GVG157"/>
      <c r="GVH157"/>
      <c r="GVI157"/>
      <c r="GVJ157"/>
      <c r="GVK157"/>
      <c r="GVL157"/>
      <c r="GVM157"/>
      <c r="GVN157"/>
      <c r="GVO157"/>
      <c r="GVP157"/>
      <c r="GVQ157"/>
      <c r="GVR157"/>
      <c r="GVS157"/>
      <c r="GVT157"/>
      <c r="GVU157"/>
      <c r="GVV157"/>
      <c r="GVW157"/>
      <c r="GVX157"/>
      <c r="GVY157"/>
      <c r="GVZ157"/>
      <c r="GWA157"/>
      <c r="GWB157"/>
      <c r="GWC157"/>
      <c r="GWD157"/>
      <c r="GWE157"/>
      <c r="GWF157"/>
      <c r="GWG157"/>
      <c r="GWH157"/>
      <c r="GWI157"/>
      <c r="GWJ157"/>
      <c r="GWK157"/>
      <c r="GWL157"/>
      <c r="GWM157"/>
      <c r="GWN157"/>
      <c r="GWO157"/>
      <c r="GWP157"/>
      <c r="GWQ157"/>
      <c r="GWR157"/>
      <c r="GWS157"/>
      <c r="GWT157"/>
      <c r="GWU157"/>
      <c r="GWV157"/>
      <c r="GWW157"/>
      <c r="GWX157"/>
      <c r="GWY157"/>
      <c r="GWZ157"/>
      <c r="GXA157"/>
      <c r="GXB157"/>
      <c r="GXC157"/>
      <c r="GXD157"/>
      <c r="GXE157"/>
      <c r="GXF157"/>
      <c r="GXG157"/>
      <c r="GXH157"/>
      <c r="GXI157"/>
      <c r="GXJ157"/>
      <c r="GXK157"/>
      <c r="GXL157"/>
      <c r="GXM157"/>
      <c r="GXN157"/>
      <c r="GXO157"/>
      <c r="GXP157"/>
      <c r="GXQ157"/>
      <c r="GXR157"/>
      <c r="GXS157"/>
      <c r="GXT157"/>
      <c r="GXU157"/>
      <c r="GXV157"/>
      <c r="GXW157"/>
      <c r="GXX157"/>
      <c r="GXY157"/>
      <c r="GXZ157"/>
      <c r="GYA157"/>
      <c r="GYB157"/>
      <c r="GYC157"/>
      <c r="GYD157"/>
      <c r="GYE157"/>
      <c r="GYF157"/>
      <c r="GYG157"/>
      <c r="GYH157"/>
      <c r="GYI157"/>
      <c r="GYJ157"/>
      <c r="GYK157"/>
      <c r="GYL157"/>
      <c r="GYM157"/>
      <c r="GYN157"/>
      <c r="GYO157"/>
      <c r="GYP157"/>
      <c r="GYQ157"/>
      <c r="GYR157"/>
      <c r="GYS157"/>
      <c r="GYT157"/>
      <c r="GYU157"/>
      <c r="GYV157"/>
      <c r="GYW157"/>
      <c r="GYX157"/>
      <c r="GYY157"/>
      <c r="GYZ157"/>
      <c r="GZA157"/>
      <c r="GZB157"/>
      <c r="GZC157"/>
      <c r="GZD157"/>
      <c r="GZE157"/>
      <c r="GZF157"/>
      <c r="GZG157"/>
      <c r="GZH157"/>
      <c r="GZI157"/>
      <c r="GZJ157"/>
      <c r="GZK157"/>
      <c r="GZL157"/>
      <c r="GZM157"/>
      <c r="GZN157"/>
      <c r="GZO157"/>
      <c r="GZP157"/>
      <c r="GZQ157"/>
      <c r="GZR157"/>
      <c r="GZS157"/>
      <c r="GZT157"/>
      <c r="GZU157"/>
      <c r="GZV157"/>
      <c r="GZW157"/>
      <c r="GZX157"/>
      <c r="GZY157"/>
      <c r="GZZ157"/>
      <c r="HAA157"/>
      <c r="HAB157"/>
      <c r="HAC157"/>
      <c r="HAD157"/>
      <c r="HAE157"/>
      <c r="HAF157"/>
      <c r="HAG157"/>
      <c r="HAH157"/>
      <c r="HAI157"/>
      <c r="HAJ157"/>
      <c r="HAK157"/>
      <c r="HAL157"/>
      <c r="HAM157"/>
      <c r="HAN157"/>
      <c r="HAO157"/>
      <c r="HAP157"/>
      <c r="HAQ157"/>
      <c r="HAR157"/>
      <c r="HAS157"/>
      <c r="HAT157"/>
      <c r="HAU157"/>
      <c r="HAV157"/>
      <c r="HAW157"/>
      <c r="HAX157"/>
      <c r="HAY157"/>
      <c r="HAZ157"/>
      <c r="HBA157"/>
      <c r="HBB157"/>
      <c r="HBC157"/>
      <c r="HBD157"/>
      <c r="HBE157"/>
      <c r="HBF157"/>
      <c r="HBG157"/>
      <c r="HBH157"/>
      <c r="HBI157"/>
      <c r="HBJ157"/>
      <c r="HBK157"/>
      <c r="HBL157"/>
      <c r="HBM157"/>
      <c r="HBN157"/>
      <c r="HBO157"/>
      <c r="HBP157"/>
      <c r="HBQ157"/>
      <c r="HBR157"/>
      <c r="HBS157"/>
      <c r="HBT157"/>
      <c r="HBU157"/>
      <c r="HBV157"/>
      <c r="HBW157"/>
      <c r="HBX157"/>
      <c r="HBY157"/>
      <c r="HBZ157"/>
      <c r="HCA157"/>
      <c r="HCB157"/>
      <c r="HCC157"/>
      <c r="HCD157"/>
      <c r="HCE157"/>
      <c r="HCF157"/>
      <c r="HCG157"/>
      <c r="HCH157"/>
      <c r="HCI157"/>
      <c r="HCJ157"/>
      <c r="HCK157"/>
      <c r="HCL157"/>
      <c r="HCM157"/>
      <c r="HCN157"/>
      <c r="HCO157"/>
      <c r="HCP157"/>
      <c r="HCQ157"/>
      <c r="HCR157"/>
      <c r="HCS157"/>
      <c r="HCT157"/>
      <c r="HCU157"/>
      <c r="HCV157"/>
      <c r="HCW157"/>
      <c r="HCX157"/>
      <c r="HCY157"/>
      <c r="HCZ157"/>
      <c r="HDA157"/>
      <c r="HDB157"/>
      <c r="HDC157"/>
      <c r="HDD157"/>
      <c r="HDE157"/>
      <c r="HDF157"/>
      <c r="HDG157"/>
      <c r="HDH157"/>
      <c r="HDI157"/>
      <c r="HDJ157"/>
      <c r="HDK157"/>
      <c r="HDL157"/>
      <c r="HDM157"/>
      <c r="HDN157"/>
      <c r="HDO157"/>
      <c r="HDP157"/>
      <c r="HDQ157"/>
      <c r="HDR157"/>
      <c r="HDS157"/>
      <c r="HDT157"/>
      <c r="HDU157"/>
      <c r="HDV157"/>
      <c r="HDW157"/>
      <c r="HDX157"/>
      <c r="HDY157"/>
      <c r="HDZ157"/>
      <c r="HEA157"/>
      <c r="HEB157"/>
      <c r="HEC157"/>
      <c r="HED157"/>
      <c r="HEE157"/>
      <c r="HEF157"/>
      <c r="HEG157"/>
      <c r="HEH157"/>
      <c r="HEI157"/>
      <c r="HEJ157"/>
      <c r="HEK157"/>
      <c r="HEL157"/>
      <c r="HEM157"/>
      <c r="HEN157"/>
      <c r="HEO157"/>
      <c r="HEP157"/>
      <c r="HEQ157"/>
      <c r="HER157"/>
      <c r="HES157"/>
      <c r="HET157"/>
      <c r="HEU157"/>
      <c r="HEV157"/>
      <c r="HEW157"/>
      <c r="HEX157"/>
      <c r="HEY157"/>
      <c r="HEZ157"/>
      <c r="HFA157"/>
      <c r="HFB157"/>
      <c r="HFC157"/>
      <c r="HFD157"/>
      <c r="HFE157"/>
      <c r="HFF157"/>
      <c r="HFG157"/>
      <c r="HFH157"/>
      <c r="HFI157"/>
      <c r="HFJ157"/>
      <c r="HFK157"/>
      <c r="HFL157"/>
      <c r="HFM157"/>
      <c r="HFN157"/>
      <c r="HFO157"/>
      <c r="HFP157"/>
      <c r="HFQ157"/>
      <c r="HFR157"/>
      <c r="HFS157"/>
      <c r="HFT157"/>
      <c r="HFU157"/>
      <c r="HFV157"/>
      <c r="HFW157"/>
      <c r="HFX157"/>
      <c r="HFY157"/>
      <c r="HFZ157"/>
      <c r="HGA157"/>
      <c r="HGB157"/>
      <c r="HGC157"/>
      <c r="HGD157"/>
      <c r="HGE157"/>
      <c r="HGF157"/>
      <c r="HGG157"/>
      <c r="HGH157"/>
      <c r="HGI157"/>
      <c r="HGJ157"/>
      <c r="HGK157"/>
      <c r="HGL157"/>
      <c r="HGM157"/>
      <c r="HGN157"/>
      <c r="HGO157"/>
      <c r="HGP157"/>
      <c r="HGQ157"/>
      <c r="HGR157"/>
      <c r="HGS157"/>
      <c r="HGT157"/>
      <c r="HGU157"/>
      <c r="HGV157"/>
      <c r="HGW157"/>
      <c r="HGX157"/>
      <c r="HGY157"/>
      <c r="HGZ157"/>
      <c r="HHA157"/>
      <c r="HHB157"/>
      <c r="HHC157"/>
      <c r="HHD157"/>
      <c r="HHE157"/>
      <c r="HHF157"/>
      <c r="HHG157"/>
      <c r="HHH157"/>
      <c r="HHI157"/>
      <c r="HHJ157"/>
      <c r="HHK157"/>
      <c r="HHL157"/>
      <c r="HHM157"/>
      <c r="HHN157"/>
      <c r="HHO157"/>
      <c r="HHP157"/>
      <c r="HHQ157"/>
      <c r="HHR157"/>
      <c r="HHS157"/>
      <c r="HHT157"/>
      <c r="HHU157"/>
      <c r="HHV157"/>
      <c r="HHW157"/>
      <c r="HHX157"/>
      <c r="HHY157"/>
      <c r="HHZ157"/>
      <c r="HIA157"/>
      <c r="HIB157"/>
      <c r="HIC157"/>
      <c r="HID157"/>
      <c r="HIE157"/>
      <c r="HIF157"/>
      <c r="HIG157"/>
      <c r="HIH157"/>
      <c r="HII157"/>
      <c r="HIJ157"/>
      <c r="HIK157"/>
      <c r="HIL157"/>
      <c r="HIM157"/>
      <c r="HIN157"/>
      <c r="HIO157"/>
      <c r="HIP157"/>
      <c r="HIQ157"/>
      <c r="HIR157"/>
      <c r="HIS157"/>
      <c r="HIT157"/>
      <c r="HIU157"/>
      <c r="HIV157"/>
      <c r="HIW157"/>
      <c r="HIX157"/>
      <c r="HIY157"/>
      <c r="HIZ157"/>
      <c r="HJA157"/>
      <c r="HJB157"/>
      <c r="HJC157"/>
      <c r="HJD157"/>
      <c r="HJE157"/>
      <c r="HJF157"/>
      <c r="HJG157"/>
      <c r="HJH157"/>
      <c r="HJI157"/>
      <c r="HJJ157"/>
      <c r="HJK157"/>
      <c r="HJL157"/>
      <c r="HJM157"/>
      <c r="HJN157"/>
      <c r="HJO157"/>
      <c r="HJP157"/>
      <c r="HJQ157"/>
      <c r="HJR157"/>
      <c r="HJS157"/>
      <c r="HJT157"/>
      <c r="HJU157"/>
      <c r="HJV157"/>
      <c r="HJW157"/>
      <c r="HJX157"/>
      <c r="HJY157"/>
      <c r="HJZ157"/>
      <c r="HKA157"/>
      <c r="HKB157"/>
      <c r="HKC157"/>
      <c r="HKD157"/>
      <c r="HKE157"/>
      <c r="HKF157"/>
      <c r="HKG157"/>
      <c r="HKH157"/>
      <c r="HKI157"/>
      <c r="HKJ157"/>
      <c r="HKK157"/>
      <c r="HKL157"/>
      <c r="HKM157"/>
      <c r="HKN157"/>
      <c r="HKO157"/>
      <c r="HKP157"/>
      <c r="HKQ157"/>
      <c r="HKR157"/>
      <c r="HKS157"/>
      <c r="HKT157"/>
      <c r="HKU157"/>
      <c r="HKV157"/>
      <c r="HKW157"/>
      <c r="HKX157"/>
      <c r="HKY157"/>
      <c r="HKZ157"/>
      <c r="HLA157"/>
      <c r="HLB157"/>
      <c r="HLC157"/>
      <c r="HLD157"/>
      <c r="HLE157"/>
      <c r="HLF157"/>
      <c r="HLG157"/>
      <c r="HLH157"/>
      <c r="HLI157"/>
      <c r="HLJ157"/>
      <c r="HLK157"/>
      <c r="HLL157"/>
      <c r="HLM157"/>
      <c r="HLN157"/>
      <c r="HLO157"/>
      <c r="HLP157"/>
      <c r="HLQ157"/>
      <c r="HLR157"/>
      <c r="HLS157"/>
      <c r="HLT157"/>
      <c r="HLU157"/>
      <c r="HLV157"/>
      <c r="HLW157"/>
      <c r="HLX157"/>
      <c r="HLY157"/>
      <c r="HLZ157"/>
      <c r="HMA157"/>
      <c r="HMB157"/>
      <c r="HMC157"/>
      <c r="HMD157"/>
      <c r="HME157"/>
      <c r="HMF157"/>
      <c r="HMG157"/>
      <c r="HMH157"/>
      <c r="HMI157"/>
      <c r="HMJ157"/>
      <c r="HMK157"/>
      <c r="HML157"/>
      <c r="HMM157"/>
      <c r="HMN157"/>
      <c r="HMO157"/>
      <c r="HMP157"/>
      <c r="HMQ157"/>
      <c r="HMR157"/>
      <c r="HMS157"/>
      <c r="HMT157"/>
      <c r="HMU157"/>
      <c r="HMV157"/>
      <c r="HMW157"/>
      <c r="HMX157"/>
      <c r="HMY157"/>
      <c r="HMZ157"/>
      <c r="HNA157"/>
      <c r="HNB157"/>
      <c r="HNC157"/>
      <c r="HND157"/>
      <c r="HNE157"/>
      <c r="HNF157"/>
      <c r="HNG157"/>
      <c r="HNH157"/>
      <c r="HNI157"/>
      <c r="HNJ157"/>
      <c r="HNK157"/>
      <c r="HNL157"/>
      <c r="HNM157"/>
      <c r="HNN157"/>
      <c r="HNO157"/>
      <c r="HNP157"/>
      <c r="HNQ157"/>
      <c r="HNR157"/>
      <c r="HNS157"/>
      <c r="HNT157"/>
      <c r="HNU157"/>
      <c r="HNV157"/>
      <c r="HNW157"/>
      <c r="HNX157"/>
      <c r="HNY157"/>
      <c r="HNZ157"/>
      <c r="HOA157"/>
      <c r="HOB157"/>
      <c r="HOC157"/>
      <c r="HOD157"/>
      <c r="HOE157"/>
      <c r="HOF157"/>
      <c r="HOG157"/>
      <c r="HOH157"/>
      <c r="HOI157"/>
      <c r="HOJ157"/>
      <c r="HOK157"/>
      <c r="HOL157"/>
      <c r="HOM157"/>
      <c r="HON157"/>
      <c r="HOO157"/>
      <c r="HOP157"/>
      <c r="HOQ157"/>
      <c r="HOR157"/>
      <c r="HOS157"/>
      <c r="HOT157"/>
      <c r="HOU157"/>
      <c r="HOV157"/>
      <c r="HOW157"/>
      <c r="HOX157"/>
      <c r="HOY157"/>
      <c r="HOZ157"/>
      <c r="HPA157"/>
      <c r="HPB157"/>
      <c r="HPC157"/>
      <c r="HPD157"/>
      <c r="HPE157"/>
      <c r="HPF157"/>
      <c r="HPG157"/>
      <c r="HPH157"/>
      <c r="HPI157"/>
      <c r="HPJ157"/>
      <c r="HPK157"/>
      <c r="HPL157"/>
      <c r="HPM157"/>
      <c r="HPN157"/>
      <c r="HPO157"/>
      <c r="HPP157"/>
      <c r="HPQ157"/>
      <c r="HPR157"/>
      <c r="HPS157"/>
      <c r="HPT157"/>
      <c r="HPU157"/>
      <c r="HPV157"/>
      <c r="HPW157"/>
      <c r="HPX157"/>
      <c r="HPY157"/>
      <c r="HPZ157"/>
      <c r="HQA157"/>
      <c r="HQB157"/>
      <c r="HQC157"/>
      <c r="HQD157"/>
      <c r="HQE157"/>
      <c r="HQF157"/>
      <c r="HQG157"/>
      <c r="HQH157"/>
      <c r="HQI157"/>
      <c r="HQJ157"/>
      <c r="HQK157"/>
      <c r="HQL157"/>
      <c r="HQM157"/>
      <c r="HQN157"/>
      <c r="HQO157"/>
      <c r="HQP157"/>
      <c r="HQQ157"/>
      <c r="HQR157"/>
      <c r="HQS157"/>
      <c r="HQT157"/>
      <c r="HQU157"/>
      <c r="HQV157"/>
      <c r="HQW157"/>
      <c r="HQX157"/>
      <c r="HQY157"/>
      <c r="HQZ157"/>
      <c r="HRA157"/>
      <c r="HRB157"/>
      <c r="HRC157"/>
      <c r="HRD157"/>
      <c r="HRE157"/>
      <c r="HRF157"/>
      <c r="HRG157"/>
      <c r="HRH157"/>
      <c r="HRI157"/>
      <c r="HRJ157"/>
      <c r="HRK157"/>
      <c r="HRL157"/>
      <c r="HRM157"/>
      <c r="HRN157"/>
      <c r="HRO157"/>
      <c r="HRP157"/>
      <c r="HRQ157"/>
      <c r="HRR157"/>
      <c r="HRS157"/>
      <c r="HRT157"/>
      <c r="HRU157"/>
      <c r="HRV157"/>
      <c r="HRW157"/>
      <c r="HRX157"/>
      <c r="HRY157"/>
      <c r="HRZ157"/>
      <c r="HSA157"/>
      <c r="HSB157"/>
      <c r="HSC157"/>
      <c r="HSD157"/>
      <c r="HSE157"/>
      <c r="HSF157"/>
      <c r="HSG157"/>
      <c r="HSH157"/>
      <c r="HSI157"/>
      <c r="HSJ157"/>
      <c r="HSK157"/>
      <c r="HSL157"/>
      <c r="HSM157"/>
      <c r="HSN157"/>
      <c r="HSO157"/>
      <c r="HSP157"/>
      <c r="HSQ157"/>
      <c r="HSR157"/>
      <c r="HSS157"/>
      <c r="HST157"/>
      <c r="HSU157"/>
      <c r="HSV157"/>
      <c r="HSW157"/>
      <c r="HSX157"/>
      <c r="HSY157"/>
      <c r="HSZ157"/>
      <c r="HTA157"/>
      <c r="HTB157"/>
      <c r="HTC157"/>
      <c r="HTD157"/>
      <c r="HTE157"/>
      <c r="HTF157"/>
      <c r="HTG157"/>
      <c r="HTH157"/>
      <c r="HTI157"/>
      <c r="HTJ157"/>
      <c r="HTK157"/>
      <c r="HTL157"/>
      <c r="HTM157"/>
      <c r="HTN157"/>
      <c r="HTO157"/>
      <c r="HTP157"/>
      <c r="HTQ157"/>
      <c r="HTR157"/>
      <c r="HTS157"/>
      <c r="HTT157"/>
      <c r="HTU157"/>
      <c r="HTV157"/>
      <c r="HTW157"/>
      <c r="HTX157"/>
      <c r="HTY157"/>
      <c r="HTZ157"/>
      <c r="HUA157"/>
      <c r="HUB157"/>
      <c r="HUC157"/>
      <c r="HUD157"/>
      <c r="HUE157"/>
      <c r="HUF157"/>
      <c r="HUG157"/>
      <c r="HUH157"/>
      <c r="HUI157"/>
      <c r="HUJ157"/>
      <c r="HUK157"/>
      <c r="HUL157"/>
      <c r="HUM157"/>
      <c r="HUN157"/>
      <c r="HUO157"/>
      <c r="HUP157"/>
      <c r="HUQ157"/>
      <c r="HUR157"/>
      <c r="HUS157"/>
      <c r="HUT157"/>
      <c r="HUU157"/>
      <c r="HUV157"/>
      <c r="HUW157"/>
      <c r="HUX157"/>
      <c r="HUY157"/>
      <c r="HUZ157"/>
      <c r="HVA157"/>
      <c r="HVB157"/>
      <c r="HVC157"/>
      <c r="HVD157"/>
      <c r="HVE157"/>
      <c r="HVF157"/>
      <c r="HVG157"/>
      <c r="HVH157"/>
      <c r="HVI157"/>
      <c r="HVJ157"/>
      <c r="HVK157"/>
      <c r="HVL157"/>
      <c r="HVM157"/>
      <c r="HVN157"/>
      <c r="HVO157"/>
      <c r="HVP157"/>
      <c r="HVQ157"/>
      <c r="HVR157"/>
      <c r="HVS157"/>
      <c r="HVT157"/>
      <c r="HVU157"/>
      <c r="HVV157"/>
      <c r="HVW157"/>
      <c r="HVX157"/>
      <c r="HVY157"/>
      <c r="HVZ157"/>
      <c r="HWA157"/>
      <c r="HWB157"/>
      <c r="HWC157"/>
      <c r="HWD157"/>
      <c r="HWE157"/>
      <c r="HWF157"/>
      <c r="HWG157"/>
      <c r="HWH157"/>
      <c r="HWI157"/>
      <c r="HWJ157"/>
      <c r="HWK157"/>
      <c r="HWL157"/>
      <c r="HWM157"/>
      <c r="HWN157"/>
      <c r="HWO157"/>
      <c r="HWP157"/>
      <c r="HWQ157"/>
      <c r="HWR157"/>
      <c r="HWS157"/>
      <c r="HWT157"/>
      <c r="HWU157"/>
      <c r="HWV157"/>
      <c r="HWW157"/>
      <c r="HWX157"/>
      <c r="HWY157"/>
      <c r="HWZ157"/>
      <c r="HXA157"/>
      <c r="HXB157"/>
      <c r="HXC157"/>
      <c r="HXD157"/>
      <c r="HXE157"/>
      <c r="HXF157"/>
      <c r="HXG157"/>
      <c r="HXH157"/>
      <c r="HXI157"/>
      <c r="HXJ157"/>
      <c r="HXK157"/>
      <c r="HXL157"/>
      <c r="HXM157"/>
      <c r="HXN157"/>
      <c r="HXO157"/>
      <c r="HXP157"/>
      <c r="HXQ157"/>
      <c r="HXR157"/>
      <c r="HXS157"/>
      <c r="HXT157"/>
      <c r="HXU157"/>
      <c r="HXV157"/>
      <c r="HXW157"/>
      <c r="HXX157"/>
      <c r="HXY157"/>
      <c r="HXZ157"/>
      <c r="HYA157"/>
      <c r="HYB157"/>
      <c r="HYC157"/>
      <c r="HYD157"/>
      <c r="HYE157"/>
      <c r="HYF157"/>
      <c r="HYG157"/>
      <c r="HYH157"/>
      <c r="HYI157"/>
      <c r="HYJ157"/>
      <c r="HYK157"/>
      <c r="HYL157"/>
      <c r="HYM157"/>
      <c r="HYN157"/>
      <c r="HYO157"/>
      <c r="HYP157"/>
      <c r="HYQ157"/>
      <c r="HYR157"/>
      <c r="HYS157"/>
      <c r="HYT157"/>
      <c r="HYU157"/>
      <c r="HYV157"/>
      <c r="HYW157"/>
      <c r="HYX157"/>
      <c r="HYY157"/>
      <c r="HYZ157"/>
      <c r="HZA157"/>
      <c r="HZB157"/>
      <c r="HZC157"/>
      <c r="HZD157"/>
      <c r="HZE157"/>
      <c r="HZF157"/>
      <c r="HZG157"/>
      <c r="HZH157"/>
      <c r="HZI157"/>
      <c r="HZJ157"/>
      <c r="HZK157"/>
      <c r="HZL157"/>
      <c r="HZM157"/>
      <c r="HZN157"/>
      <c r="HZO157"/>
      <c r="HZP157"/>
      <c r="HZQ157"/>
      <c r="HZR157"/>
      <c r="HZS157"/>
      <c r="HZT157"/>
      <c r="HZU157"/>
      <c r="HZV157"/>
      <c r="HZW157"/>
      <c r="HZX157"/>
      <c r="HZY157"/>
      <c r="HZZ157"/>
      <c r="IAA157"/>
      <c r="IAB157"/>
      <c r="IAC157"/>
      <c r="IAD157"/>
      <c r="IAE157"/>
      <c r="IAF157"/>
      <c r="IAG157"/>
      <c r="IAH157"/>
      <c r="IAI157"/>
      <c r="IAJ157"/>
      <c r="IAK157"/>
      <c r="IAL157"/>
      <c r="IAM157"/>
      <c r="IAN157"/>
      <c r="IAO157"/>
      <c r="IAP157"/>
      <c r="IAQ157"/>
      <c r="IAR157"/>
      <c r="IAS157"/>
      <c r="IAT157"/>
      <c r="IAU157"/>
      <c r="IAV157"/>
      <c r="IAW157"/>
      <c r="IAX157"/>
      <c r="IAY157"/>
      <c r="IAZ157"/>
      <c r="IBA157"/>
      <c r="IBB157"/>
      <c r="IBC157"/>
      <c r="IBD157"/>
      <c r="IBE157"/>
      <c r="IBF157"/>
      <c r="IBG157"/>
      <c r="IBH157"/>
      <c r="IBI157"/>
      <c r="IBJ157"/>
      <c r="IBK157"/>
      <c r="IBL157"/>
      <c r="IBM157"/>
      <c r="IBN157"/>
      <c r="IBO157"/>
      <c r="IBP157"/>
      <c r="IBQ157"/>
      <c r="IBR157"/>
      <c r="IBS157"/>
      <c r="IBT157"/>
      <c r="IBU157"/>
      <c r="IBV157"/>
      <c r="IBW157"/>
      <c r="IBX157"/>
      <c r="IBY157"/>
      <c r="IBZ157"/>
      <c r="ICA157"/>
      <c r="ICB157"/>
      <c r="ICC157"/>
      <c r="ICD157"/>
      <c r="ICE157"/>
      <c r="ICF157"/>
      <c r="ICG157"/>
      <c r="ICH157"/>
      <c r="ICI157"/>
      <c r="ICJ157"/>
      <c r="ICK157"/>
      <c r="ICL157"/>
      <c r="ICM157"/>
      <c r="ICN157"/>
      <c r="ICO157"/>
      <c r="ICP157"/>
      <c r="ICQ157"/>
      <c r="ICR157"/>
      <c r="ICS157"/>
      <c r="ICT157"/>
      <c r="ICU157"/>
      <c r="ICV157"/>
      <c r="ICW157"/>
      <c r="ICX157"/>
      <c r="ICY157"/>
      <c r="ICZ157"/>
      <c r="IDA157"/>
      <c r="IDB157"/>
      <c r="IDC157"/>
      <c r="IDD157"/>
      <c r="IDE157"/>
      <c r="IDF157"/>
      <c r="IDG157"/>
      <c r="IDH157"/>
      <c r="IDI157"/>
      <c r="IDJ157"/>
      <c r="IDK157"/>
      <c r="IDL157"/>
      <c r="IDM157"/>
      <c r="IDN157"/>
      <c r="IDO157"/>
      <c r="IDP157"/>
      <c r="IDQ157"/>
      <c r="IDR157"/>
      <c r="IDS157"/>
      <c r="IDT157"/>
      <c r="IDU157"/>
      <c r="IDV157"/>
      <c r="IDW157"/>
      <c r="IDX157"/>
      <c r="IDY157"/>
      <c r="IDZ157"/>
      <c r="IEA157"/>
      <c r="IEB157"/>
      <c r="IEC157"/>
      <c r="IED157"/>
      <c r="IEE157"/>
      <c r="IEF157"/>
      <c r="IEG157"/>
      <c r="IEH157"/>
      <c r="IEI157"/>
      <c r="IEJ157"/>
      <c r="IEK157"/>
      <c r="IEL157"/>
      <c r="IEM157"/>
      <c r="IEN157"/>
      <c r="IEO157"/>
      <c r="IEP157"/>
      <c r="IEQ157"/>
      <c r="IER157"/>
      <c r="IES157"/>
      <c r="IET157"/>
      <c r="IEU157"/>
      <c r="IEV157"/>
      <c r="IEW157"/>
      <c r="IEX157"/>
      <c r="IEY157"/>
      <c r="IEZ157"/>
      <c r="IFA157"/>
      <c r="IFB157"/>
      <c r="IFC157"/>
      <c r="IFD157"/>
      <c r="IFE157"/>
      <c r="IFF157"/>
      <c r="IFG157"/>
      <c r="IFH157"/>
      <c r="IFI157"/>
      <c r="IFJ157"/>
      <c r="IFK157"/>
      <c r="IFL157"/>
      <c r="IFM157"/>
      <c r="IFN157"/>
      <c r="IFO157"/>
      <c r="IFP157"/>
      <c r="IFQ157"/>
      <c r="IFR157"/>
      <c r="IFS157"/>
      <c r="IFT157"/>
      <c r="IFU157"/>
      <c r="IFV157"/>
      <c r="IFW157"/>
      <c r="IFX157"/>
      <c r="IFY157"/>
      <c r="IFZ157"/>
      <c r="IGA157"/>
      <c r="IGB157"/>
      <c r="IGC157"/>
      <c r="IGD157"/>
      <c r="IGE157"/>
      <c r="IGF157"/>
      <c r="IGG157"/>
      <c r="IGH157"/>
      <c r="IGI157"/>
      <c r="IGJ157"/>
      <c r="IGK157"/>
      <c r="IGL157"/>
      <c r="IGM157"/>
      <c r="IGN157"/>
      <c r="IGO157"/>
      <c r="IGP157"/>
      <c r="IGQ157"/>
      <c r="IGR157"/>
      <c r="IGS157"/>
      <c r="IGT157"/>
      <c r="IGU157"/>
      <c r="IGV157"/>
      <c r="IGW157"/>
      <c r="IGX157"/>
      <c r="IGY157"/>
      <c r="IGZ157"/>
      <c r="IHA157"/>
      <c r="IHB157"/>
      <c r="IHC157"/>
      <c r="IHD157"/>
      <c r="IHE157"/>
      <c r="IHF157"/>
      <c r="IHG157"/>
      <c r="IHH157"/>
      <c r="IHI157"/>
      <c r="IHJ157"/>
      <c r="IHK157"/>
      <c r="IHL157"/>
      <c r="IHM157"/>
      <c r="IHN157"/>
      <c r="IHO157"/>
      <c r="IHP157"/>
      <c r="IHQ157"/>
      <c r="IHR157"/>
      <c r="IHS157"/>
      <c r="IHT157"/>
      <c r="IHU157"/>
      <c r="IHV157"/>
      <c r="IHW157"/>
      <c r="IHX157"/>
      <c r="IHY157"/>
      <c r="IHZ157"/>
      <c r="IIA157"/>
      <c r="IIB157"/>
      <c r="IIC157"/>
      <c r="IID157"/>
      <c r="IIE157"/>
      <c r="IIF157"/>
      <c r="IIG157"/>
      <c r="IIH157"/>
      <c r="III157"/>
      <c r="IIJ157"/>
      <c r="IIK157"/>
      <c r="IIL157"/>
      <c r="IIM157"/>
      <c r="IIN157"/>
      <c r="IIO157"/>
      <c r="IIP157"/>
      <c r="IIQ157"/>
      <c r="IIR157"/>
      <c r="IIS157"/>
      <c r="IIT157"/>
      <c r="IIU157"/>
      <c r="IIV157"/>
      <c r="IIW157"/>
      <c r="IIX157"/>
      <c r="IIY157"/>
      <c r="IIZ157"/>
      <c r="IJA157"/>
      <c r="IJB157"/>
      <c r="IJC157"/>
      <c r="IJD157"/>
      <c r="IJE157"/>
      <c r="IJF157"/>
      <c r="IJG157"/>
      <c r="IJH157"/>
      <c r="IJI157"/>
      <c r="IJJ157"/>
      <c r="IJK157"/>
      <c r="IJL157"/>
      <c r="IJM157"/>
      <c r="IJN157"/>
      <c r="IJO157"/>
      <c r="IJP157"/>
      <c r="IJQ157"/>
      <c r="IJR157"/>
      <c r="IJS157"/>
      <c r="IJT157"/>
      <c r="IJU157"/>
      <c r="IJV157"/>
      <c r="IJW157"/>
      <c r="IJX157"/>
      <c r="IJY157"/>
      <c r="IJZ157"/>
      <c r="IKA157"/>
      <c r="IKB157"/>
      <c r="IKC157"/>
      <c r="IKD157"/>
      <c r="IKE157"/>
      <c r="IKF157"/>
      <c r="IKG157"/>
      <c r="IKH157"/>
      <c r="IKI157"/>
      <c r="IKJ157"/>
      <c r="IKK157"/>
      <c r="IKL157"/>
      <c r="IKM157"/>
      <c r="IKN157"/>
      <c r="IKO157"/>
      <c r="IKP157"/>
      <c r="IKQ157"/>
      <c r="IKR157"/>
      <c r="IKS157"/>
      <c r="IKT157"/>
      <c r="IKU157"/>
      <c r="IKV157"/>
      <c r="IKW157"/>
      <c r="IKX157"/>
      <c r="IKY157"/>
      <c r="IKZ157"/>
      <c r="ILA157"/>
      <c r="ILB157"/>
      <c r="ILC157"/>
      <c r="ILD157"/>
      <c r="ILE157"/>
      <c r="ILF157"/>
      <c r="ILG157"/>
      <c r="ILH157"/>
      <c r="ILI157"/>
      <c r="ILJ157"/>
      <c r="ILK157"/>
      <c r="ILL157"/>
      <c r="ILM157"/>
      <c r="ILN157"/>
      <c r="ILO157"/>
      <c r="ILP157"/>
      <c r="ILQ157"/>
      <c r="ILR157"/>
      <c r="ILS157"/>
      <c r="ILT157"/>
      <c r="ILU157"/>
      <c r="ILV157"/>
      <c r="ILW157"/>
      <c r="ILX157"/>
      <c r="ILY157"/>
      <c r="ILZ157"/>
      <c r="IMA157"/>
      <c r="IMB157"/>
      <c r="IMC157"/>
      <c r="IMD157"/>
      <c r="IME157"/>
      <c r="IMF157"/>
      <c r="IMG157"/>
      <c r="IMH157"/>
      <c r="IMI157"/>
      <c r="IMJ157"/>
      <c r="IMK157"/>
      <c r="IML157"/>
      <c r="IMM157"/>
      <c r="IMN157"/>
      <c r="IMO157"/>
      <c r="IMP157"/>
      <c r="IMQ157"/>
      <c r="IMR157"/>
      <c r="IMS157"/>
      <c r="IMT157"/>
      <c r="IMU157"/>
      <c r="IMV157"/>
      <c r="IMW157"/>
      <c r="IMX157"/>
      <c r="IMY157"/>
      <c r="IMZ157"/>
      <c r="INA157"/>
      <c r="INB157"/>
      <c r="INC157"/>
      <c r="IND157"/>
      <c r="INE157"/>
      <c r="INF157"/>
      <c r="ING157"/>
      <c r="INH157"/>
      <c r="INI157"/>
      <c r="INJ157"/>
      <c r="INK157"/>
      <c r="INL157"/>
      <c r="INM157"/>
      <c r="INN157"/>
      <c r="INO157"/>
      <c r="INP157"/>
      <c r="INQ157"/>
      <c r="INR157"/>
      <c r="INS157"/>
      <c r="INT157"/>
      <c r="INU157"/>
      <c r="INV157"/>
      <c r="INW157"/>
      <c r="INX157"/>
      <c r="INY157"/>
      <c r="INZ157"/>
      <c r="IOA157"/>
      <c r="IOB157"/>
      <c r="IOC157"/>
      <c r="IOD157"/>
      <c r="IOE157"/>
      <c r="IOF157"/>
      <c r="IOG157"/>
      <c r="IOH157"/>
      <c r="IOI157"/>
      <c r="IOJ157"/>
      <c r="IOK157"/>
      <c r="IOL157"/>
      <c r="IOM157"/>
      <c r="ION157"/>
      <c r="IOO157"/>
      <c r="IOP157"/>
      <c r="IOQ157"/>
      <c r="IOR157"/>
      <c r="IOS157"/>
      <c r="IOT157"/>
      <c r="IOU157"/>
      <c r="IOV157"/>
      <c r="IOW157"/>
      <c r="IOX157"/>
      <c r="IOY157"/>
      <c r="IOZ157"/>
      <c r="IPA157"/>
      <c r="IPB157"/>
      <c r="IPC157"/>
      <c r="IPD157"/>
      <c r="IPE157"/>
      <c r="IPF157"/>
      <c r="IPG157"/>
      <c r="IPH157"/>
      <c r="IPI157"/>
      <c r="IPJ157"/>
      <c r="IPK157"/>
      <c r="IPL157"/>
      <c r="IPM157"/>
      <c r="IPN157"/>
      <c r="IPO157"/>
      <c r="IPP157"/>
      <c r="IPQ157"/>
      <c r="IPR157"/>
      <c r="IPS157"/>
      <c r="IPT157"/>
      <c r="IPU157"/>
      <c r="IPV157"/>
      <c r="IPW157"/>
      <c r="IPX157"/>
      <c r="IPY157"/>
      <c r="IPZ157"/>
      <c r="IQA157"/>
      <c r="IQB157"/>
      <c r="IQC157"/>
      <c r="IQD157"/>
      <c r="IQE157"/>
      <c r="IQF157"/>
      <c r="IQG157"/>
      <c r="IQH157"/>
      <c r="IQI157"/>
      <c r="IQJ157"/>
      <c r="IQK157"/>
      <c r="IQL157"/>
      <c r="IQM157"/>
      <c r="IQN157"/>
      <c r="IQO157"/>
      <c r="IQP157"/>
      <c r="IQQ157"/>
      <c r="IQR157"/>
      <c r="IQS157"/>
      <c r="IQT157"/>
      <c r="IQU157"/>
      <c r="IQV157"/>
      <c r="IQW157"/>
      <c r="IQX157"/>
      <c r="IQY157"/>
      <c r="IQZ157"/>
      <c r="IRA157"/>
      <c r="IRB157"/>
      <c r="IRC157"/>
      <c r="IRD157"/>
      <c r="IRE157"/>
      <c r="IRF157"/>
      <c r="IRG157"/>
      <c r="IRH157"/>
      <c r="IRI157"/>
      <c r="IRJ157"/>
      <c r="IRK157"/>
      <c r="IRL157"/>
      <c r="IRM157"/>
      <c r="IRN157"/>
      <c r="IRO157"/>
      <c r="IRP157"/>
      <c r="IRQ157"/>
      <c r="IRR157"/>
      <c r="IRS157"/>
      <c r="IRT157"/>
      <c r="IRU157"/>
      <c r="IRV157"/>
      <c r="IRW157"/>
      <c r="IRX157"/>
      <c r="IRY157"/>
      <c r="IRZ157"/>
      <c r="ISA157"/>
      <c r="ISB157"/>
      <c r="ISC157"/>
      <c r="ISD157"/>
      <c r="ISE157"/>
      <c r="ISF157"/>
      <c r="ISG157"/>
      <c r="ISH157"/>
      <c r="ISI157"/>
      <c r="ISJ157"/>
      <c r="ISK157"/>
      <c r="ISL157"/>
      <c r="ISM157"/>
      <c r="ISN157"/>
      <c r="ISO157"/>
      <c r="ISP157"/>
      <c r="ISQ157"/>
      <c r="ISR157"/>
      <c r="ISS157"/>
      <c r="IST157"/>
      <c r="ISU157"/>
      <c r="ISV157"/>
      <c r="ISW157"/>
      <c r="ISX157"/>
      <c r="ISY157"/>
      <c r="ISZ157"/>
      <c r="ITA157"/>
      <c r="ITB157"/>
      <c r="ITC157"/>
      <c r="ITD157"/>
      <c r="ITE157"/>
      <c r="ITF157"/>
      <c r="ITG157"/>
      <c r="ITH157"/>
      <c r="ITI157"/>
      <c r="ITJ157"/>
      <c r="ITK157"/>
      <c r="ITL157"/>
      <c r="ITM157"/>
      <c r="ITN157"/>
      <c r="ITO157"/>
      <c r="ITP157"/>
      <c r="ITQ157"/>
      <c r="ITR157"/>
      <c r="ITS157"/>
      <c r="ITT157"/>
      <c r="ITU157"/>
      <c r="ITV157"/>
      <c r="ITW157"/>
      <c r="ITX157"/>
      <c r="ITY157"/>
      <c r="ITZ157"/>
      <c r="IUA157"/>
      <c r="IUB157"/>
      <c r="IUC157"/>
      <c r="IUD157"/>
      <c r="IUE157"/>
      <c r="IUF157"/>
      <c r="IUG157"/>
      <c r="IUH157"/>
      <c r="IUI157"/>
      <c r="IUJ157"/>
      <c r="IUK157"/>
      <c r="IUL157"/>
      <c r="IUM157"/>
      <c r="IUN157"/>
      <c r="IUO157"/>
      <c r="IUP157"/>
      <c r="IUQ157"/>
      <c r="IUR157"/>
      <c r="IUS157"/>
      <c r="IUT157"/>
      <c r="IUU157"/>
      <c r="IUV157"/>
      <c r="IUW157"/>
      <c r="IUX157"/>
      <c r="IUY157"/>
      <c r="IUZ157"/>
      <c r="IVA157"/>
      <c r="IVB157"/>
      <c r="IVC157"/>
      <c r="IVD157"/>
      <c r="IVE157"/>
      <c r="IVF157"/>
      <c r="IVG157"/>
      <c r="IVH157"/>
      <c r="IVI157"/>
      <c r="IVJ157"/>
      <c r="IVK157"/>
      <c r="IVL157"/>
      <c r="IVM157"/>
      <c r="IVN157"/>
      <c r="IVO157"/>
      <c r="IVP157"/>
      <c r="IVQ157"/>
      <c r="IVR157"/>
      <c r="IVS157"/>
      <c r="IVT157"/>
      <c r="IVU157"/>
      <c r="IVV157"/>
      <c r="IVW157"/>
      <c r="IVX157"/>
      <c r="IVY157"/>
      <c r="IVZ157"/>
      <c r="IWA157"/>
      <c r="IWB157"/>
      <c r="IWC157"/>
      <c r="IWD157"/>
      <c r="IWE157"/>
      <c r="IWF157"/>
      <c r="IWG157"/>
      <c r="IWH157"/>
      <c r="IWI157"/>
      <c r="IWJ157"/>
      <c r="IWK157"/>
      <c r="IWL157"/>
      <c r="IWM157"/>
      <c r="IWN157"/>
      <c r="IWO157"/>
      <c r="IWP157"/>
      <c r="IWQ157"/>
      <c r="IWR157"/>
      <c r="IWS157"/>
      <c r="IWT157"/>
      <c r="IWU157"/>
      <c r="IWV157"/>
      <c r="IWW157"/>
      <c r="IWX157"/>
      <c r="IWY157"/>
      <c r="IWZ157"/>
      <c r="IXA157"/>
      <c r="IXB157"/>
      <c r="IXC157"/>
      <c r="IXD157"/>
      <c r="IXE157"/>
      <c r="IXF157"/>
      <c r="IXG157"/>
      <c r="IXH157"/>
      <c r="IXI157"/>
      <c r="IXJ157"/>
      <c r="IXK157"/>
      <c r="IXL157"/>
      <c r="IXM157"/>
      <c r="IXN157"/>
      <c r="IXO157"/>
      <c r="IXP157"/>
      <c r="IXQ157"/>
      <c r="IXR157"/>
      <c r="IXS157"/>
      <c r="IXT157"/>
      <c r="IXU157"/>
      <c r="IXV157"/>
      <c r="IXW157"/>
      <c r="IXX157"/>
      <c r="IXY157"/>
      <c r="IXZ157"/>
      <c r="IYA157"/>
      <c r="IYB157"/>
      <c r="IYC157"/>
      <c r="IYD157"/>
      <c r="IYE157"/>
      <c r="IYF157"/>
      <c r="IYG157"/>
      <c r="IYH157"/>
      <c r="IYI157"/>
      <c r="IYJ157"/>
      <c r="IYK157"/>
      <c r="IYL157"/>
      <c r="IYM157"/>
      <c r="IYN157"/>
      <c r="IYO157"/>
      <c r="IYP157"/>
      <c r="IYQ157"/>
      <c r="IYR157"/>
      <c r="IYS157"/>
      <c r="IYT157"/>
      <c r="IYU157"/>
      <c r="IYV157"/>
      <c r="IYW157"/>
      <c r="IYX157"/>
      <c r="IYY157"/>
      <c r="IYZ157"/>
      <c r="IZA157"/>
      <c r="IZB157"/>
      <c r="IZC157"/>
      <c r="IZD157"/>
      <c r="IZE157"/>
      <c r="IZF157"/>
      <c r="IZG157"/>
      <c r="IZH157"/>
      <c r="IZI157"/>
      <c r="IZJ157"/>
      <c r="IZK157"/>
      <c r="IZL157"/>
      <c r="IZM157"/>
      <c r="IZN157"/>
      <c r="IZO157"/>
      <c r="IZP157"/>
      <c r="IZQ157"/>
      <c r="IZR157"/>
      <c r="IZS157"/>
      <c r="IZT157"/>
      <c r="IZU157"/>
      <c r="IZV157"/>
      <c r="IZW157"/>
      <c r="IZX157"/>
      <c r="IZY157"/>
      <c r="IZZ157"/>
      <c r="JAA157"/>
      <c r="JAB157"/>
      <c r="JAC157"/>
      <c r="JAD157"/>
      <c r="JAE157"/>
      <c r="JAF157"/>
      <c r="JAG157"/>
      <c r="JAH157"/>
      <c r="JAI157"/>
      <c r="JAJ157"/>
      <c r="JAK157"/>
      <c r="JAL157"/>
      <c r="JAM157"/>
      <c r="JAN157"/>
      <c r="JAO157"/>
      <c r="JAP157"/>
      <c r="JAQ157"/>
      <c r="JAR157"/>
      <c r="JAS157"/>
      <c r="JAT157"/>
      <c r="JAU157"/>
      <c r="JAV157"/>
      <c r="JAW157"/>
      <c r="JAX157"/>
      <c r="JAY157"/>
      <c r="JAZ157"/>
      <c r="JBA157"/>
      <c r="JBB157"/>
      <c r="JBC157"/>
      <c r="JBD157"/>
      <c r="JBE157"/>
      <c r="JBF157"/>
      <c r="JBG157"/>
      <c r="JBH157"/>
      <c r="JBI157"/>
      <c r="JBJ157"/>
      <c r="JBK157"/>
      <c r="JBL157"/>
      <c r="JBM157"/>
      <c r="JBN157"/>
      <c r="JBO157"/>
      <c r="JBP157"/>
      <c r="JBQ157"/>
      <c r="JBR157"/>
      <c r="JBS157"/>
      <c r="JBT157"/>
      <c r="JBU157"/>
      <c r="JBV157"/>
      <c r="JBW157"/>
      <c r="JBX157"/>
      <c r="JBY157"/>
      <c r="JBZ157"/>
      <c r="JCA157"/>
      <c r="JCB157"/>
      <c r="JCC157"/>
      <c r="JCD157"/>
      <c r="JCE157"/>
      <c r="JCF157"/>
      <c r="JCG157"/>
      <c r="JCH157"/>
      <c r="JCI157"/>
      <c r="JCJ157"/>
      <c r="JCK157"/>
      <c r="JCL157"/>
      <c r="JCM157"/>
      <c r="JCN157"/>
      <c r="JCO157"/>
      <c r="JCP157"/>
      <c r="JCQ157"/>
      <c r="JCR157"/>
      <c r="JCS157"/>
      <c r="JCT157"/>
      <c r="JCU157"/>
      <c r="JCV157"/>
      <c r="JCW157"/>
      <c r="JCX157"/>
      <c r="JCY157"/>
      <c r="JCZ157"/>
      <c r="JDA157"/>
      <c r="JDB157"/>
      <c r="JDC157"/>
      <c r="JDD157"/>
      <c r="JDE157"/>
      <c r="JDF157"/>
      <c r="JDG157"/>
      <c r="JDH157"/>
      <c r="JDI157"/>
      <c r="JDJ157"/>
      <c r="JDK157"/>
      <c r="JDL157"/>
      <c r="JDM157"/>
      <c r="JDN157"/>
      <c r="JDO157"/>
      <c r="JDP157"/>
      <c r="JDQ157"/>
      <c r="JDR157"/>
      <c r="JDS157"/>
      <c r="JDT157"/>
      <c r="JDU157"/>
      <c r="JDV157"/>
      <c r="JDW157"/>
      <c r="JDX157"/>
      <c r="JDY157"/>
      <c r="JDZ157"/>
      <c r="JEA157"/>
      <c r="JEB157"/>
      <c r="JEC157"/>
      <c r="JED157"/>
      <c r="JEE157"/>
      <c r="JEF157"/>
      <c r="JEG157"/>
      <c r="JEH157"/>
      <c r="JEI157"/>
      <c r="JEJ157"/>
      <c r="JEK157"/>
      <c r="JEL157"/>
      <c r="JEM157"/>
      <c r="JEN157"/>
      <c r="JEO157"/>
      <c r="JEP157"/>
      <c r="JEQ157"/>
      <c r="JER157"/>
      <c r="JES157"/>
      <c r="JET157"/>
      <c r="JEU157"/>
      <c r="JEV157"/>
      <c r="JEW157"/>
      <c r="JEX157"/>
      <c r="JEY157"/>
      <c r="JEZ157"/>
      <c r="JFA157"/>
      <c r="JFB157"/>
      <c r="JFC157"/>
      <c r="JFD157"/>
      <c r="JFE157"/>
      <c r="JFF157"/>
      <c r="JFG157"/>
      <c r="JFH157"/>
      <c r="JFI157"/>
      <c r="JFJ157"/>
      <c r="JFK157"/>
      <c r="JFL157"/>
      <c r="JFM157"/>
      <c r="JFN157"/>
      <c r="JFO157"/>
      <c r="JFP157"/>
      <c r="JFQ157"/>
      <c r="JFR157"/>
      <c r="JFS157"/>
      <c r="JFT157"/>
      <c r="JFU157"/>
      <c r="JFV157"/>
      <c r="JFW157"/>
      <c r="JFX157"/>
      <c r="JFY157"/>
      <c r="JFZ157"/>
      <c r="JGA157"/>
      <c r="JGB157"/>
      <c r="JGC157"/>
      <c r="JGD157"/>
      <c r="JGE157"/>
      <c r="JGF157"/>
      <c r="JGG157"/>
      <c r="JGH157"/>
      <c r="JGI157"/>
      <c r="JGJ157"/>
      <c r="JGK157"/>
      <c r="JGL157"/>
      <c r="JGM157"/>
      <c r="JGN157"/>
      <c r="JGO157"/>
      <c r="JGP157"/>
      <c r="JGQ157"/>
      <c r="JGR157"/>
      <c r="JGS157"/>
      <c r="JGT157"/>
      <c r="JGU157"/>
      <c r="JGV157"/>
      <c r="JGW157"/>
      <c r="JGX157"/>
      <c r="JGY157"/>
      <c r="JGZ157"/>
      <c r="JHA157"/>
      <c r="JHB157"/>
      <c r="JHC157"/>
      <c r="JHD157"/>
      <c r="JHE157"/>
      <c r="JHF157"/>
      <c r="JHG157"/>
      <c r="JHH157"/>
      <c r="JHI157"/>
      <c r="JHJ157"/>
      <c r="JHK157"/>
      <c r="JHL157"/>
      <c r="JHM157"/>
      <c r="JHN157"/>
      <c r="JHO157"/>
      <c r="JHP157"/>
      <c r="JHQ157"/>
      <c r="JHR157"/>
      <c r="JHS157"/>
      <c r="JHT157"/>
      <c r="JHU157"/>
      <c r="JHV157"/>
      <c r="JHW157"/>
      <c r="JHX157"/>
      <c r="JHY157"/>
      <c r="JHZ157"/>
      <c r="JIA157"/>
      <c r="JIB157"/>
      <c r="JIC157"/>
      <c r="JID157"/>
      <c r="JIE157"/>
      <c r="JIF157"/>
      <c r="JIG157"/>
      <c r="JIH157"/>
      <c r="JII157"/>
      <c r="JIJ157"/>
      <c r="JIK157"/>
      <c r="JIL157"/>
      <c r="JIM157"/>
      <c r="JIN157"/>
      <c r="JIO157"/>
      <c r="JIP157"/>
      <c r="JIQ157"/>
      <c r="JIR157"/>
      <c r="JIS157"/>
      <c r="JIT157"/>
      <c r="JIU157"/>
      <c r="JIV157"/>
      <c r="JIW157"/>
      <c r="JIX157"/>
      <c r="JIY157"/>
      <c r="JIZ157"/>
      <c r="JJA157"/>
      <c r="JJB157"/>
      <c r="JJC157"/>
      <c r="JJD157"/>
      <c r="JJE157"/>
      <c r="JJF157"/>
      <c r="JJG157"/>
      <c r="JJH157"/>
      <c r="JJI157"/>
      <c r="JJJ157"/>
      <c r="JJK157"/>
      <c r="JJL157"/>
      <c r="JJM157"/>
      <c r="JJN157"/>
      <c r="JJO157"/>
      <c r="JJP157"/>
      <c r="JJQ157"/>
      <c r="JJR157"/>
      <c r="JJS157"/>
      <c r="JJT157"/>
      <c r="JJU157"/>
      <c r="JJV157"/>
      <c r="JJW157"/>
      <c r="JJX157"/>
      <c r="JJY157"/>
      <c r="JJZ157"/>
      <c r="JKA157"/>
      <c r="JKB157"/>
      <c r="JKC157"/>
      <c r="JKD157"/>
      <c r="JKE157"/>
      <c r="JKF157"/>
      <c r="JKG157"/>
      <c r="JKH157"/>
      <c r="JKI157"/>
      <c r="JKJ157"/>
      <c r="JKK157"/>
      <c r="JKL157"/>
      <c r="JKM157"/>
      <c r="JKN157"/>
      <c r="JKO157"/>
      <c r="JKP157"/>
      <c r="JKQ157"/>
      <c r="JKR157"/>
      <c r="JKS157"/>
      <c r="JKT157"/>
      <c r="JKU157"/>
      <c r="JKV157"/>
      <c r="JKW157"/>
      <c r="JKX157"/>
      <c r="JKY157"/>
      <c r="JKZ157"/>
      <c r="JLA157"/>
      <c r="JLB157"/>
      <c r="JLC157"/>
      <c r="JLD157"/>
      <c r="JLE157"/>
      <c r="JLF157"/>
      <c r="JLG157"/>
      <c r="JLH157"/>
      <c r="JLI157"/>
      <c r="JLJ157"/>
      <c r="JLK157"/>
      <c r="JLL157"/>
      <c r="JLM157"/>
      <c r="JLN157"/>
      <c r="JLO157"/>
      <c r="JLP157"/>
      <c r="JLQ157"/>
      <c r="JLR157"/>
      <c r="JLS157"/>
      <c r="JLT157"/>
      <c r="JLU157"/>
      <c r="JLV157"/>
      <c r="JLW157"/>
      <c r="JLX157"/>
      <c r="JLY157"/>
      <c r="JLZ157"/>
      <c r="JMA157"/>
      <c r="JMB157"/>
      <c r="JMC157"/>
      <c r="JMD157"/>
      <c r="JME157"/>
      <c r="JMF157"/>
      <c r="JMG157"/>
      <c r="JMH157"/>
      <c r="JMI157"/>
      <c r="JMJ157"/>
      <c r="JMK157"/>
      <c r="JML157"/>
      <c r="JMM157"/>
      <c r="JMN157"/>
      <c r="JMO157"/>
      <c r="JMP157"/>
      <c r="JMQ157"/>
      <c r="JMR157"/>
      <c r="JMS157"/>
      <c r="JMT157"/>
      <c r="JMU157"/>
      <c r="JMV157"/>
      <c r="JMW157"/>
      <c r="JMX157"/>
      <c r="JMY157"/>
      <c r="JMZ157"/>
      <c r="JNA157"/>
      <c r="JNB157"/>
      <c r="JNC157"/>
      <c r="JND157"/>
      <c r="JNE157"/>
      <c r="JNF157"/>
      <c r="JNG157"/>
      <c r="JNH157"/>
      <c r="JNI157"/>
      <c r="JNJ157"/>
      <c r="JNK157"/>
      <c r="JNL157"/>
      <c r="JNM157"/>
      <c r="JNN157"/>
      <c r="JNO157"/>
      <c r="JNP157"/>
      <c r="JNQ157"/>
      <c r="JNR157"/>
      <c r="JNS157"/>
      <c r="JNT157"/>
      <c r="JNU157"/>
      <c r="JNV157"/>
      <c r="JNW157"/>
      <c r="JNX157"/>
      <c r="JNY157"/>
      <c r="JNZ157"/>
      <c r="JOA157"/>
      <c r="JOB157"/>
      <c r="JOC157"/>
      <c r="JOD157"/>
      <c r="JOE157"/>
      <c r="JOF157"/>
      <c r="JOG157"/>
      <c r="JOH157"/>
      <c r="JOI157"/>
      <c r="JOJ157"/>
      <c r="JOK157"/>
      <c r="JOL157"/>
      <c r="JOM157"/>
      <c r="JON157"/>
      <c r="JOO157"/>
      <c r="JOP157"/>
      <c r="JOQ157"/>
      <c r="JOR157"/>
      <c r="JOS157"/>
      <c r="JOT157"/>
      <c r="JOU157"/>
      <c r="JOV157"/>
      <c r="JOW157"/>
      <c r="JOX157"/>
      <c r="JOY157"/>
      <c r="JOZ157"/>
      <c r="JPA157"/>
      <c r="JPB157"/>
      <c r="JPC157"/>
      <c r="JPD157"/>
      <c r="JPE157"/>
      <c r="JPF157"/>
      <c r="JPG157"/>
      <c r="JPH157"/>
      <c r="JPI157"/>
      <c r="JPJ157"/>
      <c r="JPK157"/>
      <c r="JPL157"/>
      <c r="JPM157"/>
      <c r="JPN157"/>
      <c r="JPO157"/>
      <c r="JPP157"/>
      <c r="JPQ157"/>
      <c r="JPR157"/>
      <c r="JPS157"/>
      <c r="JPT157"/>
      <c r="JPU157"/>
      <c r="JPV157"/>
      <c r="JPW157"/>
      <c r="JPX157"/>
      <c r="JPY157"/>
      <c r="JPZ157"/>
      <c r="JQA157"/>
      <c r="JQB157"/>
      <c r="JQC157"/>
      <c r="JQD157"/>
      <c r="JQE157"/>
      <c r="JQF157"/>
      <c r="JQG157"/>
      <c r="JQH157"/>
      <c r="JQI157"/>
      <c r="JQJ157"/>
      <c r="JQK157"/>
      <c r="JQL157"/>
      <c r="JQM157"/>
      <c r="JQN157"/>
      <c r="JQO157"/>
      <c r="JQP157"/>
      <c r="JQQ157"/>
      <c r="JQR157"/>
      <c r="JQS157"/>
      <c r="JQT157"/>
      <c r="JQU157"/>
      <c r="JQV157"/>
      <c r="JQW157"/>
      <c r="JQX157"/>
      <c r="JQY157"/>
      <c r="JQZ157"/>
      <c r="JRA157"/>
      <c r="JRB157"/>
      <c r="JRC157"/>
      <c r="JRD157"/>
      <c r="JRE157"/>
      <c r="JRF157"/>
      <c r="JRG157"/>
      <c r="JRH157"/>
      <c r="JRI157"/>
      <c r="JRJ157"/>
      <c r="JRK157"/>
      <c r="JRL157"/>
      <c r="JRM157"/>
      <c r="JRN157"/>
      <c r="JRO157"/>
      <c r="JRP157"/>
      <c r="JRQ157"/>
      <c r="JRR157"/>
      <c r="JRS157"/>
      <c r="JRT157"/>
      <c r="JRU157"/>
      <c r="JRV157"/>
      <c r="JRW157"/>
      <c r="JRX157"/>
      <c r="JRY157"/>
      <c r="JRZ157"/>
      <c r="JSA157"/>
      <c r="JSB157"/>
      <c r="JSC157"/>
      <c r="JSD157"/>
      <c r="JSE157"/>
      <c r="JSF157"/>
      <c r="JSG157"/>
      <c r="JSH157"/>
      <c r="JSI157"/>
      <c r="JSJ157"/>
      <c r="JSK157"/>
      <c r="JSL157"/>
      <c r="JSM157"/>
      <c r="JSN157"/>
      <c r="JSO157"/>
      <c r="JSP157"/>
      <c r="JSQ157"/>
      <c r="JSR157"/>
      <c r="JSS157"/>
      <c r="JST157"/>
      <c r="JSU157"/>
      <c r="JSV157"/>
      <c r="JSW157"/>
      <c r="JSX157"/>
      <c r="JSY157"/>
      <c r="JSZ157"/>
      <c r="JTA157"/>
      <c r="JTB157"/>
      <c r="JTC157"/>
      <c r="JTD157"/>
      <c r="JTE157"/>
      <c r="JTF157"/>
      <c r="JTG157"/>
      <c r="JTH157"/>
      <c r="JTI157"/>
      <c r="JTJ157"/>
      <c r="JTK157"/>
      <c r="JTL157"/>
      <c r="JTM157"/>
      <c r="JTN157"/>
      <c r="JTO157"/>
      <c r="JTP157"/>
      <c r="JTQ157"/>
      <c r="JTR157"/>
      <c r="JTS157"/>
      <c r="JTT157"/>
      <c r="JTU157"/>
      <c r="JTV157"/>
      <c r="JTW157"/>
      <c r="JTX157"/>
      <c r="JTY157"/>
      <c r="JTZ157"/>
      <c r="JUA157"/>
      <c r="JUB157"/>
      <c r="JUC157"/>
      <c r="JUD157"/>
      <c r="JUE157"/>
      <c r="JUF157"/>
      <c r="JUG157"/>
      <c r="JUH157"/>
      <c r="JUI157"/>
      <c r="JUJ157"/>
      <c r="JUK157"/>
      <c r="JUL157"/>
      <c r="JUM157"/>
      <c r="JUN157"/>
      <c r="JUO157"/>
      <c r="JUP157"/>
      <c r="JUQ157"/>
      <c r="JUR157"/>
      <c r="JUS157"/>
      <c r="JUT157"/>
      <c r="JUU157"/>
      <c r="JUV157"/>
      <c r="JUW157"/>
      <c r="JUX157"/>
      <c r="JUY157"/>
      <c r="JUZ157"/>
      <c r="JVA157"/>
      <c r="JVB157"/>
      <c r="JVC157"/>
      <c r="JVD157"/>
      <c r="JVE157"/>
      <c r="JVF157"/>
      <c r="JVG157"/>
      <c r="JVH157"/>
      <c r="JVI157"/>
      <c r="JVJ157"/>
      <c r="JVK157"/>
      <c r="JVL157"/>
      <c r="JVM157"/>
      <c r="JVN157"/>
      <c r="JVO157"/>
      <c r="JVP157"/>
      <c r="JVQ157"/>
      <c r="JVR157"/>
      <c r="JVS157"/>
      <c r="JVT157"/>
      <c r="JVU157"/>
      <c r="JVV157"/>
      <c r="JVW157"/>
      <c r="JVX157"/>
      <c r="JVY157"/>
      <c r="JVZ157"/>
      <c r="JWA157"/>
      <c r="JWB157"/>
      <c r="JWC157"/>
      <c r="JWD157"/>
      <c r="JWE157"/>
      <c r="JWF157"/>
      <c r="JWG157"/>
      <c r="JWH157"/>
      <c r="JWI157"/>
      <c r="JWJ157"/>
      <c r="JWK157"/>
      <c r="JWL157"/>
      <c r="JWM157"/>
      <c r="JWN157"/>
      <c r="JWO157"/>
      <c r="JWP157"/>
      <c r="JWQ157"/>
      <c r="JWR157"/>
      <c r="JWS157"/>
      <c r="JWT157"/>
      <c r="JWU157"/>
      <c r="JWV157"/>
      <c r="JWW157"/>
      <c r="JWX157"/>
      <c r="JWY157"/>
      <c r="JWZ157"/>
      <c r="JXA157"/>
      <c r="JXB157"/>
      <c r="JXC157"/>
      <c r="JXD157"/>
      <c r="JXE157"/>
      <c r="JXF157"/>
      <c r="JXG157"/>
      <c r="JXH157"/>
      <c r="JXI157"/>
      <c r="JXJ157"/>
      <c r="JXK157"/>
      <c r="JXL157"/>
      <c r="JXM157"/>
      <c r="JXN157"/>
      <c r="JXO157"/>
      <c r="JXP157"/>
      <c r="JXQ157"/>
      <c r="JXR157"/>
      <c r="JXS157"/>
      <c r="JXT157"/>
      <c r="JXU157"/>
      <c r="JXV157"/>
      <c r="JXW157"/>
      <c r="JXX157"/>
      <c r="JXY157"/>
      <c r="JXZ157"/>
      <c r="JYA157"/>
      <c r="JYB157"/>
      <c r="JYC157"/>
      <c r="JYD157"/>
      <c r="JYE157"/>
      <c r="JYF157"/>
      <c r="JYG157"/>
      <c r="JYH157"/>
      <c r="JYI157"/>
      <c r="JYJ157"/>
      <c r="JYK157"/>
      <c r="JYL157"/>
      <c r="JYM157"/>
      <c r="JYN157"/>
      <c r="JYO157"/>
      <c r="JYP157"/>
      <c r="JYQ157"/>
      <c r="JYR157"/>
      <c r="JYS157"/>
      <c r="JYT157"/>
      <c r="JYU157"/>
      <c r="JYV157"/>
      <c r="JYW157"/>
      <c r="JYX157"/>
      <c r="JYY157"/>
      <c r="JYZ157"/>
      <c r="JZA157"/>
      <c r="JZB157"/>
      <c r="JZC157"/>
      <c r="JZD157"/>
      <c r="JZE157"/>
      <c r="JZF157"/>
      <c r="JZG157"/>
      <c r="JZH157"/>
      <c r="JZI157"/>
      <c r="JZJ157"/>
      <c r="JZK157"/>
      <c r="JZL157"/>
      <c r="JZM157"/>
      <c r="JZN157"/>
      <c r="JZO157"/>
      <c r="JZP157"/>
      <c r="JZQ157"/>
      <c r="JZR157"/>
      <c r="JZS157"/>
      <c r="JZT157"/>
      <c r="JZU157"/>
      <c r="JZV157"/>
      <c r="JZW157"/>
      <c r="JZX157"/>
      <c r="JZY157"/>
      <c r="JZZ157"/>
      <c r="KAA157"/>
      <c r="KAB157"/>
      <c r="KAC157"/>
      <c r="KAD157"/>
      <c r="KAE157"/>
      <c r="KAF157"/>
      <c r="KAG157"/>
      <c r="KAH157"/>
      <c r="KAI157"/>
      <c r="KAJ157"/>
      <c r="KAK157"/>
      <c r="KAL157"/>
      <c r="KAM157"/>
      <c r="KAN157"/>
      <c r="KAO157"/>
      <c r="KAP157"/>
      <c r="KAQ157"/>
      <c r="KAR157"/>
      <c r="KAS157"/>
      <c r="KAT157"/>
      <c r="KAU157"/>
      <c r="KAV157"/>
      <c r="KAW157"/>
      <c r="KAX157"/>
      <c r="KAY157"/>
      <c r="KAZ157"/>
      <c r="KBA157"/>
      <c r="KBB157"/>
      <c r="KBC157"/>
      <c r="KBD157"/>
      <c r="KBE157"/>
      <c r="KBF157"/>
      <c r="KBG157"/>
      <c r="KBH157"/>
      <c r="KBI157"/>
      <c r="KBJ157"/>
      <c r="KBK157"/>
      <c r="KBL157"/>
      <c r="KBM157"/>
      <c r="KBN157"/>
      <c r="KBO157"/>
      <c r="KBP157"/>
      <c r="KBQ157"/>
      <c r="KBR157"/>
      <c r="KBS157"/>
      <c r="KBT157"/>
      <c r="KBU157"/>
      <c r="KBV157"/>
      <c r="KBW157"/>
      <c r="KBX157"/>
      <c r="KBY157"/>
      <c r="KBZ157"/>
      <c r="KCA157"/>
      <c r="KCB157"/>
      <c r="KCC157"/>
      <c r="KCD157"/>
      <c r="KCE157"/>
      <c r="KCF157"/>
      <c r="KCG157"/>
      <c r="KCH157"/>
      <c r="KCI157"/>
      <c r="KCJ157"/>
      <c r="KCK157"/>
      <c r="KCL157"/>
      <c r="KCM157"/>
      <c r="KCN157"/>
      <c r="KCO157"/>
      <c r="KCP157"/>
      <c r="KCQ157"/>
      <c r="KCR157"/>
      <c r="KCS157"/>
      <c r="KCT157"/>
      <c r="KCU157"/>
      <c r="KCV157"/>
      <c r="KCW157"/>
      <c r="KCX157"/>
      <c r="KCY157"/>
      <c r="KCZ157"/>
      <c r="KDA157"/>
      <c r="KDB157"/>
      <c r="KDC157"/>
      <c r="KDD157"/>
      <c r="KDE157"/>
      <c r="KDF157"/>
      <c r="KDG157"/>
      <c r="KDH157"/>
      <c r="KDI157"/>
      <c r="KDJ157"/>
      <c r="KDK157"/>
      <c r="KDL157"/>
      <c r="KDM157"/>
      <c r="KDN157"/>
      <c r="KDO157"/>
      <c r="KDP157"/>
      <c r="KDQ157"/>
      <c r="KDR157"/>
      <c r="KDS157"/>
      <c r="KDT157"/>
      <c r="KDU157"/>
      <c r="KDV157"/>
      <c r="KDW157"/>
      <c r="KDX157"/>
      <c r="KDY157"/>
      <c r="KDZ157"/>
      <c r="KEA157"/>
      <c r="KEB157"/>
      <c r="KEC157"/>
      <c r="KED157"/>
      <c r="KEE157"/>
      <c r="KEF157"/>
      <c r="KEG157"/>
      <c r="KEH157"/>
      <c r="KEI157"/>
      <c r="KEJ157"/>
      <c r="KEK157"/>
      <c r="KEL157"/>
      <c r="KEM157"/>
      <c r="KEN157"/>
      <c r="KEO157"/>
      <c r="KEP157"/>
      <c r="KEQ157"/>
      <c r="KER157"/>
      <c r="KES157"/>
      <c r="KET157"/>
      <c r="KEU157"/>
      <c r="KEV157"/>
      <c r="KEW157"/>
      <c r="KEX157"/>
      <c r="KEY157"/>
      <c r="KEZ157"/>
      <c r="KFA157"/>
      <c r="KFB157"/>
      <c r="KFC157"/>
      <c r="KFD157"/>
      <c r="KFE157"/>
      <c r="KFF157"/>
      <c r="KFG157"/>
      <c r="KFH157"/>
      <c r="KFI157"/>
      <c r="KFJ157"/>
      <c r="KFK157"/>
      <c r="KFL157"/>
      <c r="KFM157"/>
      <c r="KFN157"/>
      <c r="KFO157"/>
      <c r="KFP157"/>
      <c r="KFQ157"/>
      <c r="KFR157"/>
      <c r="KFS157"/>
      <c r="KFT157"/>
      <c r="KFU157"/>
      <c r="KFV157"/>
      <c r="KFW157"/>
      <c r="KFX157"/>
      <c r="KFY157"/>
      <c r="KFZ157"/>
      <c r="KGA157"/>
      <c r="KGB157"/>
      <c r="KGC157"/>
      <c r="KGD157"/>
      <c r="KGE157"/>
      <c r="KGF157"/>
      <c r="KGG157"/>
      <c r="KGH157"/>
      <c r="KGI157"/>
      <c r="KGJ157"/>
      <c r="KGK157"/>
      <c r="KGL157"/>
      <c r="KGM157"/>
      <c r="KGN157"/>
      <c r="KGO157"/>
      <c r="KGP157"/>
      <c r="KGQ157"/>
      <c r="KGR157"/>
      <c r="KGS157"/>
      <c r="KGT157"/>
      <c r="KGU157"/>
      <c r="KGV157"/>
      <c r="KGW157"/>
      <c r="KGX157"/>
      <c r="KGY157"/>
      <c r="KGZ157"/>
      <c r="KHA157"/>
      <c r="KHB157"/>
      <c r="KHC157"/>
      <c r="KHD157"/>
      <c r="KHE157"/>
      <c r="KHF157"/>
      <c r="KHG157"/>
      <c r="KHH157"/>
      <c r="KHI157"/>
      <c r="KHJ157"/>
      <c r="KHK157"/>
      <c r="KHL157"/>
      <c r="KHM157"/>
      <c r="KHN157"/>
      <c r="KHO157"/>
      <c r="KHP157"/>
      <c r="KHQ157"/>
      <c r="KHR157"/>
      <c r="KHS157"/>
      <c r="KHT157"/>
      <c r="KHU157"/>
      <c r="KHV157"/>
      <c r="KHW157"/>
      <c r="KHX157"/>
      <c r="KHY157"/>
      <c r="KHZ157"/>
      <c r="KIA157"/>
      <c r="KIB157"/>
      <c r="KIC157"/>
      <c r="KID157"/>
      <c r="KIE157"/>
      <c r="KIF157"/>
      <c r="KIG157"/>
      <c r="KIH157"/>
      <c r="KII157"/>
      <c r="KIJ157"/>
      <c r="KIK157"/>
      <c r="KIL157"/>
      <c r="KIM157"/>
      <c r="KIN157"/>
      <c r="KIO157"/>
      <c r="KIP157"/>
      <c r="KIQ157"/>
      <c r="KIR157"/>
      <c r="KIS157"/>
      <c r="KIT157"/>
      <c r="KIU157"/>
      <c r="KIV157"/>
      <c r="KIW157"/>
      <c r="KIX157"/>
      <c r="KIY157"/>
      <c r="KIZ157"/>
      <c r="KJA157"/>
      <c r="KJB157"/>
      <c r="KJC157"/>
      <c r="KJD157"/>
      <c r="KJE157"/>
      <c r="KJF157"/>
      <c r="KJG157"/>
      <c r="KJH157"/>
      <c r="KJI157"/>
      <c r="KJJ157"/>
      <c r="KJK157"/>
      <c r="KJL157"/>
      <c r="KJM157"/>
      <c r="KJN157"/>
      <c r="KJO157"/>
      <c r="KJP157"/>
      <c r="KJQ157"/>
      <c r="KJR157"/>
      <c r="KJS157"/>
      <c r="KJT157"/>
      <c r="KJU157"/>
      <c r="KJV157"/>
      <c r="KJW157"/>
      <c r="KJX157"/>
      <c r="KJY157"/>
      <c r="KJZ157"/>
      <c r="KKA157"/>
      <c r="KKB157"/>
      <c r="KKC157"/>
      <c r="KKD157"/>
      <c r="KKE157"/>
      <c r="KKF157"/>
      <c r="KKG157"/>
      <c r="KKH157"/>
      <c r="KKI157"/>
      <c r="KKJ157"/>
      <c r="KKK157"/>
      <c r="KKL157"/>
      <c r="KKM157"/>
      <c r="KKN157"/>
      <c r="KKO157"/>
      <c r="KKP157"/>
      <c r="KKQ157"/>
      <c r="KKR157"/>
      <c r="KKS157"/>
      <c r="KKT157"/>
      <c r="KKU157"/>
      <c r="KKV157"/>
      <c r="KKW157"/>
      <c r="KKX157"/>
      <c r="KKY157"/>
      <c r="KKZ157"/>
      <c r="KLA157"/>
      <c r="KLB157"/>
      <c r="KLC157"/>
      <c r="KLD157"/>
      <c r="KLE157"/>
      <c r="KLF157"/>
      <c r="KLG157"/>
      <c r="KLH157"/>
      <c r="KLI157"/>
      <c r="KLJ157"/>
      <c r="KLK157"/>
      <c r="KLL157"/>
      <c r="KLM157"/>
      <c r="KLN157"/>
      <c r="KLO157"/>
      <c r="KLP157"/>
      <c r="KLQ157"/>
      <c r="KLR157"/>
      <c r="KLS157"/>
      <c r="KLT157"/>
      <c r="KLU157"/>
      <c r="KLV157"/>
      <c r="KLW157"/>
      <c r="KLX157"/>
      <c r="KLY157"/>
      <c r="KLZ157"/>
      <c r="KMA157"/>
      <c r="KMB157"/>
      <c r="KMC157"/>
      <c r="KMD157"/>
      <c r="KME157"/>
      <c r="KMF157"/>
      <c r="KMG157"/>
      <c r="KMH157"/>
      <c r="KMI157"/>
      <c r="KMJ157"/>
      <c r="KMK157"/>
      <c r="KML157"/>
      <c r="KMM157"/>
      <c r="KMN157"/>
      <c r="KMO157"/>
      <c r="KMP157"/>
      <c r="KMQ157"/>
      <c r="KMR157"/>
      <c r="KMS157"/>
      <c r="KMT157"/>
      <c r="KMU157"/>
      <c r="KMV157"/>
      <c r="KMW157"/>
      <c r="KMX157"/>
      <c r="KMY157"/>
      <c r="KMZ157"/>
      <c r="KNA157"/>
      <c r="KNB157"/>
      <c r="KNC157"/>
      <c r="KND157"/>
      <c r="KNE157"/>
      <c r="KNF157"/>
      <c r="KNG157"/>
      <c r="KNH157"/>
      <c r="KNI157"/>
      <c r="KNJ157"/>
      <c r="KNK157"/>
      <c r="KNL157"/>
      <c r="KNM157"/>
      <c r="KNN157"/>
      <c r="KNO157"/>
      <c r="KNP157"/>
      <c r="KNQ157"/>
      <c r="KNR157"/>
      <c r="KNS157"/>
      <c r="KNT157"/>
      <c r="KNU157"/>
      <c r="KNV157"/>
      <c r="KNW157"/>
      <c r="KNX157"/>
      <c r="KNY157"/>
      <c r="KNZ157"/>
      <c r="KOA157"/>
      <c r="KOB157"/>
      <c r="KOC157"/>
      <c r="KOD157"/>
      <c r="KOE157"/>
      <c r="KOF157"/>
      <c r="KOG157"/>
      <c r="KOH157"/>
      <c r="KOI157"/>
      <c r="KOJ157"/>
      <c r="KOK157"/>
      <c r="KOL157"/>
      <c r="KOM157"/>
      <c r="KON157"/>
      <c r="KOO157"/>
      <c r="KOP157"/>
      <c r="KOQ157"/>
      <c r="KOR157"/>
      <c r="KOS157"/>
      <c r="KOT157"/>
      <c r="KOU157"/>
      <c r="KOV157"/>
      <c r="KOW157"/>
      <c r="KOX157"/>
      <c r="KOY157"/>
      <c r="KOZ157"/>
      <c r="KPA157"/>
      <c r="KPB157"/>
      <c r="KPC157"/>
      <c r="KPD157"/>
      <c r="KPE157"/>
      <c r="KPF157"/>
      <c r="KPG157"/>
      <c r="KPH157"/>
      <c r="KPI157"/>
      <c r="KPJ157"/>
      <c r="KPK157"/>
      <c r="KPL157"/>
      <c r="KPM157"/>
      <c r="KPN157"/>
      <c r="KPO157"/>
      <c r="KPP157"/>
      <c r="KPQ157"/>
      <c r="KPR157"/>
      <c r="KPS157"/>
      <c r="KPT157"/>
      <c r="KPU157"/>
      <c r="KPV157"/>
      <c r="KPW157"/>
      <c r="KPX157"/>
      <c r="KPY157"/>
      <c r="KPZ157"/>
      <c r="KQA157"/>
      <c r="KQB157"/>
      <c r="KQC157"/>
      <c r="KQD157"/>
      <c r="KQE157"/>
      <c r="KQF157"/>
      <c r="KQG157"/>
      <c r="KQH157"/>
      <c r="KQI157"/>
      <c r="KQJ157"/>
      <c r="KQK157"/>
      <c r="KQL157"/>
      <c r="KQM157"/>
      <c r="KQN157"/>
      <c r="KQO157"/>
      <c r="KQP157"/>
      <c r="KQQ157"/>
      <c r="KQR157"/>
      <c r="KQS157"/>
      <c r="KQT157"/>
      <c r="KQU157"/>
      <c r="KQV157"/>
      <c r="KQW157"/>
      <c r="KQX157"/>
      <c r="KQY157"/>
      <c r="KQZ157"/>
      <c r="KRA157"/>
      <c r="KRB157"/>
      <c r="KRC157"/>
      <c r="KRD157"/>
      <c r="KRE157"/>
      <c r="KRF157"/>
      <c r="KRG157"/>
      <c r="KRH157"/>
      <c r="KRI157"/>
      <c r="KRJ157"/>
      <c r="KRK157"/>
      <c r="KRL157"/>
      <c r="KRM157"/>
      <c r="KRN157"/>
      <c r="KRO157"/>
      <c r="KRP157"/>
      <c r="KRQ157"/>
      <c r="KRR157"/>
      <c r="KRS157"/>
      <c r="KRT157"/>
      <c r="KRU157"/>
      <c r="KRV157"/>
      <c r="KRW157"/>
      <c r="KRX157"/>
      <c r="KRY157"/>
      <c r="KRZ157"/>
      <c r="KSA157"/>
      <c r="KSB157"/>
      <c r="KSC157"/>
      <c r="KSD157"/>
      <c r="KSE157"/>
      <c r="KSF157"/>
      <c r="KSG157"/>
      <c r="KSH157"/>
      <c r="KSI157"/>
      <c r="KSJ157"/>
      <c r="KSK157"/>
      <c r="KSL157"/>
      <c r="KSM157"/>
      <c r="KSN157"/>
      <c r="KSO157"/>
      <c r="KSP157"/>
      <c r="KSQ157"/>
      <c r="KSR157"/>
      <c r="KSS157"/>
      <c r="KST157"/>
      <c r="KSU157"/>
      <c r="KSV157"/>
      <c r="KSW157"/>
      <c r="KSX157"/>
      <c r="KSY157"/>
      <c r="KSZ157"/>
      <c r="KTA157"/>
      <c r="KTB157"/>
      <c r="KTC157"/>
      <c r="KTD157"/>
      <c r="KTE157"/>
      <c r="KTF157"/>
      <c r="KTG157"/>
      <c r="KTH157"/>
      <c r="KTI157"/>
      <c r="KTJ157"/>
      <c r="KTK157"/>
      <c r="KTL157"/>
      <c r="KTM157"/>
      <c r="KTN157"/>
      <c r="KTO157"/>
      <c r="KTP157"/>
      <c r="KTQ157"/>
      <c r="KTR157"/>
      <c r="KTS157"/>
      <c r="KTT157"/>
      <c r="KTU157"/>
      <c r="KTV157"/>
      <c r="KTW157"/>
      <c r="KTX157"/>
      <c r="KTY157"/>
      <c r="KTZ157"/>
      <c r="KUA157"/>
      <c r="KUB157"/>
      <c r="KUC157"/>
      <c r="KUD157"/>
      <c r="KUE157"/>
      <c r="KUF157"/>
      <c r="KUG157"/>
      <c r="KUH157"/>
      <c r="KUI157"/>
      <c r="KUJ157"/>
      <c r="KUK157"/>
      <c r="KUL157"/>
      <c r="KUM157"/>
      <c r="KUN157"/>
      <c r="KUO157"/>
      <c r="KUP157"/>
      <c r="KUQ157"/>
      <c r="KUR157"/>
      <c r="KUS157"/>
      <c r="KUT157"/>
      <c r="KUU157"/>
      <c r="KUV157"/>
      <c r="KUW157"/>
      <c r="KUX157"/>
      <c r="KUY157"/>
      <c r="KUZ157"/>
      <c r="KVA157"/>
      <c r="KVB157"/>
      <c r="KVC157"/>
      <c r="KVD157"/>
      <c r="KVE157"/>
      <c r="KVF157"/>
      <c r="KVG157"/>
      <c r="KVH157"/>
      <c r="KVI157"/>
      <c r="KVJ157"/>
      <c r="KVK157"/>
      <c r="KVL157"/>
      <c r="KVM157"/>
      <c r="KVN157"/>
      <c r="KVO157"/>
      <c r="KVP157"/>
      <c r="KVQ157"/>
      <c r="KVR157"/>
      <c r="KVS157"/>
      <c r="KVT157"/>
      <c r="KVU157"/>
      <c r="KVV157"/>
      <c r="KVW157"/>
      <c r="KVX157"/>
      <c r="KVY157"/>
      <c r="KVZ157"/>
      <c r="KWA157"/>
      <c r="KWB157"/>
      <c r="KWC157"/>
      <c r="KWD157"/>
      <c r="KWE157"/>
      <c r="KWF157"/>
      <c r="KWG157"/>
      <c r="KWH157"/>
      <c r="KWI157"/>
      <c r="KWJ157"/>
      <c r="KWK157"/>
      <c r="KWL157"/>
      <c r="KWM157"/>
      <c r="KWN157"/>
      <c r="KWO157"/>
      <c r="KWP157"/>
      <c r="KWQ157"/>
      <c r="KWR157"/>
      <c r="KWS157"/>
      <c r="KWT157"/>
      <c r="KWU157"/>
      <c r="KWV157"/>
      <c r="KWW157"/>
      <c r="KWX157"/>
      <c r="KWY157"/>
      <c r="KWZ157"/>
      <c r="KXA157"/>
      <c r="KXB157"/>
      <c r="KXC157"/>
      <c r="KXD157"/>
      <c r="KXE157"/>
      <c r="KXF157"/>
      <c r="KXG157"/>
      <c r="KXH157"/>
      <c r="KXI157"/>
      <c r="KXJ157"/>
      <c r="KXK157"/>
      <c r="KXL157"/>
      <c r="KXM157"/>
      <c r="KXN157"/>
      <c r="KXO157"/>
      <c r="KXP157"/>
      <c r="KXQ157"/>
      <c r="KXR157"/>
      <c r="KXS157"/>
      <c r="KXT157"/>
      <c r="KXU157"/>
      <c r="KXV157"/>
      <c r="KXW157"/>
      <c r="KXX157"/>
      <c r="KXY157"/>
      <c r="KXZ157"/>
      <c r="KYA157"/>
      <c r="KYB157"/>
      <c r="KYC157"/>
      <c r="KYD157"/>
      <c r="KYE157"/>
      <c r="KYF157"/>
      <c r="KYG157"/>
      <c r="KYH157"/>
      <c r="KYI157"/>
      <c r="KYJ157"/>
      <c r="KYK157"/>
      <c r="KYL157"/>
      <c r="KYM157"/>
      <c r="KYN157"/>
      <c r="KYO157"/>
      <c r="KYP157"/>
      <c r="KYQ157"/>
      <c r="KYR157"/>
      <c r="KYS157"/>
      <c r="KYT157"/>
      <c r="KYU157"/>
      <c r="KYV157"/>
      <c r="KYW157"/>
      <c r="KYX157"/>
      <c r="KYY157"/>
      <c r="KYZ157"/>
      <c r="KZA157"/>
      <c r="KZB157"/>
      <c r="KZC157"/>
      <c r="KZD157"/>
      <c r="KZE157"/>
      <c r="KZF157"/>
      <c r="KZG157"/>
      <c r="KZH157"/>
      <c r="KZI157"/>
      <c r="KZJ157"/>
      <c r="KZK157"/>
      <c r="KZL157"/>
      <c r="KZM157"/>
      <c r="KZN157"/>
      <c r="KZO157"/>
      <c r="KZP157"/>
      <c r="KZQ157"/>
      <c r="KZR157"/>
      <c r="KZS157"/>
      <c r="KZT157"/>
      <c r="KZU157"/>
      <c r="KZV157"/>
      <c r="KZW157"/>
      <c r="KZX157"/>
      <c r="KZY157"/>
      <c r="KZZ157"/>
      <c r="LAA157"/>
      <c r="LAB157"/>
      <c r="LAC157"/>
      <c r="LAD157"/>
      <c r="LAE157"/>
      <c r="LAF157"/>
      <c r="LAG157"/>
      <c r="LAH157"/>
      <c r="LAI157"/>
      <c r="LAJ157"/>
      <c r="LAK157"/>
      <c r="LAL157"/>
      <c r="LAM157"/>
      <c r="LAN157"/>
      <c r="LAO157"/>
      <c r="LAP157"/>
      <c r="LAQ157"/>
      <c r="LAR157"/>
      <c r="LAS157"/>
      <c r="LAT157"/>
      <c r="LAU157"/>
      <c r="LAV157"/>
      <c r="LAW157"/>
      <c r="LAX157"/>
      <c r="LAY157"/>
      <c r="LAZ157"/>
      <c r="LBA157"/>
      <c r="LBB157"/>
      <c r="LBC157"/>
      <c r="LBD157"/>
      <c r="LBE157"/>
      <c r="LBF157"/>
      <c r="LBG157"/>
      <c r="LBH157"/>
      <c r="LBI157"/>
      <c r="LBJ157"/>
      <c r="LBK157"/>
      <c r="LBL157"/>
      <c r="LBM157"/>
      <c r="LBN157"/>
      <c r="LBO157"/>
      <c r="LBP157"/>
      <c r="LBQ157"/>
      <c r="LBR157"/>
      <c r="LBS157"/>
      <c r="LBT157"/>
      <c r="LBU157"/>
      <c r="LBV157"/>
      <c r="LBW157"/>
      <c r="LBX157"/>
      <c r="LBY157"/>
      <c r="LBZ157"/>
      <c r="LCA157"/>
      <c r="LCB157"/>
      <c r="LCC157"/>
      <c r="LCD157"/>
      <c r="LCE157"/>
      <c r="LCF157"/>
      <c r="LCG157"/>
      <c r="LCH157"/>
      <c r="LCI157"/>
      <c r="LCJ157"/>
      <c r="LCK157"/>
      <c r="LCL157"/>
      <c r="LCM157"/>
      <c r="LCN157"/>
      <c r="LCO157"/>
      <c r="LCP157"/>
      <c r="LCQ157"/>
      <c r="LCR157"/>
      <c r="LCS157"/>
      <c r="LCT157"/>
      <c r="LCU157"/>
      <c r="LCV157"/>
      <c r="LCW157"/>
      <c r="LCX157"/>
      <c r="LCY157"/>
      <c r="LCZ157"/>
      <c r="LDA157"/>
      <c r="LDB157"/>
      <c r="LDC157"/>
      <c r="LDD157"/>
      <c r="LDE157"/>
      <c r="LDF157"/>
      <c r="LDG157"/>
      <c r="LDH157"/>
      <c r="LDI157"/>
      <c r="LDJ157"/>
      <c r="LDK157"/>
      <c r="LDL157"/>
      <c r="LDM157"/>
      <c r="LDN157"/>
      <c r="LDO157"/>
      <c r="LDP157"/>
      <c r="LDQ157"/>
      <c r="LDR157"/>
      <c r="LDS157"/>
      <c r="LDT157"/>
      <c r="LDU157"/>
      <c r="LDV157"/>
      <c r="LDW157"/>
      <c r="LDX157"/>
      <c r="LDY157"/>
      <c r="LDZ157"/>
      <c r="LEA157"/>
      <c r="LEB157"/>
      <c r="LEC157"/>
      <c r="LED157"/>
      <c r="LEE157"/>
      <c r="LEF157"/>
      <c r="LEG157"/>
      <c r="LEH157"/>
      <c r="LEI157"/>
      <c r="LEJ157"/>
      <c r="LEK157"/>
      <c r="LEL157"/>
      <c r="LEM157"/>
      <c r="LEN157"/>
      <c r="LEO157"/>
      <c r="LEP157"/>
      <c r="LEQ157"/>
      <c r="LER157"/>
      <c r="LES157"/>
      <c r="LET157"/>
      <c r="LEU157"/>
      <c r="LEV157"/>
      <c r="LEW157"/>
      <c r="LEX157"/>
      <c r="LEY157"/>
      <c r="LEZ157"/>
      <c r="LFA157"/>
      <c r="LFB157"/>
      <c r="LFC157"/>
      <c r="LFD157"/>
      <c r="LFE157"/>
      <c r="LFF157"/>
      <c r="LFG157"/>
      <c r="LFH157"/>
      <c r="LFI157"/>
      <c r="LFJ157"/>
      <c r="LFK157"/>
      <c r="LFL157"/>
      <c r="LFM157"/>
      <c r="LFN157"/>
      <c r="LFO157"/>
      <c r="LFP157"/>
      <c r="LFQ157"/>
      <c r="LFR157"/>
      <c r="LFS157"/>
      <c r="LFT157"/>
      <c r="LFU157"/>
      <c r="LFV157"/>
      <c r="LFW157"/>
      <c r="LFX157"/>
      <c r="LFY157"/>
      <c r="LFZ157"/>
      <c r="LGA157"/>
      <c r="LGB157"/>
      <c r="LGC157"/>
      <c r="LGD157"/>
      <c r="LGE157"/>
      <c r="LGF157"/>
      <c r="LGG157"/>
      <c r="LGH157"/>
      <c r="LGI157"/>
      <c r="LGJ157"/>
      <c r="LGK157"/>
      <c r="LGL157"/>
      <c r="LGM157"/>
      <c r="LGN157"/>
      <c r="LGO157"/>
      <c r="LGP157"/>
      <c r="LGQ157"/>
      <c r="LGR157"/>
      <c r="LGS157"/>
      <c r="LGT157"/>
      <c r="LGU157"/>
      <c r="LGV157"/>
      <c r="LGW157"/>
      <c r="LGX157"/>
      <c r="LGY157"/>
      <c r="LGZ157"/>
      <c r="LHA157"/>
      <c r="LHB157"/>
      <c r="LHC157"/>
      <c r="LHD157"/>
      <c r="LHE157"/>
      <c r="LHF157"/>
      <c r="LHG157"/>
      <c r="LHH157"/>
      <c r="LHI157"/>
      <c r="LHJ157"/>
      <c r="LHK157"/>
      <c r="LHL157"/>
      <c r="LHM157"/>
      <c r="LHN157"/>
      <c r="LHO157"/>
      <c r="LHP157"/>
      <c r="LHQ157"/>
      <c r="LHR157"/>
      <c r="LHS157"/>
      <c r="LHT157"/>
      <c r="LHU157"/>
      <c r="LHV157"/>
      <c r="LHW157"/>
      <c r="LHX157"/>
      <c r="LHY157"/>
      <c r="LHZ157"/>
      <c r="LIA157"/>
      <c r="LIB157"/>
      <c r="LIC157"/>
      <c r="LID157"/>
      <c r="LIE157"/>
      <c r="LIF157"/>
      <c r="LIG157"/>
      <c r="LIH157"/>
      <c r="LII157"/>
      <c r="LIJ157"/>
      <c r="LIK157"/>
      <c r="LIL157"/>
      <c r="LIM157"/>
      <c r="LIN157"/>
      <c r="LIO157"/>
      <c r="LIP157"/>
      <c r="LIQ157"/>
      <c r="LIR157"/>
      <c r="LIS157"/>
      <c r="LIT157"/>
      <c r="LIU157"/>
      <c r="LIV157"/>
      <c r="LIW157"/>
      <c r="LIX157"/>
      <c r="LIY157"/>
      <c r="LIZ157"/>
      <c r="LJA157"/>
      <c r="LJB157"/>
      <c r="LJC157"/>
      <c r="LJD157"/>
      <c r="LJE157"/>
      <c r="LJF157"/>
      <c r="LJG157"/>
      <c r="LJH157"/>
      <c r="LJI157"/>
      <c r="LJJ157"/>
      <c r="LJK157"/>
      <c r="LJL157"/>
      <c r="LJM157"/>
      <c r="LJN157"/>
      <c r="LJO157"/>
      <c r="LJP157"/>
      <c r="LJQ157"/>
      <c r="LJR157"/>
      <c r="LJS157"/>
      <c r="LJT157"/>
      <c r="LJU157"/>
      <c r="LJV157"/>
      <c r="LJW157"/>
      <c r="LJX157"/>
      <c r="LJY157"/>
      <c r="LJZ157"/>
      <c r="LKA157"/>
      <c r="LKB157"/>
      <c r="LKC157"/>
      <c r="LKD157"/>
      <c r="LKE157"/>
      <c r="LKF157"/>
      <c r="LKG157"/>
      <c r="LKH157"/>
      <c r="LKI157"/>
      <c r="LKJ157"/>
      <c r="LKK157"/>
      <c r="LKL157"/>
      <c r="LKM157"/>
      <c r="LKN157"/>
      <c r="LKO157"/>
      <c r="LKP157"/>
      <c r="LKQ157"/>
      <c r="LKR157"/>
      <c r="LKS157"/>
      <c r="LKT157"/>
      <c r="LKU157"/>
      <c r="LKV157"/>
      <c r="LKW157"/>
      <c r="LKX157"/>
      <c r="LKY157"/>
      <c r="LKZ157"/>
      <c r="LLA157"/>
      <c r="LLB157"/>
      <c r="LLC157"/>
      <c r="LLD157"/>
      <c r="LLE157"/>
      <c r="LLF157"/>
      <c r="LLG157"/>
      <c r="LLH157"/>
      <c r="LLI157"/>
      <c r="LLJ157"/>
      <c r="LLK157"/>
      <c r="LLL157"/>
      <c r="LLM157"/>
      <c r="LLN157"/>
      <c r="LLO157"/>
      <c r="LLP157"/>
      <c r="LLQ157"/>
      <c r="LLR157"/>
      <c r="LLS157"/>
      <c r="LLT157"/>
      <c r="LLU157"/>
      <c r="LLV157"/>
      <c r="LLW157"/>
      <c r="LLX157"/>
      <c r="LLY157"/>
      <c r="LLZ157"/>
      <c r="LMA157"/>
      <c r="LMB157"/>
      <c r="LMC157"/>
      <c r="LMD157"/>
      <c r="LME157"/>
      <c r="LMF157"/>
      <c r="LMG157"/>
      <c r="LMH157"/>
      <c r="LMI157"/>
      <c r="LMJ157"/>
      <c r="LMK157"/>
      <c r="LML157"/>
      <c r="LMM157"/>
      <c r="LMN157"/>
      <c r="LMO157"/>
      <c r="LMP157"/>
      <c r="LMQ157"/>
      <c r="LMR157"/>
      <c r="LMS157"/>
      <c r="LMT157"/>
      <c r="LMU157"/>
      <c r="LMV157"/>
      <c r="LMW157"/>
      <c r="LMX157"/>
      <c r="LMY157"/>
      <c r="LMZ157"/>
      <c r="LNA157"/>
      <c r="LNB157"/>
      <c r="LNC157"/>
      <c r="LND157"/>
      <c r="LNE157"/>
      <c r="LNF157"/>
      <c r="LNG157"/>
      <c r="LNH157"/>
      <c r="LNI157"/>
      <c r="LNJ157"/>
      <c r="LNK157"/>
      <c r="LNL157"/>
      <c r="LNM157"/>
      <c r="LNN157"/>
      <c r="LNO157"/>
      <c r="LNP157"/>
      <c r="LNQ157"/>
      <c r="LNR157"/>
      <c r="LNS157"/>
      <c r="LNT157"/>
      <c r="LNU157"/>
      <c r="LNV157"/>
      <c r="LNW157"/>
      <c r="LNX157"/>
      <c r="LNY157"/>
      <c r="LNZ157"/>
      <c r="LOA157"/>
      <c r="LOB157"/>
      <c r="LOC157"/>
      <c r="LOD157"/>
      <c r="LOE157"/>
      <c r="LOF157"/>
      <c r="LOG157"/>
      <c r="LOH157"/>
      <c r="LOI157"/>
      <c r="LOJ157"/>
      <c r="LOK157"/>
      <c r="LOL157"/>
      <c r="LOM157"/>
      <c r="LON157"/>
      <c r="LOO157"/>
      <c r="LOP157"/>
      <c r="LOQ157"/>
      <c r="LOR157"/>
      <c r="LOS157"/>
      <c r="LOT157"/>
      <c r="LOU157"/>
      <c r="LOV157"/>
      <c r="LOW157"/>
      <c r="LOX157"/>
      <c r="LOY157"/>
      <c r="LOZ157"/>
      <c r="LPA157"/>
      <c r="LPB157"/>
      <c r="LPC157"/>
      <c r="LPD157"/>
      <c r="LPE157"/>
      <c r="LPF157"/>
      <c r="LPG157"/>
      <c r="LPH157"/>
      <c r="LPI157"/>
      <c r="LPJ157"/>
      <c r="LPK157"/>
      <c r="LPL157"/>
      <c r="LPM157"/>
      <c r="LPN157"/>
      <c r="LPO157"/>
      <c r="LPP157"/>
      <c r="LPQ157"/>
      <c r="LPR157"/>
      <c r="LPS157"/>
      <c r="LPT157"/>
      <c r="LPU157"/>
      <c r="LPV157"/>
      <c r="LPW157"/>
      <c r="LPX157"/>
      <c r="LPY157"/>
      <c r="LPZ157"/>
      <c r="LQA157"/>
      <c r="LQB157"/>
      <c r="LQC157"/>
      <c r="LQD157"/>
      <c r="LQE157"/>
      <c r="LQF157"/>
      <c r="LQG157"/>
      <c r="LQH157"/>
      <c r="LQI157"/>
      <c r="LQJ157"/>
      <c r="LQK157"/>
      <c r="LQL157"/>
      <c r="LQM157"/>
      <c r="LQN157"/>
      <c r="LQO157"/>
      <c r="LQP157"/>
      <c r="LQQ157"/>
      <c r="LQR157"/>
      <c r="LQS157"/>
      <c r="LQT157"/>
      <c r="LQU157"/>
      <c r="LQV157"/>
      <c r="LQW157"/>
      <c r="LQX157"/>
      <c r="LQY157"/>
      <c r="LQZ157"/>
      <c r="LRA157"/>
      <c r="LRB157"/>
      <c r="LRC157"/>
      <c r="LRD157"/>
      <c r="LRE157"/>
      <c r="LRF157"/>
      <c r="LRG157"/>
      <c r="LRH157"/>
      <c r="LRI157"/>
      <c r="LRJ157"/>
      <c r="LRK157"/>
      <c r="LRL157"/>
      <c r="LRM157"/>
      <c r="LRN157"/>
      <c r="LRO157"/>
      <c r="LRP157"/>
      <c r="LRQ157"/>
      <c r="LRR157"/>
      <c r="LRS157"/>
      <c r="LRT157"/>
      <c r="LRU157"/>
      <c r="LRV157"/>
      <c r="LRW157"/>
      <c r="LRX157"/>
      <c r="LRY157"/>
      <c r="LRZ157"/>
      <c r="LSA157"/>
      <c r="LSB157"/>
      <c r="LSC157"/>
      <c r="LSD157"/>
      <c r="LSE157"/>
      <c r="LSF157"/>
      <c r="LSG157"/>
      <c r="LSH157"/>
      <c r="LSI157"/>
      <c r="LSJ157"/>
      <c r="LSK157"/>
      <c r="LSL157"/>
      <c r="LSM157"/>
      <c r="LSN157"/>
      <c r="LSO157"/>
      <c r="LSP157"/>
      <c r="LSQ157"/>
      <c r="LSR157"/>
      <c r="LSS157"/>
      <c r="LST157"/>
      <c r="LSU157"/>
      <c r="LSV157"/>
      <c r="LSW157"/>
      <c r="LSX157"/>
      <c r="LSY157"/>
      <c r="LSZ157"/>
      <c r="LTA157"/>
      <c r="LTB157"/>
      <c r="LTC157"/>
      <c r="LTD157"/>
      <c r="LTE157"/>
      <c r="LTF157"/>
      <c r="LTG157"/>
      <c r="LTH157"/>
      <c r="LTI157"/>
      <c r="LTJ157"/>
      <c r="LTK157"/>
      <c r="LTL157"/>
      <c r="LTM157"/>
      <c r="LTN157"/>
      <c r="LTO157"/>
      <c r="LTP157"/>
      <c r="LTQ157"/>
      <c r="LTR157"/>
      <c r="LTS157"/>
      <c r="LTT157"/>
      <c r="LTU157"/>
      <c r="LTV157"/>
      <c r="LTW157"/>
      <c r="LTX157"/>
      <c r="LTY157"/>
      <c r="LTZ157"/>
      <c r="LUA157"/>
      <c r="LUB157"/>
      <c r="LUC157"/>
      <c r="LUD157"/>
      <c r="LUE157"/>
      <c r="LUF157"/>
      <c r="LUG157"/>
      <c r="LUH157"/>
      <c r="LUI157"/>
      <c r="LUJ157"/>
      <c r="LUK157"/>
      <c r="LUL157"/>
      <c r="LUM157"/>
      <c r="LUN157"/>
      <c r="LUO157"/>
      <c r="LUP157"/>
      <c r="LUQ157"/>
      <c r="LUR157"/>
      <c r="LUS157"/>
      <c r="LUT157"/>
      <c r="LUU157"/>
      <c r="LUV157"/>
      <c r="LUW157"/>
      <c r="LUX157"/>
      <c r="LUY157"/>
      <c r="LUZ157"/>
      <c r="LVA157"/>
      <c r="LVB157"/>
      <c r="LVC157"/>
      <c r="LVD157"/>
      <c r="LVE157"/>
      <c r="LVF157"/>
      <c r="LVG157"/>
      <c r="LVH157"/>
      <c r="LVI157"/>
      <c r="LVJ157"/>
      <c r="LVK157"/>
      <c r="LVL157"/>
      <c r="LVM157"/>
      <c r="LVN157"/>
      <c r="LVO157"/>
      <c r="LVP157"/>
      <c r="LVQ157"/>
      <c r="LVR157"/>
      <c r="LVS157"/>
      <c r="LVT157"/>
      <c r="LVU157"/>
      <c r="LVV157"/>
      <c r="LVW157"/>
      <c r="LVX157"/>
      <c r="LVY157"/>
      <c r="LVZ157"/>
      <c r="LWA157"/>
      <c r="LWB157"/>
      <c r="LWC157"/>
      <c r="LWD157"/>
      <c r="LWE157"/>
      <c r="LWF157"/>
      <c r="LWG157"/>
      <c r="LWH157"/>
      <c r="LWI157"/>
      <c r="LWJ157"/>
      <c r="LWK157"/>
      <c r="LWL157"/>
      <c r="LWM157"/>
      <c r="LWN157"/>
      <c r="LWO157"/>
      <c r="LWP157"/>
      <c r="LWQ157"/>
      <c r="LWR157"/>
      <c r="LWS157"/>
      <c r="LWT157"/>
      <c r="LWU157"/>
      <c r="LWV157"/>
      <c r="LWW157"/>
      <c r="LWX157"/>
      <c r="LWY157"/>
      <c r="LWZ157"/>
      <c r="LXA157"/>
      <c r="LXB157"/>
      <c r="LXC157"/>
      <c r="LXD157"/>
      <c r="LXE157"/>
      <c r="LXF157"/>
      <c r="LXG157"/>
      <c r="LXH157"/>
      <c r="LXI157"/>
      <c r="LXJ157"/>
      <c r="LXK157"/>
      <c r="LXL157"/>
      <c r="LXM157"/>
      <c r="LXN157"/>
      <c r="LXO157"/>
      <c r="LXP157"/>
      <c r="LXQ157"/>
      <c r="LXR157"/>
      <c r="LXS157"/>
      <c r="LXT157"/>
      <c r="LXU157"/>
      <c r="LXV157"/>
      <c r="LXW157"/>
      <c r="LXX157"/>
      <c r="LXY157"/>
      <c r="LXZ157"/>
      <c r="LYA157"/>
      <c r="LYB157"/>
      <c r="LYC157"/>
      <c r="LYD157"/>
      <c r="LYE157"/>
      <c r="LYF157"/>
      <c r="LYG157"/>
      <c r="LYH157"/>
      <c r="LYI157"/>
      <c r="LYJ157"/>
      <c r="LYK157"/>
      <c r="LYL157"/>
      <c r="LYM157"/>
      <c r="LYN157"/>
      <c r="LYO157"/>
      <c r="LYP157"/>
      <c r="LYQ157"/>
      <c r="LYR157"/>
      <c r="LYS157"/>
      <c r="LYT157"/>
      <c r="LYU157"/>
      <c r="LYV157"/>
      <c r="LYW157"/>
      <c r="LYX157"/>
      <c r="LYY157"/>
      <c r="LYZ157"/>
      <c r="LZA157"/>
      <c r="LZB157"/>
      <c r="LZC157"/>
      <c r="LZD157"/>
      <c r="LZE157"/>
      <c r="LZF157"/>
      <c r="LZG157"/>
      <c r="LZH157"/>
      <c r="LZI157"/>
      <c r="LZJ157"/>
      <c r="LZK157"/>
      <c r="LZL157"/>
      <c r="LZM157"/>
      <c r="LZN157"/>
      <c r="LZO157"/>
      <c r="LZP157"/>
      <c r="LZQ157"/>
      <c r="LZR157"/>
      <c r="LZS157"/>
      <c r="LZT157"/>
      <c r="LZU157"/>
      <c r="LZV157"/>
      <c r="LZW157"/>
      <c r="LZX157"/>
      <c r="LZY157"/>
      <c r="LZZ157"/>
      <c r="MAA157"/>
      <c r="MAB157"/>
      <c r="MAC157"/>
      <c r="MAD157"/>
      <c r="MAE157"/>
      <c r="MAF157"/>
      <c r="MAG157"/>
      <c r="MAH157"/>
      <c r="MAI157"/>
      <c r="MAJ157"/>
      <c r="MAK157"/>
      <c r="MAL157"/>
      <c r="MAM157"/>
      <c r="MAN157"/>
      <c r="MAO157"/>
      <c r="MAP157"/>
      <c r="MAQ157"/>
      <c r="MAR157"/>
      <c r="MAS157"/>
      <c r="MAT157"/>
      <c r="MAU157"/>
      <c r="MAV157"/>
      <c r="MAW157"/>
      <c r="MAX157"/>
      <c r="MAY157"/>
      <c r="MAZ157"/>
      <c r="MBA157"/>
      <c r="MBB157"/>
      <c r="MBC157"/>
      <c r="MBD157"/>
      <c r="MBE157"/>
      <c r="MBF157"/>
      <c r="MBG157"/>
      <c r="MBH157"/>
      <c r="MBI157"/>
      <c r="MBJ157"/>
      <c r="MBK157"/>
      <c r="MBL157"/>
      <c r="MBM157"/>
      <c r="MBN157"/>
      <c r="MBO157"/>
      <c r="MBP157"/>
      <c r="MBQ157"/>
      <c r="MBR157"/>
      <c r="MBS157"/>
      <c r="MBT157"/>
      <c r="MBU157"/>
      <c r="MBV157"/>
      <c r="MBW157"/>
      <c r="MBX157"/>
      <c r="MBY157"/>
      <c r="MBZ157"/>
      <c r="MCA157"/>
      <c r="MCB157"/>
      <c r="MCC157"/>
      <c r="MCD157"/>
      <c r="MCE157"/>
      <c r="MCF157"/>
      <c r="MCG157"/>
      <c r="MCH157"/>
      <c r="MCI157"/>
      <c r="MCJ157"/>
      <c r="MCK157"/>
      <c r="MCL157"/>
      <c r="MCM157"/>
      <c r="MCN157"/>
      <c r="MCO157"/>
      <c r="MCP157"/>
      <c r="MCQ157"/>
      <c r="MCR157"/>
      <c r="MCS157"/>
      <c r="MCT157"/>
      <c r="MCU157"/>
      <c r="MCV157"/>
      <c r="MCW157"/>
      <c r="MCX157"/>
      <c r="MCY157"/>
      <c r="MCZ157"/>
      <c r="MDA157"/>
      <c r="MDB157"/>
      <c r="MDC157"/>
      <c r="MDD157"/>
      <c r="MDE157"/>
      <c r="MDF157"/>
      <c r="MDG157"/>
      <c r="MDH157"/>
      <c r="MDI157"/>
      <c r="MDJ157"/>
      <c r="MDK157"/>
      <c r="MDL157"/>
      <c r="MDM157"/>
      <c r="MDN157"/>
      <c r="MDO157"/>
      <c r="MDP157"/>
      <c r="MDQ157"/>
      <c r="MDR157"/>
      <c r="MDS157"/>
      <c r="MDT157"/>
      <c r="MDU157"/>
      <c r="MDV157"/>
      <c r="MDW157"/>
      <c r="MDX157"/>
      <c r="MDY157"/>
      <c r="MDZ157"/>
      <c r="MEA157"/>
      <c r="MEB157"/>
      <c r="MEC157"/>
      <c r="MED157"/>
      <c r="MEE157"/>
      <c r="MEF157"/>
      <c r="MEG157"/>
      <c r="MEH157"/>
      <c r="MEI157"/>
      <c r="MEJ157"/>
      <c r="MEK157"/>
      <c r="MEL157"/>
      <c r="MEM157"/>
      <c r="MEN157"/>
      <c r="MEO157"/>
      <c r="MEP157"/>
      <c r="MEQ157"/>
      <c r="MER157"/>
      <c r="MES157"/>
      <c r="MET157"/>
      <c r="MEU157"/>
      <c r="MEV157"/>
      <c r="MEW157"/>
      <c r="MEX157"/>
      <c r="MEY157"/>
      <c r="MEZ157"/>
      <c r="MFA157"/>
      <c r="MFB157"/>
      <c r="MFC157"/>
      <c r="MFD157"/>
      <c r="MFE157"/>
      <c r="MFF157"/>
      <c r="MFG157"/>
      <c r="MFH157"/>
      <c r="MFI157"/>
      <c r="MFJ157"/>
      <c r="MFK157"/>
      <c r="MFL157"/>
      <c r="MFM157"/>
      <c r="MFN157"/>
      <c r="MFO157"/>
      <c r="MFP157"/>
      <c r="MFQ157"/>
      <c r="MFR157"/>
      <c r="MFS157"/>
      <c r="MFT157"/>
      <c r="MFU157"/>
      <c r="MFV157"/>
      <c r="MFW157"/>
      <c r="MFX157"/>
      <c r="MFY157"/>
      <c r="MFZ157"/>
      <c r="MGA157"/>
      <c r="MGB157"/>
      <c r="MGC157"/>
      <c r="MGD157"/>
      <c r="MGE157"/>
      <c r="MGF157"/>
      <c r="MGG157"/>
      <c r="MGH157"/>
      <c r="MGI157"/>
      <c r="MGJ157"/>
      <c r="MGK157"/>
      <c r="MGL157"/>
      <c r="MGM157"/>
      <c r="MGN157"/>
      <c r="MGO157"/>
      <c r="MGP157"/>
      <c r="MGQ157"/>
      <c r="MGR157"/>
      <c r="MGS157"/>
      <c r="MGT157"/>
      <c r="MGU157"/>
      <c r="MGV157"/>
      <c r="MGW157"/>
      <c r="MGX157"/>
      <c r="MGY157"/>
      <c r="MGZ157"/>
      <c r="MHA157"/>
      <c r="MHB157"/>
      <c r="MHC157"/>
      <c r="MHD157"/>
      <c r="MHE157"/>
      <c r="MHF157"/>
      <c r="MHG157"/>
      <c r="MHH157"/>
      <c r="MHI157"/>
      <c r="MHJ157"/>
      <c r="MHK157"/>
      <c r="MHL157"/>
      <c r="MHM157"/>
      <c r="MHN157"/>
      <c r="MHO157"/>
      <c r="MHP157"/>
      <c r="MHQ157"/>
      <c r="MHR157"/>
      <c r="MHS157"/>
      <c r="MHT157"/>
      <c r="MHU157"/>
      <c r="MHV157"/>
      <c r="MHW157"/>
      <c r="MHX157"/>
      <c r="MHY157"/>
      <c r="MHZ157"/>
      <c r="MIA157"/>
      <c r="MIB157"/>
      <c r="MIC157"/>
      <c r="MID157"/>
      <c r="MIE157"/>
      <c r="MIF157"/>
      <c r="MIG157"/>
      <c r="MIH157"/>
      <c r="MII157"/>
      <c r="MIJ157"/>
      <c r="MIK157"/>
      <c r="MIL157"/>
      <c r="MIM157"/>
      <c r="MIN157"/>
      <c r="MIO157"/>
      <c r="MIP157"/>
      <c r="MIQ157"/>
      <c r="MIR157"/>
      <c r="MIS157"/>
      <c r="MIT157"/>
      <c r="MIU157"/>
      <c r="MIV157"/>
      <c r="MIW157"/>
      <c r="MIX157"/>
      <c r="MIY157"/>
      <c r="MIZ157"/>
      <c r="MJA157"/>
      <c r="MJB157"/>
      <c r="MJC157"/>
      <c r="MJD157"/>
      <c r="MJE157"/>
      <c r="MJF157"/>
      <c r="MJG157"/>
      <c r="MJH157"/>
      <c r="MJI157"/>
      <c r="MJJ157"/>
      <c r="MJK157"/>
      <c r="MJL157"/>
      <c r="MJM157"/>
      <c r="MJN157"/>
      <c r="MJO157"/>
      <c r="MJP157"/>
      <c r="MJQ157"/>
      <c r="MJR157"/>
      <c r="MJS157"/>
      <c r="MJT157"/>
      <c r="MJU157"/>
      <c r="MJV157"/>
      <c r="MJW157"/>
      <c r="MJX157"/>
      <c r="MJY157"/>
      <c r="MJZ157"/>
      <c r="MKA157"/>
      <c r="MKB157"/>
      <c r="MKC157"/>
      <c r="MKD157"/>
      <c r="MKE157"/>
      <c r="MKF157"/>
      <c r="MKG157"/>
      <c r="MKH157"/>
      <c r="MKI157"/>
      <c r="MKJ157"/>
      <c r="MKK157"/>
      <c r="MKL157"/>
      <c r="MKM157"/>
      <c r="MKN157"/>
      <c r="MKO157"/>
      <c r="MKP157"/>
      <c r="MKQ157"/>
      <c r="MKR157"/>
      <c r="MKS157"/>
      <c r="MKT157"/>
      <c r="MKU157"/>
      <c r="MKV157"/>
      <c r="MKW157"/>
      <c r="MKX157"/>
      <c r="MKY157"/>
      <c r="MKZ157"/>
      <c r="MLA157"/>
      <c r="MLB157"/>
      <c r="MLC157"/>
      <c r="MLD157"/>
      <c r="MLE157"/>
      <c r="MLF157"/>
      <c r="MLG157"/>
      <c r="MLH157"/>
      <c r="MLI157"/>
      <c r="MLJ157"/>
      <c r="MLK157"/>
      <c r="MLL157"/>
      <c r="MLM157"/>
      <c r="MLN157"/>
      <c r="MLO157"/>
      <c r="MLP157"/>
      <c r="MLQ157"/>
      <c r="MLR157"/>
      <c r="MLS157"/>
      <c r="MLT157"/>
      <c r="MLU157"/>
      <c r="MLV157"/>
      <c r="MLW157"/>
      <c r="MLX157"/>
      <c r="MLY157"/>
      <c r="MLZ157"/>
      <c r="MMA157"/>
      <c r="MMB157"/>
      <c r="MMC157"/>
      <c r="MMD157"/>
      <c r="MME157"/>
      <c r="MMF157"/>
      <c r="MMG157"/>
      <c r="MMH157"/>
      <c r="MMI157"/>
      <c r="MMJ157"/>
      <c r="MMK157"/>
      <c r="MML157"/>
      <c r="MMM157"/>
      <c r="MMN157"/>
      <c r="MMO157"/>
      <c r="MMP157"/>
      <c r="MMQ157"/>
      <c r="MMR157"/>
      <c r="MMS157"/>
      <c r="MMT157"/>
      <c r="MMU157"/>
      <c r="MMV157"/>
      <c r="MMW157"/>
      <c r="MMX157"/>
      <c r="MMY157"/>
      <c r="MMZ157"/>
      <c r="MNA157"/>
      <c r="MNB157"/>
      <c r="MNC157"/>
      <c r="MND157"/>
      <c r="MNE157"/>
      <c r="MNF157"/>
      <c r="MNG157"/>
      <c r="MNH157"/>
      <c r="MNI157"/>
      <c r="MNJ157"/>
      <c r="MNK157"/>
      <c r="MNL157"/>
      <c r="MNM157"/>
      <c r="MNN157"/>
      <c r="MNO157"/>
      <c r="MNP157"/>
      <c r="MNQ157"/>
      <c r="MNR157"/>
      <c r="MNS157"/>
      <c r="MNT157"/>
      <c r="MNU157"/>
      <c r="MNV157"/>
      <c r="MNW157"/>
      <c r="MNX157"/>
      <c r="MNY157"/>
      <c r="MNZ157"/>
      <c r="MOA157"/>
      <c r="MOB157"/>
      <c r="MOC157"/>
      <c r="MOD157"/>
      <c r="MOE157"/>
      <c r="MOF157"/>
      <c r="MOG157"/>
      <c r="MOH157"/>
      <c r="MOI157"/>
      <c r="MOJ157"/>
      <c r="MOK157"/>
      <c r="MOL157"/>
      <c r="MOM157"/>
      <c r="MON157"/>
      <c r="MOO157"/>
      <c r="MOP157"/>
      <c r="MOQ157"/>
      <c r="MOR157"/>
      <c r="MOS157"/>
      <c r="MOT157"/>
      <c r="MOU157"/>
      <c r="MOV157"/>
      <c r="MOW157"/>
      <c r="MOX157"/>
      <c r="MOY157"/>
      <c r="MOZ157"/>
      <c r="MPA157"/>
      <c r="MPB157"/>
      <c r="MPC157"/>
      <c r="MPD157"/>
      <c r="MPE157"/>
      <c r="MPF157"/>
      <c r="MPG157"/>
      <c r="MPH157"/>
      <c r="MPI157"/>
      <c r="MPJ157"/>
      <c r="MPK157"/>
      <c r="MPL157"/>
      <c r="MPM157"/>
      <c r="MPN157"/>
      <c r="MPO157"/>
      <c r="MPP157"/>
      <c r="MPQ157"/>
      <c r="MPR157"/>
      <c r="MPS157"/>
      <c r="MPT157"/>
      <c r="MPU157"/>
      <c r="MPV157"/>
      <c r="MPW157"/>
      <c r="MPX157"/>
      <c r="MPY157"/>
      <c r="MPZ157"/>
      <c r="MQA157"/>
      <c r="MQB157"/>
      <c r="MQC157"/>
      <c r="MQD157"/>
      <c r="MQE157"/>
      <c r="MQF157"/>
      <c r="MQG157"/>
      <c r="MQH157"/>
      <c r="MQI157"/>
      <c r="MQJ157"/>
      <c r="MQK157"/>
      <c r="MQL157"/>
      <c r="MQM157"/>
      <c r="MQN157"/>
      <c r="MQO157"/>
      <c r="MQP157"/>
      <c r="MQQ157"/>
      <c r="MQR157"/>
      <c r="MQS157"/>
      <c r="MQT157"/>
      <c r="MQU157"/>
      <c r="MQV157"/>
      <c r="MQW157"/>
      <c r="MQX157"/>
      <c r="MQY157"/>
      <c r="MQZ157"/>
      <c r="MRA157"/>
      <c r="MRB157"/>
      <c r="MRC157"/>
      <c r="MRD157"/>
      <c r="MRE157"/>
      <c r="MRF157"/>
      <c r="MRG157"/>
      <c r="MRH157"/>
      <c r="MRI157"/>
      <c r="MRJ157"/>
      <c r="MRK157"/>
      <c r="MRL157"/>
      <c r="MRM157"/>
      <c r="MRN157"/>
      <c r="MRO157"/>
      <c r="MRP157"/>
      <c r="MRQ157"/>
      <c r="MRR157"/>
      <c r="MRS157"/>
      <c r="MRT157"/>
      <c r="MRU157"/>
      <c r="MRV157"/>
      <c r="MRW157"/>
      <c r="MRX157"/>
      <c r="MRY157"/>
      <c r="MRZ157"/>
      <c r="MSA157"/>
      <c r="MSB157"/>
      <c r="MSC157"/>
      <c r="MSD157"/>
      <c r="MSE157"/>
      <c r="MSF157"/>
      <c r="MSG157"/>
      <c r="MSH157"/>
      <c r="MSI157"/>
      <c r="MSJ157"/>
      <c r="MSK157"/>
      <c r="MSL157"/>
      <c r="MSM157"/>
      <c r="MSN157"/>
      <c r="MSO157"/>
      <c r="MSP157"/>
      <c r="MSQ157"/>
      <c r="MSR157"/>
      <c r="MSS157"/>
      <c r="MST157"/>
      <c r="MSU157"/>
      <c r="MSV157"/>
      <c r="MSW157"/>
      <c r="MSX157"/>
      <c r="MSY157"/>
      <c r="MSZ157"/>
      <c r="MTA157"/>
      <c r="MTB157"/>
      <c r="MTC157"/>
      <c r="MTD157"/>
      <c r="MTE157"/>
      <c r="MTF157"/>
      <c r="MTG157"/>
      <c r="MTH157"/>
      <c r="MTI157"/>
      <c r="MTJ157"/>
      <c r="MTK157"/>
      <c r="MTL157"/>
      <c r="MTM157"/>
      <c r="MTN157"/>
      <c r="MTO157"/>
      <c r="MTP157"/>
      <c r="MTQ157"/>
      <c r="MTR157"/>
      <c r="MTS157"/>
      <c r="MTT157"/>
      <c r="MTU157"/>
      <c r="MTV157"/>
      <c r="MTW157"/>
      <c r="MTX157"/>
      <c r="MTY157"/>
      <c r="MTZ157"/>
      <c r="MUA157"/>
      <c r="MUB157"/>
      <c r="MUC157"/>
      <c r="MUD157"/>
      <c r="MUE157"/>
      <c r="MUF157"/>
      <c r="MUG157"/>
      <c r="MUH157"/>
      <c r="MUI157"/>
      <c r="MUJ157"/>
      <c r="MUK157"/>
      <c r="MUL157"/>
      <c r="MUM157"/>
      <c r="MUN157"/>
      <c r="MUO157"/>
      <c r="MUP157"/>
      <c r="MUQ157"/>
      <c r="MUR157"/>
      <c r="MUS157"/>
      <c r="MUT157"/>
      <c r="MUU157"/>
      <c r="MUV157"/>
      <c r="MUW157"/>
      <c r="MUX157"/>
      <c r="MUY157"/>
      <c r="MUZ157"/>
      <c r="MVA157"/>
      <c r="MVB157"/>
      <c r="MVC157"/>
      <c r="MVD157"/>
      <c r="MVE157"/>
      <c r="MVF157"/>
      <c r="MVG157"/>
      <c r="MVH157"/>
      <c r="MVI157"/>
      <c r="MVJ157"/>
      <c r="MVK157"/>
      <c r="MVL157"/>
      <c r="MVM157"/>
      <c r="MVN157"/>
      <c r="MVO157"/>
      <c r="MVP157"/>
      <c r="MVQ157"/>
      <c r="MVR157"/>
      <c r="MVS157"/>
      <c r="MVT157"/>
      <c r="MVU157"/>
      <c r="MVV157"/>
      <c r="MVW157"/>
      <c r="MVX157"/>
      <c r="MVY157"/>
      <c r="MVZ157"/>
      <c r="MWA157"/>
      <c r="MWB157"/>
      <c r="MWC157"/>
      <c r="MWD157"/>
      <c r="MWE157"/>
      <c r="MWF157"/>
      <c r="MWG157"/>
      <c r="MWH157"/>
      <c r="MWI157"/>
      <c r="MWJ157"/>
      <c r="MWK157"/>
      <c r="MWL157"/>
      <c r="MWM157"/>
      <c r="MWN157"/>
      <c r="MWO157"/>
      <c r="MWP157"/>
      <c r="MWQ157"/>
      <c r="MWR157"/>
      <c r="MWS157"/>
      <c r="MWT157"/>
      <c r="MWU157"/>
      <c r="MWV157"/>
      <c r="MWW157"/>
      <c r="MWX157"/>
      <c r="MWY157"/>
      <c r="MWZ157"/>
      <c r="MXA157"/>
      <c r="MXB157"/>
      <c r="MXC157"/>
      <c r="MXD157"/>
      <c r="MXE157"/>
      <c r="MXF157"/>
      <c r="MXG157"/>
      <c r="MXH157"/>
      <c r="MXI157"/>
      <c r="MXJ157"/>
      <c r="MXK157"/>
      <c r="MXL157"/>
      <c r="MXM157"/>
      <c r="MXN157"/>
      <c r="MXO157"/>
      <c r="MXP157"/>
      <c r="MXQ157"/>
      <c r="MXR157"/>
      <c r="MXS157"/>
      <c r="MXT157"/>
      <c r="MXU157"/>
      <c r="MXV157"/>
      <c r="MXW157"/>
      <c r="MXX157"/>
      <c r="MXY157"/>
      <c r="MXZ157"/>
      <c r="MYA157"/>
      <c r="MYB157"/>
      <c r="MYC157"/>
      <c r="MYD157"/>
      <c r="MYE157"/>
      <c r="MYF157"/>
      <c r="MYG157"/>
      <c r="MYH157"/>
      <c r="MYI157"/>
      <c r="MYJ157"/>
      <c r="MYK157"/>
      <c r="MYL157"/>
      <c r="MYM157"/>
      <c r="MYN157"/>
      <c r="MYO157"/>
      <c r="MYP157"/>
      <c r="MYQ157"/>
      <c r="MYR157"/>
      <c r="MYS157"/>
      <c r="MYT157"/>
      <c r="MYU157"/>
      <c r="MYV157"/>
      <c r="MYW157"/>
      <c r="MYX157"/>
      <c r="MYY157"/>
      <c r="MYZ157"/>
      <c r="MZA157"/>
      <c r="MZB157"/>
      <c r="MZC157"/>
      <c r="MZD157"/>
      <c r="MZE157"/>
      <c r="MZF157"/>
      <c r="MZG157"/>
      <c r="MZH157"/>
      <c r="MZI157"/>
      <c r="MZJ157"/>
      <c r="MZK157"/>
      <c r="MZL157"/>
      <c r="MZM157"/>
      <c r="MZN157"/>
      <c r="MZO157"/>
      <c r="MZP157"/>
      <c r="MZQ157"/>
      <c r="MZR157"/>
      <c r="MZS157"/>
      <c r="MZT157"/>
      <c r="MZU157"/>
      <c r="MZV157"/>
      <c r="MZW157"/>
      <c r="MZX157"/>
      <c r="MZY157"/>
      <c r="MZZ157"/>
      <c r="NAA157"/>
      <c r="NAB157"/>
      <c r="NAC157"/>
      <c r="NAD157"/>
      <c r="NAE157"/>
      <c r="NAF157"/>
      <c r="NAG157"/>
      <c r="NAH157"/>
      <c r="NAI157"/>
      <c r="NAJ157"/>
      <c r="NAK157"/>
      <c r="NAL157"/>
      <c r="NAM157"/>
      <c r="NAN157"/>
      <c r="NAO157"/>
      <c r="NAP157"/>
      <c r="NAQ157"/>
      <c r="NAR157"/>
      <c r="NAS157"/>
      <c r="NAT157"/>
      <c r="NAU157"/>
      <c r="NAV157"/>
      <c r="NAW157"/>
      <c r="NAX157"/>
      <c r="NAY157"/>
      <c r="NAZ157"/>
      <c r="NBA157"/>
      <c r="NBB157"/>
      <c r="NBC157"/>
      <c r="NBD157"/>
      <c r="NBE157"/>
      <c r="NBF157"/>
      <c r="NBG157"/>
      <c r="NBH157"/>
      <c r="NBI157"/>
      <c r="NBJ157"/>
      <c r="NBK157"/>
      <c r="NBL157"/>
      <c r="NBM157"/>
      <c r="NBN157"/>
      <c r="NBO157"/>
      <c r="NBP157"/>
      <c r="NBQ157"/>
      <c r="NBR157"/>
      <c r="NBS157"/>
      <c r="NBT157"/>
      <c r="NBU157"/>
      <c r="NBV157"/>
      <c r="NBW157"/>
      <c r="NBX157"/>
      <c r="NBY157"/>
      <c r="NBZ157"/>
      <c r="NCA157"/>
      <c r="NCB157"/>
      <c r="NCC157"/>
      <c r="NCD157"/>
      <c r="NCE157"/>
      <c r="NCF157"/>
      <c r="NCG157"/>
      <c r="NCH157"/>
      <c r="NCI157"/>
      <c r="NCJ157"/>
      <c r="NCK157"/>
      <c r="NCL157"/>
      <c r="NCM157"/>
      <c r="NCN157"/>
      <c r="NCO157"/>
      <c r="NCP157"/>
      <c r="NCQ157"/>
      <c r="NCR157"/>
      <c r="NCS157"/>
      <c r="NCT157"/>
      <c r="NCU157"/>
      <c r="NCV157"/>
      <c r="NCW157"/>
      <c r="NCX157"/>
      <c r="NCY157"/>
      <c r="NCZ157"/>
      <c r="NDA157"/>
      <c r="NDB157"/>
      <c r="NDC157"/>
      <c r="NDD157"/>
      <c r="NDE157"/>
      <c r="NDF157"/>
      <c r="NDG157"/>
      <c r="NDH157"/>
      <c r="NDI157"/>
      <c r="NDJ157"/>
      <c r="NDK157"/>
      <c r="NDL157"/>
      <c r="NDM157"/>
      <c r="NDN157"/>
      <c r="NDO157"/>
      <c r="NDP157"/>
      <c r="NDQ157"/>
      <c r="NDR157"/>
      <c r="NDS157"/>
      <c r="NDT157"/>
      <c r="NDU157"/>
      <c r="NDV157"/>
      <c r="NDW157"/>
      <c r="NDX157"/>
      <c r="NDY157"/>
      <c r="NDZ157"/>
      <c r="NEA157"/>
      <c r="NEB157"/>
      <c r="NEC157"/>
      <c r="NED157"/>
      <c r="NEE157"/>
      <c r="NEF157"/>
      <c r="NEG157"/>
      <c r="NEH157"/>
      <c r="NEI157"/>
      <c r="NEJ157"/>
      <c r="NEK157"/>
      <c r="NEL157"/>
      <c r="NEM157"/>
      <c r="NEN157"/>
      <c r="NEO157"/>
      <c r="NEP157"/>
      <c r="NEQ157"/>
      <c r="NER157"/>
      <c r="NES157"/>
      <c r="NET157"/>
      <c r="NEU157"/>
      <c r="NEV157"/>
      <c r="NEW157"/>
      <c r="NEX157"/>
      <c r="NEY157"/>
      <c r="NEZ157"/>
      <c r="NFA157"/>
      <c r="NFB157"/>
      <c r="NFC157"/>
      <c r="NFD157"/>
      <c r="NFE157"/>
      <c r="NFF157"/>
      <c r="NFG157"/>
      <c r="NFH157"/>
      <c r="NFI157"/>
      <c r="NFJ157"/>
      <c r="NFK157"/>
      <c r="NFL157"/>
      <c r="NFM157"/>
      <c r="NFN157"/>
      <c r="NFO157"/>
      <c r="NFP157"/>
      <c r="NFQ157"/>
      <c r="NFR157"/>
      <c r="NFS157"/>
      <c r="NFT157"/>
      <c r="NFU157"/>
      <c r="NFV157"/>
      <c r="NFW157"/>
      <c r="NFX157"/>
      <c r="NFY157"/>
      <c r="NFZ157"/>
      <c r="NGA157"/>
      <c r="NGB157"/>
      <c r="NGC157"/>
      <c r="NGD157"/>
      <c r="NGE157"/>
      <c r="NGF157"/>
      <c r="NGG157"/>
      <c r="NGH157"/>
      <c r="NGI157"/>
      <c r="NGJ157"/>
      <c r="NGK157"/>
      <c r="NGL157"/>
      <c r="NGM157"/>
      <c r="NGN157"/>
      <c r="NGO157"/>
      <c r="NGP157"/>
      <c r="NGQ157"/>
      <c r="NGR157"/>
      <c r="NGS157"/>
      <c r="NGT157"/>
      <c r="NGU157"/>
      <c r="NGV157"/>
      <c r="NGW157"/>
      <c r="NGX157"/>
      <c r="NGY157"/>
      <c r="NGZ157"/>
      <c r="NHA157"/>
      <c r="NHB157"/>
      <c r="NHC157"/>
      <c r="NHD157"/>
      <c r="NHE157"/>
      <c r="NHF157"/>
      <c r="NHG157"/>
      <c r="NHH157"/>
      <c r="NHI157"/>
      <c r="NHJ157"/>
      <c r="NHK157"/>
      <c r="NHL157"/>
      <c r="NHM157"/>
      <c r="NHN157"/>
      <c r="NHO157"/>
      <c r="NHP157"/>
      <c r="NHQ157"/>
      <c r="NHR157"/>
      <c r="NHS157"/>
      <c r="NHT157"/>
      <c r="NHU157"/>
      <c r="NHV157"/>
      <c r="NHW157"/>
      <c r="NHX157"/>
      <c r="NHY157"/>
      <c r="NHZ157"/>
      <c r="NIA157"/>
      <c r="NIB157"/>
      <c r="NIC157"/>
      <c r="NID157"/>
      <c r="NIE157"/>
      <c r="NIF157"/>
      <c r="NIG157"/>
      <c r="NIH157"/>
      <c r="NII157"/>
      <c r="NIJ157"/>
      <c r="NIK157"/>
      <c r="NIL157"/>
      <c r="NIM157"/>
      <c r="NIN157"/>
      <c r="NIO157"/>
      <c r="NIP157"/>
      <c r="NIQ157"/>
      <c r="NIR157"/>
      <c r="NIS157"/>
      <c r="NIT157"/>
      <c r="NIU157"/>
      <c r="NIV157"/>
      <c r="NIW157"/>
      <c r="NIX157"/>
      <c r="NIY157"/>
      <c r="NIZ157"/>
      <c r="NJA157"/>
      <c r="NJB157"/>
      <c r="NJC157"/>
      <c r="NJD157"/>
      <c r="NJE157"/>
      <c r="NJF157"/>
      <c r="NJG157"/>
      <c r="NJH157"/>
      <c r="NJI157"/>
      <c r="NJJ157"/>
      <c r="NJK157"/>
      <c r="NJL157"/>
      <c r="NJM157"/>
      <c r="NJN157"/>
      <c r="NJO157"/>
      <c r="NJP157"/>
      <c r="NJQ157"/>
      <c r="NJR157"/>
      <c r="NJS157"/>
      <c r="NJT157"/>
      <c r="NJU157"/>
      <c r="NJV157"/>
      <c r="NJW157"/>
      <c r="NJX157"/>
      <c r="NJY157"/>
      <c r="NJZ157"/>
      <c r="NKA157"/>
      <c r="NKB157"/>
      <c r="NKC157"/>
      <c r="NKD157"/>
      <c r="NKE157"/>
      <c r="NKF157"/>
      <c r="NKG157"/>
      <c r="NKH157"/>
      <c r="NKI157"/>
      <c r="NKJ157"/>
      <c r="NKK157"/>
      <c r="NKL157"/>
      <c r="NKM157"/>
      <c r="NKN157"/>
      <c r="NKO157"/>
      <c r="NKP157"/>
      <c r="NKQ157"/>
      <c r="NKR157"/>
      <c r="NKS157"/>
      <c r="NKT157"/>
      <c r="NKU157"/>
      <c r="NKV157"/>
      <c r="NKW157"/>
      <c r="NKX157"/>
      <c r="NKY157"/>
      <c r="NKZ157"/>
      <c r="NLA157"/>
      <c r="NLB157"/>
      <c r="NLC157"/>
      <c r="NLD157"/>
      <c r="NLE157"/>
      <c r="NLF157"/>
      <c r="NLG157"/>
      <c r="NLH157"/>
      <c r="NLI157"/>
      <c r="NLJ157"/>
      <c r="NLK157"/>
      <c r="NLL157"/>
      <c r="NLM157"/>
      <c r="NLN157"/>
      <c r="NLO157"/>
      <c r="NLP157"/>
      <c r="NLQ157"/>
      <c r="NLR157"/>
      <c r="NLS157"/>
      <c r="NLT157"/>
      <c r="NLU157"/>
      <c r="NLV157"/>
      <c r="NLW157"/>
      <c r="NLX157"/>
      <c r="NLY157"/>
      <c r="NLZ157"/>
      <c r="NMA157"/>
      <c r="NMB157"/>
      <c r="NMC157"/>
      <c r="NMD157"/>
      <c r="NME157"/>
      <c r="NMF157"/>
      <c r="NMG157"/>
      <c r="NMH157"/>
      <c r="NMI157"/>
      <c r="NMJ157"/>
      <c r="NMK157"/>
      <c r="NML157"/>
      <c r="NMM157"/>
      <c r="NMN157"/>
      <c r="NMO157"/>
      <c r="NMP157"/>
      <c r="NMQ157"/>
      <c r="NMR157"/>
      <c r="NMS157"/>
      <c r="NMT157"/>
      <c r="NMU157"/>
      <c r="NMV157"/>
      <c r="NMW157"/>
      <c r="NMX157"/>
      <c r="NMY157"/>
      <c r="NMZ157"/>
      <c r="NNA157"/>
      <c r="NNB157"/>
      <c r="NNC157"/>
      <c r="NND157"/>
      <c r="NNE157"/>
      <c r="NNF157"/>
      <c r="NNG157"/>
      <c r="NNH157"/>
      <c r="NNI157"/>
      <c r="NNJ157"/>
      <c r="NNK157"/>
      <c r="NNL157"/>
      <c r="NNM157"/>
      <c r="NNN157"/>
      <c r="NNO157"/>
      <c r="NNP157"/>
      <c r="NNQ157"/>
      <c r="NNR157"/>
      <c r="NNS157"/>
      <c r="NNT157"/>
      <c r="NNU157"/>
      <c r="NNV157"/>
      <c r="NNW157"/>
      <c r="NNX157"/>
      <c r="NNY157"/>
      <c r="NNZ157"/>
      <c r="NOA157"/>
      <c r="NOB157"/>
      <c r="NOC157"/>
      <c r="NOD157"/>
      <c r="NOE157"/>
      <c r="NOF157"/>
      <c r="NOG157"/>
      <c r="NOH157"/>
      <c r="NOI157"/>
      <c r="NOJ157"/>
      <c r="NOK157"/>
      <c r="NOL157"/>
      <c r="NOM157"/>
      <c r="NON157"/>
      <c r="NOO157"/>
      <c r="NOP157"/>
      <c r="NOQ157"/>
      <c r="NOR157"/>
      <c r="NOS157"/>
      <c r="NOT157"/>
      <c r="NOU157"/>
      <c r="NOV157"/>
      <c r="NOW157"/>
      <c r="NOX157"/>
      <c r="NOY157"/>
      <c r="NOZ157"/>
      <c r="NPA157"/>
      <c r="NPB157"/>
      <c r="NPC157"/>
      <c r="NPD157"/>
      <c r="NPE157"/>
      <c r="NPF157"/>
      <c r="NPG157"/>
      <c r="NPH157"/>
      <c r="NPI157"/>
      <c r="NPJ157"/>
      <c r="NPK157"/>
      <c r="NPL157"/>
      <c r="NPM157"/>
      <c r="NPN157"/>
      <c r="NPO157"/>
      <c r="NPP157"/>
      <c r="NPQ157"/>
      <c r="NPR157"/>
      <c r="NPS157"/>
      <c r="NPT157"/>
      <c r="NPU157"/>
      <c r="NPV157"/>
      <c r="NPW157"/>
      <c r="NPX157"/>
      <c r="NPY157"/>
      <c r="NPZ157"/>
      <c r="NQA157"/>
      <c r="NQB157"/>
      <c r="NQC157"/>
      <c r="NQD157"/>
      <c r="NQE157"/>
      <c r="NQF157"/>
      <c r="NQG157"/>
      <c r="NQH157"/>
      <c r="NQI157"/>
      <c r="NQJ157"/>
      <c r="NQK157"/>
      <c r="NQL157"/>
      <c r="NQM157"/>
      <c r="NQN157"/>
      <c r="NQO157"/>
      <c r="NQP157"/>
      <c r="NQQ157"/>
      <c r="NQR157"/>
      <c r="NQS157"/>
      <c r="NQT157"/>
      <c r="NQU157"/>
      <c r="NQV157"/>
      <c r="NQW157"/>
      <c r="NQX157"/>
      <c r="NQY157"/>
      <c r="NQZ157"/>
      <c r="NRA157"/>
      <c r="NRB157"/>
      <c r="NRC157"/>
      <c r="NRD157"/>
      <c r="NRE157"/>
      <c r="NRF157"/>
      <c r="NRG157"/>
      <c r="NRH157"/>
      <c r="NRI157"/>
      <c r="NRJ157"/>
      <c r="NRK157"/>
      <c r="NRL157"/>
      <c r="NRM157"/>
      <c r="NRN157"/>
      <c r="NRO157"/>
      <c r="NRP157"/>
      <c r="NRQ157"/>
      <c r="NRR157"/>
      <c r="NRS157"/>
      <c r="NRT157"/>
      <c r="NRU157"/>
      <c r="NRV157"/>
      <c r="NRW157"/>
      <c r="NRX157"/>
      <c r="NRY157"/>
      <c r="NRZ157"/>
      <c r="NSA157"/>
      <c r="NSB157"/>
      <c r="NSC157"/>
      <c r="NSD157"/>
      <c r="NSE157"/>
      <c r="NSF157"/>
      <c r="NSG157"/>
      <c r="NSH157"/>
      <c r="NSI157"/>
      <c r="NSJ157"/>
      <c r="NSK157"/>
      <c r="NSL157"/>
      <c r="NSM157"/>
      <c r="NSN157"/>
      <c r="NSO157"/>
      <c r="NSP157"/>
      <c r="NSQ157"/>
      <c r="NSR157"/>
      <c r="NSS157"/>
      <c r="NST157"/>
      <c r="NSU157"/>
      <c r="NSV157"/>
      <c r="NSW157"/>
      <c r="NSX157"/>
      <c r="NSY157"/>
      <c r="NSZ157"/>
      <c r="NTA157"/>
      <c r="NTB157"/>
      <c r="NTC157"/>
      <c r="NTD157"/>
      <c r="NTE157"/>
      <c r="NTF157"/>
      <c r="NTG157"/>
      <c r="NTH157"/>
      <c r="NTI157"/>
      <c r="NTJ157"/>
      <c r="NTK157"/>
      <c r="NTL157"/>
      <c r="NTM157"/>
      <c r="NTN157"/>
      <c r="NTO157"/>
      <c r="NTP157"/>
      <c r="NTQ157"/>
      <c r="NTR157"/>
      <c r="NTS157"/>
      <c r="NTT157"/>
      <c r="NTU157"/>
      <c r="NTV157"/>
      <c r="NTW157"/>
      <c r="NTX157"/>
      <c r="NTY157"/>
      <c r="NTZ157"/>
      <c r="NUA157"/>
      <c r="NUB157"/>
      <c r="NUC157"/>
      <c r="NUD157"/>
      <c r="NUE157"/>
      <c r="NUF157"/>
      <c r="NUG157"/>
      <c r="NUH157"/>
      <c r="NUI157"/>
      <c r="NUJ157"/>
      <c r="NUK157"/>
      <c r="NUL157"/>
      <c r="NUM157"/>
      <c r="NUN157"/>
      <c r="NUO157"/>
      <c r="NUP157"/>
      <c r="NUQ157"/>
      <c r="NUR157"/>
      <c r="NUS157"/>
      <c r="NUT157"/>
      <c r="NUU157"/>
      <c r="NUV157"/>
      <c r="NUW157"/>
      <c r="NUX157"/>
      <c r="NUY157"/>
      <c r="NUZ157"/>
      <c r="NVA157"/>
      <c r="NVB157"/>
      <c r="NVC157"/>
      <c r="NVD157"/>
      <c r="NVE157"/>
      <c r="NVF157"/>
      <c r="NVG157"/>
      <c r="NVH157"/>
      <c r="NVI157"/>
      <c r="NVJ157"/>
      <c r="NVK157"/>
      <c r="NVL157"/>
      <c r="NVM157"/>
      <c r="NVN157"/>
      <c r="NVO157"/>
      <c r="NVP157"/>
      <c r="NVQ157"/>
      <c r="NVR157"/>
      <c r="NVS157"/>
      <c r="NVT157"/>
      <c r="NVU157"/>
      <c r="NVV157"/>
      <c r="NVW157"/>
      <c r="NVX157"/>
      <c r="NVY157"/>
      <c r="NVZ157"/>
      <c r="NWA157"/>
      <c r="NWB157"/>
      <c r="NWC157"/>
      <c r="NWD157"/>
      <c r="NWE157"/>
      <c r="NWF157"/>
      <c r="NWG157"/>
      <c r="NWH157"/>
      <c r="NWI157"/>
      <c r="NWJ157"/>
      <c r="NWK157"/>
      <c r="NWL157"/>
      <c r="NWM157"/>
      <c r="NWN157"/>
      <c r="NWO157"/>
      <c r="NWP157"/>
      <c r="NWQ157"/>
      <c r="NWR157"/>
      <c r="NWS157"/>
      <c r="NWT157"/>
      <c r="NWU157"/>
      <c r="NWV157"/>
      <c r="NWW157"/>
      <c r="NWX157"/>
      <c r="NWY157"/>
      <c r="NWZ157"/>
      <c r="NXA157"/>
      <c r="NXB157"/>
      <c r="NXC157"/>
      <c r="NXD157"/>
      <c r="NXE157"/>
      <c r="NXF157"/>
      <c r="NXG157"/>
      <c r="NXH157"/>
      <c r="NXI157"/>
      <c r="NXJ157"/>
      <c r="NXK157"/>
      <c r="NXL157"/>
      <c r="NXM157"/>
      <c r="NXN157"/>
      <c r="NXO157"/>
      <c r="NXP157"/>
      <c r="NXQ157"/>
      <c r="NXR157"/>
      <c r="NXS157"/>
      <c r="NXT157"/>
      <c r="NXU157"/>
      <c r="NXV157"/>
      <c r="NXW157"/>
      <c r="NXX157"/>
      <c r="NXY157"/>
      <c r="NXZ157"/>
      <c r="NYA157"/>
      <c r="NYB157"/>
      <c r="NYC157"/>
      <c r="NYD157"/>
      <c r="NYE157"/>
      <c r="NYF157"/>
      <c r="NYG157"/>
      <c r="NYH157"/>
      <c r="NYI157"/>
      <c r="NYJ157"/>
      <c r="NYK157"/>
      <c r="NYL157"/>
      <c r="NYM157"/>
      <c r="NYN157"/>
      <c r="NYO157"/>
      <c r="NYP157"/>
      <c r="NYQ157"/>
      <c r="NYR157"/>
      <c r="NYS157"/>
      <c r="NYT157"/>
      <c r="NYU157"/>
      <c r="NYV157"/>
      <c r="NYW157"/>
      <c r="NYX157"/>
      <c r="NYY157"/>
      <c r="NYZ157"/>
      <c r="NZA157"/>
      <c r="NZB157"/>
      <c r="NZC157"/>
      <c r="NZD157"/>
      <c r="NZE157"/>
      <c r="NZF157"/>
      <c r="NZG157"/>
      <c r="NZH157"/>
      <c r="NZI157"/>
      <c r="NZJ157"/>
      <c r="NZK157"/>
      <c r="NZL157"/>
      <c r="NZM157"/>
      <c r="NZN157"/>
      <c r="NZO157"/>
      <c r="NZP157"/>
      <c r="NZQ157"/>
      <c r="NZR157"/>
      <c r="NZS157"/>
      <c r="NZT157"/>
      <c r="NZU157"/>
      <c r="NZV157"/>
      <c r="NZW157"/>
      <c r="NZX157"/>
      <c r="NZY157"/>
      <c r="NZZ157"/>
      <c r="OAA157"/>
      <c r="OAB157"/>
      <c r="OAC157"/>
      <c r="OAD157"/>
      <c r="OAE157"/>
      <c r="OAF157"/>
      <c r="OAG157"/>
      <c r="OAH157"/>
      <c r="OAI157"/>
      <c r="OAJ157"/>
      <c r="OAK157"/>
      <c r="OAL157"/>
      <c r="OAM157"/>
      <c r="OAN157"/>
      <c r="OAO157"/>
      <c r="OAP157"/>
      <c r="OAQ157"/>
      <c r="OAR157"/>
      <c r="OAS157"/>
      <c r="OAT157"/>
      <c r="OAU157"/>
      <c r="OAV157"/>
      <c r="OAW157"/>
      <c r="OAX157"/>
      <c r="OAY157"/>
      <c r="OAZ157"/>
      <c r="OBA157"/>
      <c r="OBB157"/>
      <c r="OBC157"/>
      <c r="OBD157"/>
      <c r="OBE157"/>
      <c r="OBF157"/>
      <c r="OBG157"/>
      <c r="OBH157"/>
      <c r="OBI157"/>
      <c r="OBJ157"/>
      <c r="OBK157"/>
      <c r="OBL157"/>
      <c r="OBM157"/>
      <c r="OBN157"/>
      <c r="OBO157"/>
      <c r="OBP157"/>
      <c r="OBQ157"/>
      <c r="OBR157"/>
      <c r="OBS157"/>
      <c r="OBT157"/>
      <c r="OBU157"/>
      <c r="OBV157"/>
      <c r="OBW157"/>
      <c r="OBX157"/>
      <c r="OBY157"/>
      <c r="OBZ157"/>
      <c r="OCA157"/>
      <c r="OCB157"/>
      <c r="OCC157"/>
      <c r="OCD157"/>
      <c r="OCE157"/>
      <c r="OCF157"/>
      <c r="OCG157"/>
      <c r="OCH157"/>
      <c r="OCI157"/>
      <c r="OCJ157"/>
      <c r="OCK157"/>
      <c r="OCL157"/>
      <c r="OCM157"/>
      <c r="OCN157"/>
      <c r="OCO157"/>
      <c r="OCP157"/>
      <c r="OCQ157"/>
      <c r="OCR157"/>
      <c r="OCS157"/>
      <c r="OCT157"/>
      <c r="OCU157"/>
      <c r="OCV157"/>
      <c r="OCW157"/>
      <c r="OCX157"/>
      <c r="OCY157"/>
      <c r="OCZ157"/>
      <c r="ODA157"/>
      <c r="ODB157"/>
      <c r="ODC157"/>
      <c r="ODD157"/>
      <c r="ODE157"/>
      <c r="ODF157"/>
      <c r="ODG157"/>
      <c r="ODH157"/>
      <c r="ODI157"/>
      <c r="ODJ157"/>
      <c r="ODK157"/>
      <c r="ODL157"/>
      <c r="ODM157"/>
      <c r="ODN157"/>
      <c r="ODO157"/>
      <c r="ODP157"/>
      <c r="ODQ157"/>
      <c r="ODR157"/>
      <c r="ODS157"/>
      <c r="ODT157"/>
      <c r="ODU157"/>
      <c r="ODV157"/>
      <c r="ODW157"/>
      <c r="ODX157"/>
      <c r="ODY157"/>
      <c r="ODZ157"/>
      <c r="OEA157"/>
      <c r="OEB157"/>
      <c r="OEC157"/>
      <c r="OED157"/>
      <c r="OEE157"/>
      <c r="OEF157"/>
      <c r="OEG157"/>
      <c r="OEH157"/>
      <c r="OEI157"/>
      <c r="OEJ157"/>
      <c r="OEK157"/>
      <c r="OEL157"/>
      <c r="OEM157"/>
      <c r="OEN157"/>
      <c r="OEO157"/>
      <c r="OEP157"/>
      <c r="OEQ157"/>
      <c r="OER157"/>
      <c r="OES157"/>
      <c r="OET157"/>
      <c r="OEU157"/>
      <c r="OEV157"/>
      <c r="OEW157"/>
      <c r="OEX157"/>
      <c r="OEY157"/>
      <c r="OEZ157"/>
      <c r="OFA157"/>
      <c r="OFB157"/>
      <c r="OFC157"/>
      <c r="OFD157"/>
      <c r="OFE157"/>
      <c r="OFF157"/>
      <c r="OFG157"/>
      <c r="OFH157"/>
      <c r="OFI157"/>
      <c r="OFJ157"/>
      <c r="OFK157"/>
      <c r="OFL157"/>
      <c r="OFM157"/>
      <c r="OFN157"/>
      <c r="OFO157"/>
      <c r="OFP157"/>
      <c r="OFQ157"/>
      <c r="OFR157"/>
      <c r="OFS157"/>
      <c r="OFT157"/>
      <c r="OFU157"/>
      <c r="OFV157"/>
      <c r="OFW157"/>
      <c r="OFX157"/>
      <c r="OFY157"/>
      <c r="OFZ157"/>
      <c r="OGA157"/>
      <c r="OGB157"/>
      <c r="OGC157"/>
      <c r="OGD157"/>
      <c r="OGE157"/>
      <c r="OGF157"/>
      <c r="OGG157"/>
      <c r="OGH157"/>
      <c r="OGI157"/>
      <c r="OGJ157"/>
      <c r="OGK157"/>
      <c r="OGL157"/>
      <c r="OGM157"/>
      <c r="OGN157"/>
      <c r="OGO157"/>
      <c r="OGP157"/>
      <c r="OGQ157"/>
      <c r="OGR157"/>
      <c r="OGS157"/>
      <c r="OGT157"/>
      <c r="OGU157"/>
      <c r="OGV157"/>
      <c r="OGW157"/>
      <c r="OGX157"/>
      <c r="OGY157"/>
      <c r="OGZ157"/>
      <c r="OHA157"/>
      <c r="OHB157"/>
      <c r="OHC157"/>
      <c r="OHD157"/>
      <c r="OHE157"/>
      <c r="OHF157"/>
      <c r="OHG157"/>
      <c r="OHH157"/>
      <c r="OHI157"/>
      <c r="OHJ157"/>
      <c r="OHK157"/>
      <c r="OHL157"/>
      <c r="OHM157"/>
      <c r="OHN157"/>
      <c r="OHO157"/>
      <c r="OHP157"/>
      <c r="OHQ157"/>
      <c r="OHR157"/>
      <c r="OHS157"/>
      <c r="OHT157"/>
      <c r="OHU157"/>
      <c r="OHV157"/>
      <c r="OHW157"/>
      <c r="OHX157"/>
      <c r="OHY157"/>
      <c r="OHZ157"/>
      <c r="OIA157"/>
      <c r="OIB157"/>
      <c r="OIC157"/>
      <c r="OID157"/>
      <c r="OIE157"/>
      <c r="OIF157"/>
      <c r="OIG157"/>
      <c r="OIH157"/>
      <c r="OII157"/>
      <c r="OIJ157"/>
      <c r="OIK157"/>
      <c r="OIL157"/>
      <c r="OIM157"/>
      <c r="OIN157"/>
      <c r="OIO157"/>
      <c r="OIP157"/>
      <c r="OIQ157"/>
      <c r="OIR157"/>
      <c r="OIS157"/>
      <c r="OIT157"/>
      <c r="OIU157"/>
      <c r="OIV157"/>
      <c r="OIW157"/>
      <c r="OIX157"/>
      <c r="OIY157"/>
      <c r="OIZ157"/>
      <c r="OJA157"/>
      <c r="OJB157"/>
      <c r="OJC157"/>
      <c r="OJD157"/>
      <c r="OJE157"/>
      <c r="OJF157"/>
      <c r="OJG157"/>
      <c r="OJH157"/>
      <c r="OJI157"/>
      <c r="OJJ157"/>
      <c r="OJK157"/>
      <c r="OJL157"/>
      <c r="OJM157"/>
      <c r="OJN157"/>
      <c r="OJO157"/>
      <c r="OJP157"/>
      <c r="OJQ157"/>
      <c r="OJR157"/>
      <c r="OJS157"/>
      <c r="OJT157"/>
      <c r="OJU157"/>
      <c r="OJV157"/>
      <c r="OJW157"/>
      <c r="OJX157"/>
      <c r="OJY157"/>
      <c r="OJZ157"/>
      <c r="OKA157"/>
      <c r="OKB157"/>
      <c r="OKC157"/>
      <c r="OKD157"/>
      <c r="OKE157"/>
      <c r="OKF157"/>
      <c r="OKG157"/>
      <c r="OKH157"/>
      <c r="OKI157"/>
      <c r="OKJ157"/>
      <c r="OKK157"/>
      <c r="OKL157"/>
      <c r="OKM157"/>
      <c r="OKN157"/>
      <c r="OKO157"/>
      <c r="OKP157"/>
      <c r="OKQ157"/>
      <c r="OKR157"/>
      <c r="OKS157"/>
      <c r="OKT157"/>
      <c r="OKU157"/>
      <c r="OKV157"/>
      <c r="OKW157"/>
      <c r="OKX157"/>
      <c r="OKY157"/>
      <c r="OKZ157"/>
      <c r="OLA157"/>
      <c r="OLB157"/>
      <c r="OLC157"/>
      <c r="OLD157"/>
      <c r="OLE157"/>
      <c r="OLF157"/>
      <c r="OLG157"/>
      <c r="OLH157"/>
      <c r="OLI157"/>
      <c r="OLJ157"/>
      <c r="OLK157"/>
      <c r="OLL157"/>
      <c r="OLM157"/>
      <c r="OLN157"/>
      <c r="OLO157"/>
      <c r="OLP157"/>
      <c r="OLQ157"/>
      <c r="OLR157"/>
      <c r="OLS157"/>
      <c r="OLT157"/>
      <c r="OLU157"/>
      <c r="OLV157"/>
      <c r="OLW157"/>
      <c r="OLX157"/>
      <c r="OLY157"/>
      <c r="OLZ157"/>
      <c r="OMA157"/>
      <c r="OMB157"/>
      <c r="OMC157"/>
      <c r="OMD157"/>
      <c r="OME157"/>
      <c r="OMF157"/>
      <c r="OMG157"/>
      <c r="OMH157"/>
      <c r="OMI157"/>
      <c r="OMJ157"/>
      <c r="OMK157"/>
      <c r="OML157"/>
      <c r="OMM157"/>
      <c r="OMN157"/>
      <c r="OMO157"/>
      <c r="OMP157"/>
      <c r="OMQ157"/>
      <c r="OMR157"/>
      <c r="OMS157"/>
      <c r="OMT157"/>
      <c r="OMU157"/>
      <c r="OMV157"/>
      <c r="OMW157"/>
      <c r="OMX157"/>
      <c r="OMY157"/>
      <c r="OMZ157"/>
      <c r="ONA157"/>
      <c r="ONB157"/>
      <c r="ONC157"/>
      <c r="OND157"/>
      <c r="ONE157"/>
      <c r="ONF157"/>
      <c r="ONG157"/>
      <c r="ONH157"/>
      <c r="ONI157"/>
      <c r="ONJ157"/>
      <c r="ONK157"/>
      <c r="ONL157"/>
      <c r="ONM157"/>
      <c r="ONN157"/>
      <c r="ONO157"/>
      <c r="ONP157"/>
      <c r="ONQ157"/>
      <c r="ONR157"/>
      <c r="ONS157"/>
      <c r="ONT157"/>
      <c r="ONU157"/>
      <c r="ONV157"/>
      <c r="ONW157"/>
      <c r="ONX157"/>
      <c r="ONY157"/>
      <c r="ONZ157"/>
      <c r="OOA157"/>
      <c r="OOB157"/>
      <c r="OOC157"/>
      <c r="OOD157"/>
      <c r="OOE157"/>
      <c r="OOF157"/>
      <c r="OOG157"/>
      <c r="OOH157"/>
      <c r="OOI157"/>
      <c r="OOJ157"/>
      <c r="OOK157"/>
      <c r="OOL157"/>
      <c r="OOM157"/>
      <c r="OON157"/>
      <c r="OOO157"/>
      <c r="OOP157"/>
      <c r="OOQ157"/>
      <c r="OOR157"/>
      <c r="OOS157"/>
      <c r="OOT157"/>
      <c r="OOU157"/>
      <c r="OOV157"/>
      <c r="OOW157"/>
      <c r="OOX157"/>
      <c r="OOY157"/>
      <c r="OOZ157"/>
      <c r="OPA157"/>
      <c r="OPB157"/>
      <c r="OPC157"/>
      <c r="OPD157"/>
      <c r="OPE157"/>
      <c r="OPF157"/>
      <c r="OPG157"/>
      <c r="OPH157"/>
      <c r="OPI157"/>
      <c r="OPJ157"/>
      <c r="OPK157"/>
      <c r="OPL157"/>
      <c r="OPM157"/>
      <c r="OPN157"/>
      <c r="OPO157"/>
      <c r="OPP157"/>
      <c r="OPQ157"/>
      <c r="OPR157"/>
      <c r="OPS157"/>
      <c r="OPT157"/>
      <c r="OPU157"/>
      <c r="OPV157"/>
      <c r="OPW157"/>
      <c r="OPX157"/>
      <c r="OPY157"/>
      <c r="OPZ157"/>
      <c r="OQA157"/>
      <c r="OQB157"/>
      <c r="OQC157"/>
      <c r="OQD157"/>
      <c r="OQE157"/>
      <c r="OQF157"/>
      <c r="OQG157"/>
      <c r="OQH157"/>
      <c r="OQI157"/>
      <c r="OQJ157"/>
      <c r="OQK157"/>
      <c r="OQL157"/>
      <c r="OQM157"/>
      <c r="OQN157"/>
      <c r="OQO157"/>
      <c r="OQP157"/>
      <c r="OQQ157"/>
      <c r="OQR157"/>
      <c r="OQS157"/>
      <c r="OQT157"/>
      <c r="OQU157"/>
      <c r="OQV157"/>
      <c r="OQW157"/>
      <c r="OQX157"/>
      <c r="OQY157"/>
      <c r="OQZ157"/>
      <c r="ORA157"/>
      <c r="ORB157"/>
      <c r="ORC157"/>
      <c r="ORD157"/>
      <c r="ORE157"/>
      <c r="ORF157"/>
      <c r="ORG157"/>
      <c r="ORH157"/>
      <c r="ORI157"/>
      <c r="ORJ157"/>
      <c r="ORK157"/>
      <c r="ORL157"/>
      <c r="ORM157"/>
      <c r="ORN157"/>
      <c r="ORO157"/>
      <c r="ORP157"/>
      <c r="ORQ157"/>
      <c r="ORR157"/>
      <c r="ORS157"/>
      <c r="ORT157"/>
      <c r="ORU157"/>
      <c r="ORV157"/>
      <c r="ORW157"/>
      <c r="ORX157"/>
      <c r="ORY157"/>
      <c r="ORZ157"/>
      <c r="OSA157"/>
      <c r="OSB157"/>
      <c r="OSC157"/>
      <c r="OSD157"/>
      <c r="OSE157"/>
      <c r="OSF157"/>
      <c r="OSG157"/>
      <c r="OSH157"/>
      <c r="OSI157"/>
      <c r="OSJ157"/>
      <c r="OSK157"/>
      <c r="OSL157"/>
      <c r="OSM157"/>
      <c r="OSN157"/>
      <c r="OSO157"/>
      <c r="OSP157"/>
      <c r="OSQ157"/>
      <c r="OSR157"/>
      <c r="OSS157"/>
      <c r="OST157"/>
      <c r="OSU157"/>
      <c r="OSV157"/>
      <c r="OSW157"/>
      <c r="OSX157"/>
      <c r="OSY157"/>
      <c r="OSZ157"/>
      <c r="OTA157"/>
      <c r="OTB157"/>
      <c r="OTC157"/>
      <c r="OTD157"/>
      <c r="OTE157"/>
      <c r="OTF157"/>
      <c r="OTG157"/>
      <c r="OTH157"/>
      <c r="OTI157"/>
      <c r="OTJ157"/>
      <c r="OTK157"/>
      <c r="OTL157"/>
      <c r="OTM157"/>
      <c r="OTN157"/>
      <c r="OTO157"/>
      <c r="OTP157"/>
      <c r="OTQ157"/>
      <c r="OTR157"/>
      <c r="OTS157"/>
      <c r="OTT157"/>
      <c r="OTU157"/>
      <c r="OTV157"/>
      <c r="OTW157"/>
      <c r="OTX157"/>
      <c r="OTY157"/>
      <c r="OTZ157"/>
      <c r="OUA157"/>
      <c r="OUB157"/>
      <c r="OUC157"/>
      <c r="OUD157"/>
      <c r="OUE157"/>
      <c r="OUF157"/>
      <c r="OUG157"/>
      <c r="OUH157"/>
      <c r="OUI157"/>
      <c r="OUJ157"/>
      <c r="OUK157"/>
      <c r="OUL157"/>
      <c r="OUM157"/>
      <c r="OUN157"/>
      <c r="OUO157"/>
      <c r="OUP157"/>
      <c r="OUQ157"/>
      <c r="OUR157"/>
      <c r="OUS157"/>
      <c r="OUT157"/>
      <c r="OUU157"/>
      <c r="OUV157"/>
      <c r="OUW157"/>
      <c r="OUX157"/>
      <c r="OUY157"/>
      <c r="OUZ157"/>
      <c r="OVA157"/>
      <c r="OVB157"/>
      <c r="OVC157"/>
      <c r="OVD157"/>
      <c r="OVE157"/>
      <c r="OVF157"/>
      <c r="OVG157"/>
      <c r="OVH157"/>
      <c r="OVI157"/>
      <c r="OVJ157"/>
      <c r="OVK157"/>
      <c r="OVL157"/>
      <c r="OVM157"/>
      <c r="OVN157"/>
      <c r="OVO157"/>
      <c r="OVP157"/>
      <c r="OVQ157"/>
      <c r="OVR157"/>
      <c r="OVS157"/>
      <c r="OVT157"/>
      <c r="OVU157"/>
      <c r="OVV157"/>
      <c r="OVW157"/>
      <c r="OVX157"/>
      <c r="OVY157"/>
      <c r="OVZ157"/>
      <c r="OWA157"/>
      <c r="OWB157"/>
      <c r="OWC157"/>
      <c r="OWD157"/>
      <c r="OWE157"/>
      <c r="OWF157"/>
      <c r="OWG157"/>
      <c r="OWH157"/>
      <c r="OWI157"/>
      <c r="OWJ157"/>
      <c r="OWK157"/>
      <c r="OWL157"/>
      <c r="OWM157"/>
      <c r="OWN157"/>
      <c r="OWO157"/>
      <c r="OWP157"/>
      <c r="OWQ157"/>
      <c r="OWR157"/>
      <c r="OWS157"/>
      <c r="OWT157"/>
      <c r="OWU157"/>
      <c r="OWV157"/>
      <c r="OWW157"/>
      <c r="OWX157"/>
      <c r="OWY157"/>
      <c r="OWZ157"/>
      <c r="OXA157"/>
      <c r="OXB157"/>
      <c r="OXC157"/>
      <c r="OXD157"/>
      <c r="OXE157"/>
      <c r="OXF157"/>
      <c r="OXG157"/>
      <c r="OXH157"/>
      <c r="OXI157"/>
      <c r="OXJ157"/>
      <c r="OXK157"/>
      <c r="OXL157"/>
      <c r="OXM157"/>
      <c r="OXN157"/>
      <c r="OXO157"/>
      <c r="OXP157"/>
      <c r="OXQ157"/>
      <c r="OXR157"/>
      <c r="OXS157"/>
      <c r="OXT157"/>
      <c r="OXU157"/>
      <c r="OXV157"/>
      <c r="OXW157"/>
      <c r="OXX157"/>
      <c r="OXY157"/>
      <c r="OXZ157"/>
      <c r="OYA157"/>
      <c r="OYB157"/>
      <c r="OYC157"/>
      <c r="OYD157"/>
      <c r="OYE157"/>
      <c r="OYF157"/>
      <c r="OYG157"/>
      <c r="OYH157"/>
      <c r="OYI157"/>
      <c r="OYJ157"/>
      <c r="OYK157"/>
      <c r="OYL157"/>
      <c r="OYM157"/>
      <c r="OYN157"/>
      <c r="OYO157"/>
      <c r="OYP157"/>
      <c r="OYQ157"/>
      <c r="OYR157"/>
      <c r="OYS157"/>
      <c r="OYT157"/>
      <c r="OYU157"/>
      <c r="OYV157"/>
      <c r="OYW157"/>
      <c r="OYX157"/>
      <c r="OYY157"/>
      <c r="OYZ157"/>
      <c r="OZA157"/>
      <c r="OZB157"/>
      <c r="OZC157"/>
      <c r="OZD157"/>
      <c r="OZE157"/>
      <c r="OZF157"/>
      <c r="OZG157"/>
      <c r="OZH157"/>
      <c r="OZI157"/>
      <c r="OZJ157"/>
      <c r="OZK157"/>
      <c r="OZL157"/>
      <c r="OZM157"/>
      <c r="OZN157"/>
      <c r="OZO157"/>
      <c r="OZP157"/>
      <c r="OZQ157"/>
      <c r="OZR157"/>
      <c r="OZS157"/>
      <c r="OZT157"/>
      <c r="OZU157"/>
      <c r="OZV157"/>
      <c r="OZW157"/>
      <c r="OZX157"/>
      <c r="OZY157"/>
      <c r="OZZ157"/>
      <c r="PAA157"/>
      <c r="PAB157"/>
      <c r="PAC157"/>
      <c r="PAD157"/>
      <c r="PAE157"/>
      <c r="PAF157"/>
      <c r="PAG157"/>
      <c r="PAH157"/>
      <c r="PAI157"/>
      <c r="PAJ157"/>
      <c r="PAK157"/>
      <c r="PAL157"/>
      <c r="PAM157"/>
      <c r="PAN157"/>
      <c r="PAO157"/>
      <c r="PAP157"/>
      <c r="PAQ157"/>
      <c r="PAR157"/>
      <c r="PAS157"/>
      <c r="PAT157"/>
      <c r="PAU157"/>
      <c r="PAV157"/>
      <c r="PAW157"/>
      <c r="PAX157"/>
      <c r="PAY157"/>
      <c r="PAZ157"/>
      <c r="PBA157"/>
      <c r="PBB157"/>
      <c r="PBC157"/>
      <c r="PBD157"/>
      <c r="PBE157"/>
      <c r="PBF157"/>
      <c r="PBG157"/>
      <c r="PBH157"/>
      <c r="PBI157"/>
      <c r="PBJ157"/>
      <c r="PBK157"/>
      <c r="PBL157"/>
      <c r="PBM157"/>
      <c r="PBN157"/>
      <c r="PBO157"/>
      <c r="PBP157"/>
      <c r="PBQ157"/>
      <c r="PBR157"/>
      <c r="PBS157"/>
      <c r="PBT157"/>
      <c r="PBU157"/>
      <c r="PBV157"/>
      <c r="PBW157"/>
      <c r="PBX157"/>
      <c r="PBY157"/>
      <c r="PBZ157"/>
      <c r="PCA157"/>
      <c r="PCB157"/>
      <c r="PCC157"/>
      <c r="PCD157"/>
      <c r="PCE157"/>
      <c r="PCF157"/>
      <c r="PCG157"/>
      <c r="PCH157"/>
      <c r="PCI157"/>
      <c r="PCJ157"/>
      <c r="PCK157"/>
      <c r="PCL157"/>
      <c r="PCM157"/>
      <c r="PCN157"/>
      <c r="PCO157"/>
      <c r="PCP157"/>
      <c r="PCQ157"/>
      <c r="PCR157"/>
      <c r="PCS157"/>
      <c r="PCT157"/>
      <c r="PCU157"/>
      <c r="PCV157"/>
      <c r="PCW157"/>
      <c r="PCX157"/>
      <c r="PCY157"/>
      <c r="PCZ157"/>
      <c r="PDA157"/>
      <c r="PDB157"/>
      <c r="PDC157"/>
      <c r="PDD157"/>
      <c r="PDE157"/>
      <c r="PDF157"/>
      <c r="PDG157"/>
      <c r="PDH157"/>
      <c r="PDI157"/>
      <c r="PDJ157"/>
      <c r="PDK157"/>
      <c r="PDL157"/>
      <c r="PDM157"/>
      <c r="PDN157"/>
      <c r="PDO157"/>
      <c r="PDP157"/>
      <c r="PDQ157"/>
      <c r="PDR157"/>
      <c r="PDS157"/>
      <c r="PDT157"/>
      <c r="PDU157"/>
      <c r="PDV157"/>
      <c r="PDW157"/>
      <c r="PDX157"/>
      <c r="PDY157"/>
      <c r="PDZ157"/>
      <c r="PEA157"/>
      <c r="PEB157"/>
      <c r="PEC157"/>
      <c r="PED157"/>
      <c r="PEE157"/>
      <c r="PEF157"/>
      <c r="PEG157"/>
      <c r="PEH157"/>
      <c r="PEI157"/>
      <c r="PEJ157"/>
      <c r="PEK157"/>
      <c r="PEL157"/>
      <c r="PEM157"/>
      <c r="PEN157"/>
      <c r="PEO157"/>
      <c r="PEP157"/>
      <c r="PEQ157"/>
      <c r="PER157"/>
      <c r="PES157"/>
      <c r="PET157"/>
      <c r="PEU157"/>
      <c r="PEV157"/>
      <c r="PEW157"/>
      <c r="PEX157"/>
      <c r="PEY157"/>
      <c r="PEZ157"/>
      <c r="PFA157"/>
      <c r="PFB157"/>
      <c r="PFC157"/>
      <c r="PFD157"/>
      <c r="PFE157"/>
      <c r="PFF157"/>
      <c r="PFG157"/>
      <c r="PFH157"/>
      <c r="PFI157"/>
      <c r="PFJ157"/>
      <c r="PFK157"/>
      <c r="PFL157"/>
      <c r="PFM157"/>
      <c r="PFN157"/>
      <c r="PFO157"/>
      <c r="PFP157"/>
      <c r="PFQ157"/>
      <c r="PFR157"/>
      <c r="PFS157"/>
      <c r="PFT157"/>
      <c r="PFU157"/>
      <c r="PFV157"/>
      <c r="PFW157"/>
      <c r="PFX157"/>
      <c r="PFY157"/>
      <c r="PFZ157"/>
      <c r="PGA157"/>
      <c r="PGB157"/>
      <c r="PGC157"/>
      <c r="PGD157"/>
      <c r="PGE157"/>
      <c r="PGF157"/>
      <c r="PGG157"/>
      <c r="PGH157"/>
      <c r="PGI157"/>
      <c r="PGJ157"/>
      <c r="PGK157"/>
      <c r="PGL157"/>
      <c r="PGM157"/>
      <c r="PGN157"/>
      <c r="PGO157"/>
      <c r="PGP157"/>
      <c r="PGQ157"/>
      <c r="PGR157"/>
      <c r="PGS157"/>
      <c r="PGT157"/>
      <c r="PGU157"/>
      <c r="PGV157"/>
      <c r="PGW157"/>
      <c r="PGX157"/>
      <c r="PGY157"/>
      <c r="PGZ157"/>
      <c r="PHA157"/>
      <c r="PHB157"/>
      <c r="PHC157"/>
      <c r="PHD157"/>
      <c r="PHE157"/>
      <c r="PHF157"/>
      <c r="PHG157"/>
      <c r="PHH157"/>
      <c r="PHI157"/>
      <c r="PHJ157"/>
      <c r="PHK157"/>
      <c r="PHL157"/>
      <c r="PHM157"/>
      <c r="PHN157"/>
      <c r="PHO157"/>
      <c r="PHP157"/>
      <c r="PHQ157"/>
      <c r="PHR157"/>
      <c r="PHS157"/>
      <c r="PHT157"/>
      <c r="PHU157"/>
      <c r="PHV157"/>
      <c r="PHW157"/>
      <c r="PHX157"/>
      <c r="PHY157"/>
      <c r="PHZ157"/>
      <c r="PIA157"/>
      <c r="PIB157"/>
      <c r="PIC157"/>
      <c r="PID157"/>
      <c r="PIE157"/>
      <c r="PIF157"/>
      <c r="PIG157"/>
      <c r="PIH157"/>
      <c r="PII157"/>
      <c r="PIJ157"/>
      <c r="PIK157"/>
      <c r="PIL157"/>
      <c r="PIM157"/>
      <c r="PIN157"/>
      <c r="PIO157"/>
      <c r="PIP157"/>
      <c r="PIQ157"/>
      <c r="PIR157"/>
      <c r="PIS157"/>
      <c r="PIT157"/>
      <c r="PIU157"/>
      <c r="PIV157"/>
      <c r="PIW157"/>
      <c r="PIX157"/>
      <c r="PIY157"/>
      <c r="PIZ157"/>
      <c r="PJA157"/>
      <c r="PJB157"/>
      <c r="PJC157"/>
      <c r="PJD157"/>
      <c r="PJE157"/>
      <c r="PJF157"/>
      <c r="PJG157"/>
      <c r="PJH157"/>
      <c r="PJI157"/>
      <c r="PJJ157"/>
      <c r="PJK157"/>
      <c r="PJL157"/>
      <c r="PJM157"/>
      <c r="PJN157"/>
      <c r="PJO157"/>
      <c r="PJP157"/>
      <c r="PJQ157"/>
      <c r="PJR157"/>
      <c r="PJS157"/>
      <c r="PJT157"/>
      <c r="PJU157"/>
      <c r="PJV157"/>
      <c r="PJW157"/>
      <c r="PJX157"/>
      <c r="PJY157"/>
      <c r="PJZ157"/>
      <c r="PKA157"/>
      <c r="PKB157"/>
      <c r="PKC157"/>
      <c r="PKD157"/>
      <c r="PKE157"/>
      <c r="PKF157"/>
      <c r="PKG157"/>
      <c r="PKH157"/>
      <c r="PKI157"/>
      <c r="PKJ157"/>
      <c r="PKK157"/>
      <c r="PKL157"/>
      <c r="PKM157"/>
      <c r="PKN157"/>
      <c r="PKO157"/>
      <c r="PKP157"/>
      <c r="PKQ157"/>
      <c r="PKR157"/>
      <c r="PKS157"/>
      <c r="PKT157"/>
      <c r="PKU157"/>
      <c r="PKV157"/>
      <c r="PKW157"/>
      <c r="PKX157"/>
      <c r="PKY157"/>
      <c r="PKZ157"/>
      <c r="PLA157"/>
      <c r="PLB157"/>
      <c r="PLC157"/>
      <c r="PLD157"/>
      <c r="PLE157"/>
      <c r="PLF157"/>
      <c r="PLG157"/>
      <c r="PLH157"/>
      <c r="PLI157"/>
      <c r="PLJ157"/>
      <c r="PLK157"/>
      <c r="PLL157"/>
      <c r="PLM157"/>
      <c r="PLN157"/>
      <c r="PLO157"/>
      <c r="PLP157"/>
      <c r="PLQ157"/>
      <c r="PLR157"/>
      <c r="PLS157"/>
      <c r="PLT157"/>
      <c r="PLU157"/>
      <c r="PLV157"/>
      <c r="PLW157"/>
      <c r="PLX157"/>
      <c r="PLY157"/>
      <c r="PLZ157"/>
      <c r="PMA157"/>
      <c r="PMB157"/>
      <c r="PMC157"/>
      <c r="PMD157"/>
      <c r="PME157"/>
      <c r="PMF157"/>
      <c r="PMG157"/>
      <c r="PMH157"/>
      <c r="PMI157"/>
      <c r="PMJ157"/>
      <c r="PMK157"/>
      <c r="PML157"/>
      <c r="PMM157"/>
      <c r="PMN157"/>
      <c r="PMO157"/>
      <c r="PMP157"/>
      <c r="PMQ157"/>
      <c r="PMR157"/>
      <c r="PMS157"/>
      <c r="PMT157"/>
      <c r="PMU157"/>
      <c r="PMV157"/>
      <c r="PMW157"/>
      <c r="PMX157"/>
      <c r="PMY157"/>
      <c r="PMZ157"/>
      <c r="PNA157"/>
      <c r="PNB157"/>
      <c r="PNC157"/>
      <c r="PND157"/>
      <c r="PNE157"/>
      <c r="PNF157"/>
      <c r="PNG157"/>
      <c r="PNH157"/>
      <c r="PNI157"/>
      <c r="PNJ157"/>
      <c r="PNK157"/>
      <c r="PNL157"/>
      <c r="PNM157"/>
      <c r="PNN157"/>
      <c r="PNO157"/>
      <c r="PNP157"/>
      <c r="PNQ157"/>
      <c r="PNR157"/>
      <c r="PNS157"/>
      <c r="PNT157"/>
      <c r="PNU157"/>
      <c r="PNV157"/>
      <c r="PNW157"/>
      <c r="PNX157"/>
      <c r="PNY157"/>
      <c r="PNZ157"/>
      <c r="POA157"/>
      <c r="POB157"/>
      <c r="POC157"/>
      <c r="POD157"/>
      <c r="POE157"/>
      <c r="POF157"/>
      <c r="POG157"/>
      <c r="POH157"/>
      <c r="POI157"/>
      <c r="POJ157"/>
      <c r="POK157"/>
      <c r="POL157"/>
      <c r="POM157"/>
      <c r="PON157"/>
      <c r="POO157"/>
      <c r="POP157"/>
      <c r="POQ157"/>
      <c r="POR157"/>
      <c r="POS157"/>
      <c r="POT157"/>
      <c r="POU157"/>
      <c r="POV157"/>
      <c r="POW157"/>
      <c r="POX157"/>
      <c r="POY157"/>
      <c r="POZ157"/>
      <c r="PPA157"/>
      <c r="PPB157"/>
      <c r="PPC157"/>
      <c r="PPD157"/>
      <c r="PPE157"/>
      <c r="PPF157"/>
      <c r="PPG157"/>
      <c r="PPH157"/>
      <c r="PPI157"/>
      <c r="PPJ157"/>
      <c r="PPK157"/>
      <c r="PPL157"/>
      <c r="PPM157"/>
      <c r="PPN157"/>
      <c r="PPO157"/>
      <c r="PPP157"/>
      <c r="PPQ157"/>
      <c r="PPR157"/>
      <c r="PPS157"/>
      <c r="PPT157"/>
      <c r="PPU157"/>
      <c r="PPV157"/>
      <c r="PPW157"/>
      <c r="PPX157"/>
      <c r="PPY157"/>
      <c r="PPZ157"/>
      <c r="PQA157"/>
      <c r="PQB157"/>
      <c r="PQC157"/>
      <c r="PQD157"/>
      <c r="PQE157"/>
      <c r="PQF157"/>
      <c r="PQG157"/>
      <c r="PQH157"/>
      <c r="PQI157"/>
      <c r="PQJ157"/>
      <c r="PQK157"/>
      <c r="PQL157"/>
      <c r="PQM157"/>
      <c r="PQN157"/>
      <c r="PQO157"/>
      <c r="PQP157"/>
      <c r="PQQ157"/>
      <c r="PQR157"/>
      <c r="PQS157"/>
      <c r="PQT157"/>
      <c r="PQU157"/>
      <c r="PQV157"/>
      <c r="PQW157"/>
      <c r="PQX157"/>
      <c r="PQY157"/>
      <c r="PQZ157"/>
      <c r="PRA157"/>
      <c r="PRB157"/>
      <c r="PRC157"/>
      <c r="PRD157"/>
      <c r="PRE157"/>
      <c r="PRF157"/>
      <c r="PRG157"/>
      <c r="PRH157"/>
      <c r="PRI157"/>
      <c r="PRJ157"/>
      <c r="PRK157"/>
      <c r="PRL157"/>
      <c r="PRM157"/>
      <c r="PRN157"/>
      <c r="PRO157"/>
      <c r="PRP157"/>
      <c r="PRQ157"/>
      <c r="PRR157"/>
      <c r="PRS157"/>
      <c r="PRT157"/>
      <c r="PRU157"/>
      <c r="PRV157"/>
      <c r="PRW157"/>
      <c r="PRX157"/>
      <c r="PRY157"/>
      <c r="PRZ157"/>
      <c r="PSA157"/>
      <c r="PSB157"/>
      <c r="PSC157"/>
      <c r="PSD157"/>
      <c r="PSE157"/>
      <c r="PSF157"/>
      <c r="PSG157"/>
      <c r="PSH157"/>
      <c r="PSI157"/>
      <c r="PSJ157"/>
      <c r="PSK157"/>
      <c r="PSL157"/>
      <c r="PSM157"/>
      <c r="PSN157"/>
      <c r="PSO157"/>
      <c r="PSP157"/>
      <c r="PSQ157"/>
      <c r="PSR157"/>
      <c r="PSS157"/>
      <c r="PST157"/>
      <c r="PSU157"/>
      <c r="PSV157"/>
      <c r="PSW157"/>
      <c r="PSX157"/>
      <c r="PSY157"/>
      <c r="PSZ157"/>
      <c r="PTA157"/>
      <c r="PTB157"/>
      <c r="PTC157"/>
      <c r="PTD157"/>
      <c r="PTE157"/>
      <c r="PTF157"/>
      <c r="PTG157"/>
      <c r="PTH157"/>
      <c r="PTI157"/>
      <c r="PTJ157"/>
      <c r="PTK157"/>
      <c r="PTL157"/>
      <c r="PTM157"/>
      <c r="PTN157"/>
      <c r="PTO157"/>
      <c r="PTP157"/>
      <c r="PTQ157"/>
      <c r="PTR157"/>
      <c r="PTS157"/>
      <c r="PTT157"/>
      <c r="PTU157"/>
      <c r="PTV157"/>
      <c r="PTW157"/>
      <c r="PTX157"/>
      <c r="PTY157"/>
      <c r="PTZ157"/>
      <c r="PUA157"/>
      <c r="PUB157"/>
      <c r="PUC157"/>
      <c r="PUD157"/>
      <c r="PUE157"/>
      <c r="PUF157"/>
      <c r="PUG157"/>
      <c r="PUH157"/>
      <c r="PUI157"/>
      <c r="PUJ157"/>
      <c r="PUK157"/>
      <c r="PUL157"/>
      <c r="PUM157"/>
      <c r="PUN157"/>
      <c r="PUO157"/>
      <c r="PUP157"/>
      <c r="PUQ157"/>
      <c r="PUR157"/>
      <c r="PUS157"/>
      <c r="PUT157"/>
      <c r="PUU157"/>
      <c r="PUV157"/>
      <c r="PUW157"/>
      <c r="PUX157"/>
      <c r="PUY157"/>
      <c r="PUZ157"/>
      <c r="PVA157"/>
      <c r="PVB157"/>
      <c r="PVC157"/>
      <c r="PVD157"/>
      <c r="PVE157"/>
      <c r="PVF157"/>
      <c r="PVG157"/>
      <c r="PVH157"/>
      <c r="PVI157"/>
      <c r="PVJ157"/>
      <c r="PVK157"/>
      <c r="PVL157"/>
      <c r="PVM157"/>
      <c r="PVN157"/>
      <c r="PVO157"/>
      <c r="PVP157"/>
      <c r="PVQ157"/>
      <c r="PVR157"/>
      <c r="PVS157"/>
      <c r="PVT157"/>
      <c r="PVU157"/>
      <c r="PVV157"/>
      <c r="PVW157"/>
      <c r="PVX157"/>
      <c r="PVY157"/>
      <c r="PVZ157"/>
      <c r="PWA157"/>
      <c r="PWB157"/>
      <c r="PWC157"/>
      <c r="PWD157"/>
      <c r="PWE157"/>
      <c r="PWF157"/>
      <c r="PWG157"/>
      <c r="PWH157"/>
      <c r="PWI157"/>
      <c r="PWJ157"/>
      <c r="PWK157"/>
      <c r="PWL157"/>
      <c r="PWM157"/>
      <c r="PWN157"/>
      <c r="PWO157"/>
      <c r="PWP157"/>
      <c r="PWQ157"/>
      <c r="PWR157"/>
      <c r="PWS157"/>
      <c r="PWT157"/>
      <c r="PWU157"/>
      <c r="PWV157"/>
      <c r="PWW157"/>
      <c r="PWX157"/>
      <c r="PWY157"/>
      <c r="PWZ157"/>
      <c r="PXA157"/>
      <c r="PXB157"/>
      <c r="PXC157"/>
      <c r="PXD157"/>
      <c r="PXE157"/>
      <c r="PXF157"/>
      <c r="PXG157"/>
      <c r="PXH157"/>
      <c r="PXI157"/>
      <c r="PXJ157"/>
      <c r="PXK157"/>
      <c r="PXL157"/>
      <c r="PXM157"/>
      <c r="PXN157"/>
      <c r="PXO157"/>
      <c r="PXP157"/>
      <c r="PXQ157"/>
      <c r="PXR157"/>
      <c r="PXS157"/>
      <c r="PXT157"/>
      <c r="PXU157"/>
      <c r="PXV157"/>
      <c r="PXW157"/>
      <c r="PXX157"/>
      <c r="PXY157"/>
      <c r="PXZ157"/>
      <c r="PYA157"/>
      <c r="PYB157"/>
      <c r="PYC157"/>
      <c r="PYD157"/>
      <c r="PYE157"/>
      <c r="PYF157"/>
      <c r="PYG157"/>
      <c r="PYH157"/>
      <c r="PYI157"/>
      <c r="PYJ157"/>
      <c r="PYK157"/>
      <c r="PYL157"/>
      <c r="PYM157"/>
      <c r="PYN157"/>
      <c r="PYO157"/>
      <c r="PYP157"/>
      <c r="PYQ157"/>
      <c r="PYR157"/>
      <c r="PYS157"/>
      <c r="PYT157"/>
      <c r="PYU157"/>
      <c r="PYV157"/>
      <c r="PYW157"/>
      <c r="PYX157"/>
      <c r="PYY157"/>
      <c r="PYZ157"/>
      <c r="PZA157"/>
      <c r="PZB157"/>
      <c r="PZC157"/>
      <c r="PZD157"/>
      <c r="PZE157"/>
      <c r="PZF157"/>
      <c r="PZG157"/>
      <c r="PZH157"/>
      <c r="PZI157"/>
      <c r="PZJ157"/>
      <c r="PZK157"/>
      <c r="PZL157"/>
      <c r="PZM157"/>
      <c r="PZN157"/>
      <c r="PZO157"/>
      <c r="PZP157"/>
      <c r="PZQ157"/>
      <c r="PZR157"/>
      <c r="PZS157"/>
      <c r="PZT157"/>
      <c r="PZU157"/>
      <c r="PZV157"/>
      <c r="PZW157"/>
      <c r="PZX157"/>
      <c r="PZY157"/>
      <c r="PZZ157"/>
      <c r="QAA157"/>
      <c r="QAB157"/>
      <c r="QAC157"/>
      <c r="QAD157"/>
      <c r="QAE157"/>
      <c r="QAF157"/>
      <c r="QAG157"/>
      <c r="QAH157"/>
      <c r="QAI157"/>
      <c r="QAJ157"/>
      <c r="QAK157"/>
      <c r="QAL157"/>
      <c r="QAM157"/>
      <c r="QAN157"/>
      <c r="QAO157"/>
      <c r="QAP157"/>
      <c r="QAQ157"/>
      <c r="QAR157"/>
      <c r="QAS157"/>
      <c r="QAT157"/>
      <c r="QAU157"/>
      <c r="QAV157"/>
      <c r="QAW157"/>
      <c r="QAX157"/>
      <c r="QAY157"/>
      <c r="QAZ157"/>
      <c r="QBA157"/>
      <c r="QBB157"/>
      <c r="QBC157"/>
      <c r="QBD157"/>
      <c r="QBE157"/>
      <c r="QBF157"/>
      <c r="QBG157"/>
      <c r="QBH157"/>
      <c r="QBI157"/>
      <c r="QBJ157"/>
      <c r="QBK157"/>
      <c r="QBL157"/>
      <c r="QBM157"/>
      <c r="QBN157"/>
      <c r="QBO157"/>
      <c r="QBP157"/>
      <c r="QBQ157"/>
      <c r="QBR157"/>
      <c r="QBS157"/>
      <c r="QBT157"/>
      <c r="QBU157"/>
      <c r="QBV157"/>
      <c r="QBW157"/>
      <c r="QBX157"/>
      <c r="QBY157"/>
      <c r="QBZ157"/>
      <c r="QCA157"/>
      <c r="QCB157"/>
      <c r="QCC157"/>
      <c r="QCD157"/>
      <c r="QCE157"/>
      <c r="QCF157"/>
      <c r="QCG157"/>
      <c r="QCH157"/>
      <c r="QCI157"/>
      <c r="QCJ157"/>
      <c r="QCK157"/>
      <c r="QCL157"/>
      <c r="QCM157"/>
      <c r="QCN157"/>
      <c r="QCO157"/>
      <c r="QCP157"/>
      <c r="QCQ157"/>
      <c r="QCR157"/>
      <c r="QCS157"/>
      <c r="QCT157"/>
      <c r="QCU157"/>
      <c r="QCV157"/>
      <c r="QCW157"/>
      <c r="QCX157"/>
      <c r="QCY157"/>
      <c r="QCZ157"/>
      <c r="QDA157"/>
      <c r="QDB157"/>
      <c r="QDC157"/>
      <c r="QDD157"/>
      <c r="QDE157"/>
      <c r="QDF157"/>
      <c r="QDG157"/>
      <c r="QDH157"/>
      <c r="QDI157"/>
      <c r="QDJ157"/>
      <c r="QDK157"/>
      <c r="QDL157"/>
      <c r="QDM157"/>
      <c r="QDN157"/>
      <c r="QDO157"/>
      <c r="QDP157"/>
      <c r="QDQ157"/>
      <c r="QDR157"/>
      <c r="QDS157"/>
      <c r="QDT157"/>
      <c r="QDU157"/>
      <c r="QDV157"/>
      <c r="QDW157"/>
      <c r="QDX157"/>
      <c r="QDY157"/>
      <c r="QDZ157"/>
      <c r="QEA157"/>
      <c r="QEB157"/>
      <c r="QEC157"/>
      <c r="QED157"/>
      <c r="QEE157"/>
      <c r="QEF157"/>
      <c r="QEG157"/>
      <c r="QEH157"/>
      <c r="QEI157"/>
      <c r="QEJ157"/>
      <c r="QEK157"/>
      <c r="QEL157"/>
      <c r="QEM157"/>
      <c r="QEN157"/>
      <c r="QEO157"/>
      <c r="QEP157"/>
      <c r="QEQ157"/>
      <c r="QER157"/>
      <c r="QES157"/>
      <c r="QET157"/>
      <c r="QEU157"/>
      <c r="QEV157"/>
      <c r="QEW157"/>
      <c r="QEX157"/>
      <c r="QEY157"/>
      <c r="QEZ157"/>
      <c r="QFA157"/>
      <c r="QFB157"/>
      <c r="QFC157"/>
      <c r="QFD157"/>
      <c r="QFE157"/>
      <c r="QFF157"/>
      <c r="QFG157"/>
      <c r="QFH157"/>
      <c r="QFI157"/>
      <c r="QFJ157"/>
      <c r="QFK157"/>
      <c r="QFL157"/>
      <c r="QFM157"/>
      <c r="QFN157"/>
      <c r="QFO157"/>
      <c r="QFP157"/>
      <c r="QFQ157"/>
      <c r="QFR157"/>
      <c r="QFS157"/>
      <c r="QFT157"/>
      <c r="QFU157"/>
      <c r="QFV157"/>
      <c r="QFW157"/>
      <c r="QFX157"/>
      <c r="QFY157"/>
      <c r="QFZ157"/>
      <c r="QGA157"/>
      <c r="QGB157"/>
      <c r="QGC157"/>
      <c r="QGD157"/>
      <c r="QGE157"/>
      <c r="QGF157"/>
      <c r="QGG157"/>
      <c r="QGH157"/>
      <c r="QGI157"/>
      <c r="QGJ157"/>
      <c r="QGK157"/>
      <c r="QGL157"/>
      <c r="QGM157"/>
      <c r="QGN157"/>
      <c r="QGO157"/>
      <c r="QGP157"/>
      <c r="QGQ157"/>
      <c r="QGR157"/>
      <c r="QGS157"/>
      <c r="QGT157"/>
      <c r="QGU157"/>
      <c r="QGV157"/>
      <c r="QGW157"/>
      <c r="QGX157"/>
      <c r="QGY157"/>
      <c r="QGZ157"/>
      <c r="QHA157"/>
      <c r="QHB157"/>
      <c r="QHC157"/>
      <c r="QHD157"/>
      <c r="QHE157"/>
      <c r="QHF157"/>
      <c r="QHG157"/>
      <c r="QHH157"/>
      <c r="QHI157"/>
      <c r="QHJ157"/>
      <c r="QHK157"/>
      <c r="QHL157"/>
      <c r="QHM157"/>
      <c r="QHN157"/>
      <c r="QHO157"/>
      <c r="QHP157"/>
      <c r="QHQ157"/>
      <c r="QHR157"/>
      <c r="QHS157"/>
      <c r="QHT157"/>
      <c r="QHU157"/>
      <c r="QHV157"/>
      <c r="QHW157"/>
      <c r="QHX157"/>
      <c r="QHY157"/>
      <c r="QHZ157"/>
      <c r="QIA157"/>
      <c r="QIB157"/>
      <c r="QIC157"/>
      <c r="QID157"/>
      <c r="QIE157"/>
      <c r="QIF157"/>
      <c r="QIG157"/>
      <c r="QIH157"/>
      <c r="QII157"/>
      <c r="QIJ157"/>
      <c r="QIK157"/>
      <c r="QIL157"/>
      <c r="QIM157"/>
      <c r="QIN157"/>
      <c r="QIO157"/>
      <c r="QIP157"/>
      <c r="QIQ157"/>
      <c r="QIR157"/>
      <c r="QIS157"/>
      <c r="QIT157"/>
      <c r="QIU157"/>
      <c r="QIV157"/>
      <c r="QIW157"/>
      <c r="QIX157"/>
      <c r="QIY157"/>
      <c r="QIZ157"/>
      <c r="QJA157"/>
      <c r="QJB157"/>
      <c r="QJC157"/>
      <c r="QJD157"/>
      <c r="QJE157"/>
      <c r="QJF157"/>
      <c r="QJG157"/>
      <c r="QJH157"/>
      <c r="QJI157"/>
      <c r="QJJ157"/>
      <c r="QJK157"/>
      <c r="QJL157"/>
      <c r="QJM157"/>
      <c r="QJN157"/>
      <c r="QJO157"/>
      <c r="QJP157"/>
      <c r="QJQ157"/>
      <c r="QJR157"/>
      <c r="QJS157"/>
      <c r="QJT157"/>
      <c r="QJU157"/>
      <c r="QJV157"/>
      <c r="QJW157"/>
      <c r="QJX157"/>
      <c r="QJY157"/>
      <c r="QJZ157"/>
      <c r="QKA157"/>
      <c r="QKB157"/>
      <c r="QKC157"/>
      <c r="QKD157"/>
      <c r="QKE157"/>
      <c r="QKF157"/>
      <c r="QKG157"/>
      <c r="QKH157"/>
      <c r="QKI157"/>
      <c r="QKJ157"/>
      <c r="QKK157"/>
      <c r="QKL157"/>
      <c r="QKM157"/>
      <c r="QKN157"/>
      <c r="QKO157"/>
      <c r="QKP157"/>
      <c r="QKQ157"/>
      <c r="QKR157"/>
      <c r="QKS157"/>
      <c r="QKT157"/>
      <c r="QKU157"/>
      <c r="QKV157"/>
      <c r="QKW157"/>
      <c r="QKX157"/>
      <c r="QKY157"/>
      <c r="QKZ157"/>
      <c r="QLA157"/>
      <c r="QLB157"/>
      <c r="QLC157"/>
      <c r="QLD157"/>
      <c r="QLE157"/>
      <c r="QLF157"/>
      <c r="QLG157"/>
      <c r="QLH157"/>
      <c r="QLI157"/>
      <c r="QLJ157"/>
      <c r="QLK157"/>
      <c r="QLL157"/>
      <c r="QLM157"/>
      <c r="QLN157"/>
      <c r="QLO157"/>
      <c r="QLP157"/>
      <c r="QLQ157"/>
      <c r="QLR157"/>
      <c r="QLS157"/>
      <c r="QLT157"/>
      <c r="QLU157"/>
      <c r="QLV157"/>
      <c r="QLW157"/>
      <c r="QLX157"/>
      <c r="QLY157"/>
      <c r="QLZ157"/>
      <c r="QMA157"/>
      <c r="QMB157"/>
      <c r="QMC157"/>
      <c r="QMD157"/>
      <c r="QME157"/>
      <c r="QMF157"/>
      <c r="QMG157"/>
      <c r="QMH157"/>
      <c r="QMI157"/>
      <c r="QMJ157"/>
      <c r="QMK157"/>
      <c r="QML157"/>
      <c r="QMM157"/>
      <c r="QMN157"/>
      <c r="QMO157"/>
      <c r="QMP157"/>
      <c r="QMQ157"/>
      <c r="QMR157"/>
      <c r="QMS157"/>
      <c r="QMT157"/>
      <c r="QMU157"/>
      <c r="QMV157"/>
      <c r="QMW157"/>
      <c r="QMX157"/>
      <c r="QMY157"/>
      <c r="QMZ157"/>
      <c r="QNA157"/>
      <c r="QNB157"/>
      <c r="QNC157"/>
      <c r="QND157"/>
      <c r="QNE157"/>
      <c r="QNF157"/>
      <c r="QNG157"/>
      <c r="QNH157"/>
      <c r="QNI157"/>
      <c r="QNJ157"/>
      <c r="QNK157"/>
      <c r="QNL157"/>
      <c r="QNM157"/>
      <c r="QNN157"/>
      <c r="QNO157"/>
      <c r="QNP157"/>
      <c r="QNQ157"/>
      <c r="QNR157"/>
      <c r="QNS157"/>
      <c r="QNT157"/>
      <c r="QNU157"/>
      <c r="QNV157"/>
      <c r="QNW157"/>
      <c r="QNX157"/>
      <c r="QNY157"/>
      <c r="QNZ157"/>
      <c r="QOA157"/>
      <c r="QOB157"/>
      <c r="QOC157"/>
      <c r="QOD157"/>
      <c r="QOE157"/>
      <c r="QOF157"/>
      <c r="QOG157"/>
      <c r="QOH157"/>
      <c r="QOI157"/>
      <c r="QOJ157"/>
      <c r="QOK157"/>
      <c r="QOL157"/>
      <c r="QOM157"/>
      <c r="QON157"/>
      <c r="QOO157"/>
      <c r="QOP157"/>
      <c r="QOQ157"/>
      <c r="QOR157"/>
      <c r="QOS157"/>
      <c r="QOT157"/>
      <c r="QOU157"/>
      <c r="QOV157"/>
      <c r="QOW157"/>
      <c r="QOX157"/>
      <c r="QOY157"/>
      <c r="QOZ157"/>
      <c r="QPA157"/>
      <c r="QPB157"/>
      <c r="QPC157"/>
      <c r="QPD157"/>
      <c r="QPE157"/>
      <c r="QPF157"/>
      <c r="QPG157"/>
      <c r="QPH157"/>
      <c r="QPI157"/>
      <c r="QPJ157"/>
      <c r="QPK157"/>
      <c r="QPL157"/>
      <c r="QPM157"/>
      <c r="QPN157"/>
      <c r="QPO157"/>
      <c r="QPP157"/>
      <c r="QPQ157"/>
      <c r="QPR157"/>
      <c r="QPS157"/>
      <c r="QPT157"/>
      <c r="QPU157"/>
      <c r="QPV157"/>
      <c r="QPW157"/>
      <c r="QPX157"/>
      <c r="QPY157"/>
      <c r="QPZ157"/>
      <c r="QQA157"/>
      <c r="QQB157"/>
      <c r="QQC157"/>
      <c r="QQD157"/>
      <c r="QQE157"/>
      <c r="QQF157"/>
      <c r="QQG157"/>
      <c r="QQH157"/>
      <c r="QQI157"/>
      <c r="QQJ157"/>
      <c r="QQK157"/>
      <c r="QQL157"/>
      <c r="QQM157"/>
      <c r="QQN157"/>
      <c r="QQO157"/>
      <c r="QQP157"/>
      <c r="QQQ157"/>
      <c r="QQR157"/>
      <c r="QQS157"/>
      <c r="QQT157"/>
      <c r="QQU157"/>
      <c r="QQV157"/>
      <c r="QQW157"/>
      <c r="QQX157"/>
      <c r="QQY157"/>
      <c r="QQZ157"/>
      <c r="QRA157"/>
      <c r="QRB157"/>
      <c r="QRC157"/>
      <c r="QRD157"/>
      <c r="QRE157"/>
      <c r="QRF157"/>
      <c r="QRG157"/>
      <c r="QRH157"/>
      <c r="QRI157"/>
      <c r="QRJ157"/>
      <c r="QRK157"/>
      <c r="QRL157"/>
      <c r="QRM157"/>
      <c r="QRN157"/>
      <c r="QRO157"/>
      <c r="QRP157"/>
      <c r="QRQ157"/>
      <c r="QRR157"/>
      <c r="QRS157"/>
      <c r="QRT157"/>
      <c r="QRU157"/>
      <c r="QRV157"/>
      <c r="QRW157"/>
      <c r="QRX157"/>
      <c r="QRY157"/>
      <c r="QRZ157"/>
      <c r="QSA157"/>
      <c r="QSB157"/>
      <c r="QSC157"/>
      <c r="QSD157"/>
      <c r="QSE157"/>
      <c r="QSF157"/>
      <c r="QSG157"/>
      <c r="QSH157"/>
      <c r="QSI157"/>
      <c r="QSJ157"/>
      <c r="QSK157"/>
      <c r="QSL157"/>
      <c r="QSM157"/>
      <c r="QSN157"/>
      <c r="QSO157"/>
      <c r="QSP157"/>
      <c r="QSQ157"/>
      <c r="QSR157"/>
      <c r="QSS157"/>
      <c r="QST157"/>
      <c r="QSU157"/>
      <c r="QSV157"/>
      <c r="QSW157"/>
      <c r="QSX157"/>
      <c r="QSY157"/>
      <c r="QSZ157"/>
      <c r="QTA157"/>
      <c r="QTB157"/>
      <c r="QTC157"/>
      <c r="QTD157"/>
      <c r="QTE157"/>
      <c r="QTF157"/>
      <c r="QTG157"/>
      <c r="QTH157"/>
      <c r="QTI157"/>
      <c r="QTJ157"/>
      <c r="QTK157"/>
      <c r="QTL157"/>
      <c r="QTM157"/>
      <c r="QTN157"/>
      <c r="QTO157"/>
      <c r="QTP157"/>
      <c r="QTQ157"/>
      <c r="QTR157"/>
      <c r="QTS157"/>
      <c r="QTT157"/>
      <c r="QTU157"/>
      <c r="QTV157"/>
      <c r="QTW157"/>
      <c r="QTX157"/>
      <c r="QTY157"/>
      <c r="QTZ157"/>
      <c r="QUA157"/>
      <c r="QUB157"/>
      <c r="QUC157"/>
      <c r="QUD157"/>
      <c r="QUE157"/>
      <c r="QUF157"/>
      <c r="QUG157"/>
      <c r="QUH157"/>
      <c r="QUI157"/>
      <c r="QUJ157"/>
      <c r="QUK157"/>
      <c r="QUL157"/>
      <c r="QUM157"/>
      <c r="QUN157"/>
      <c r="QUO157"/>
      <c r="QUP157"/>
      <c r="QUQ157"/>
      <c r="QUR157"/>
      <c r="QUS157"/>
      <c r="QUT157"/>
      <c r="QUU157"/>
      <c r="QUV157"/>
      <c r="QUW157"/>
      <c r="QUX157"/>
      <c r="QUY157"/>
      <c r="QUZ157"/>
      <c r="QVA157"/>
      <c r="QVB157"/>
      <c r="QVC157"/>
      <c r="QVD157"/>
      <c r="QVE157"/>
      <c r="QVF157"/>
      <c r="QVG157"/>
      <c r="QVH157"/>
      <c r="QVI157"/>
      <c r="QVJ157"/>
      <c r="QVK157"/>
      <c r="QVL157"/>
      <c r="QVM157"/>
      <c r="QVN157"/>
      <c r="QVO157"/>
      <c r="QVP157"/>
      <c r="QVQ157"/>
      <c r="QVR157"/>
      <c r="QVS157"/>
      <c r="QVT157"/>
      <c r="QVU157"/>
      <c r="QVV157"/>
      <c r="QVW157"/>
      <c r="QVX157"/>
      <c r="QVY157"/>
      <c r="QVZ157"/>
      <c r="QWA157"/>
      <c r="QWB157"/>
      <c r="QWC157"/>
      <c r="QWD157"/>
      <c r="QWE157"/>
      <c r="QWF157"/>
      <c r="QWG157"/>
      <c r="QWH157"/>
      <c r="QWI157"/>
      <c r="QWJ157"/>
      <c r="QWK157"/>
      <c r="QWL157"/>
      <c r="QWM157"/>
      <c r="QWN157"/>
      <c r="QWO157"/>
      <c r="QWP157"/>
      <c r="QWQ157"/>
      <c r="QWR157"/>
      <c r="QWS157"/>
      <c r="QWT157"/>
      <c r="QWU157"/>
      <c r="QWV157"/>
      <c r="QWW157"/>
      <c r="QWX157"/>
      <c r="QWY157"/>
      <c r="QWZ157"/>
      <c r="QXA157"/>
      <c r="QXB157"/>
      <c r="QXC157"/>
      <c r="QXD157"/>
      <c r="QXE157"/>
      <c r="QXF157"/>
      <c r="QXG157"/>
      <c r="QXH157"/>
      <c r="QXI157"/>
      <c r="QXJ157"/>
      <c r="QXK157"/>
      <c r="QXL157"/>
      <c r="QXM157"/>
      <c r="QXN157"/>
      <c r="QXO157"/>
      <c r="QXP157"/>
      <c r="QXQ157"/>
      <c r="QXR157"/>
      <c r="QXS157"/>
      <c r="QXT157"/>
      <c r="QXU157"/>
      <c r="QXV157"/>
      <c r="QXW157"/>
      <c r="QXX157"/>
      <c r="QXY157"/>
      <c r="QXZ157"/>
      <c r="QYA157"/>
      <c r="QYB157"/>
      <c r="QYC157"/>
      <c r="QYD157"/>
      <c r="QYE157"/>
      <c r="QYF157"/>
      <c r="QYG157"/>
      <c r="QYH157"/>
      <c r="QYI157"/>
      <c r="QYJ157"/>
      <c r="QYK157"/>
      <c r="QYL157"/>
      <c r="QYM157"/>
      <c r="QYN157"/>
      <c r="QYO157"/>
      <c r="QYP157"/>
      <c r="QYQ157"/>
      <c r="QYR157"/>
      <c r="QYS157"/>
      <c r="QYT157"/>
      <c r="QYU157"/>
      <c r="QYV157"/>
      <c r="QYW157"/>
      <c r="QYX157"/>
      <c r="QYY157"/>
      <c r="QYZ157"/>
      <c r="QZA157"/>
      <c r="QZB157"/>
      <c r="QZC157"/>
      <c r="QZD157"/>
      <c r="QZE157"/>
      <c r="QZF157"/>
      <c r="QZG157"/>
      <c r="QZH157"/>
      <c r="QZI157"/>
      <c r="QZJ157"/>
      <c r="QZK157"/>
      <c r="QZL157"/>
      <c r="QZM157"/>
      <c r="QZN157"/>
      <c r="QZO157"/>
      <c r="QZP157"/>
      <c r="QZQ157"/>
      <c r="QZR157"/>
      <c r="QZS157"/>
      <c r="QZT157"/>
      <c r="QZU157"/>
      <c r="QZV157"/>
      <c r="QZW157"/>
      <c r="QZX157"/>
      <c r="QZY157"/>
      <c r="QZZ157"/>
      <c r="RAA157"/>
      <c r="RAB157"/>
      <c r="RAC157"/>
      <c r="RAD157"/>
      <c r="RAE157"/>
      <c r="RAF157"/>
      <c r="RAG157"/>
      <c r="RAH157"/>
      <c r="RAI157"/>
      <c r="RAJ157"/>
      <c r="RAK157"/>
      <c r="RAL157"/>
      <c r="RAM157"/>
      <c r="RAN157"/>
      <c r="RAO157"/>
      <c r="RAP157"/>
      <c r="RAQ157"/>
      <c r="RAR157"/>
      <c r="RAS157"/>
      <c r="RAT157"/>
      <c r="RAU157"/>
      <c r="RAV157"/>
      <c r="RAW157"/>
      <c r="RAX157"/>
      <c r="RAY157"/>
      <c r="RAZ157"/>
      <c r="RBA157"/>
      <c r="RBB157"/>
      <c r="RBC157"/>
      <c r="RBD157"/>
      <c r="RBE157"/>
      <c r="RBF157"/>
      <c r="RBG157"/>
      <c r="RBH157"/>
      <c r="RBI157"/>
      <c r="RBJ157"/>
      <c r="RBK157"/>
      <c r="RBL157"/>
      <c r="RBM157"/>
      <c r="RBN157"/>
      <c r="RBO157"/>
      <c r="RBP157"/>
      <c r="RBQ157"/>
      <c r="RBR157"/>
      <c r="RBS157"/>
      <c r="RBT157"/>
      <c r="RBU157"/>
      <c r="RBV157"/>
      <c r="RBW157"/>
      <c r="RBX157"/>
      <c r="RBY157"/>
      <c r="RBZ157"/>
      <c r="RCA157"/>
      <c r="RCB157"/>
      <c r="RCC157"/>
      <c r="RCD157"/>
      <c r="RCE157"/>
      <c r="RCF157"/>
      <c r="RCG157"/>
      <c r="RCH157"/>
      <c r="RCI157"/>
      <c r="RCJ157"/>
      <c r="RCK157"/>
      <c r="RCL157"/>
      <c r="RCM157"/>
      <c r="RCN157"/>
      <c r="RCO157"/>
      <c r="RCP157"/>
      <c r="RCQ157"/>
      <c r="RCR157"/>
      <c r="RCS157"/>
      <c r="RCT157"/>
      <c r="RCU157"/>
      <c r="RCV157"/>
      <c r="RCW157"/>
      <c r="RCX157"/>
      <c r="RCY157"/>
      <c r="RCZ157"/>
      <c r="RDA157"/>
      <c r="RDB157"/>
      <c r="RDC157"/>
      <c r="RDD157"/>
      <c r="RDE157"/>
      <c r="RDF157"/>
      <c r="RDG157"/>
      <c r="RDH157"/>
      <c r="RDI157"/>
      <c r="RDJ157"/>
      <c r="RDK157"/>
      <c r="RDL157"/>
      <c r="RDM157"/>
      <c r="RDN157"/>
      <c r="RDO157"/>
      <c r="RDP157"/>
      <c r="RDQ157"/>
      <c r="RDR157"/>
      <c r="RDS157"/>
      <c r="RDT157"/>
      <c r="RDU157"/>
      <c r="RDV157"/>
      <c r="RDW157"/>
      <c r="RDX157"/>
      <c r="RDY157"/>
      <c r="RDZ157"/>
      <c r="REA157"/>
      <c r="REB157"/>
      <c r="REC157"/>
      <c r="RED157"/>
      <c r="REE157"/>
      <c r="REF157"/>
      <c r="REG157"/>
      <c r="REH157"/>
      <c r="REI157"/>
      <c r="REJ157"/>
      <c r="REK157"/>
      <c r="REL157"/>
      <c r="REM157"/>
      <c r="REN157"/>
      <c r="REO157"/>
      <c r="REP157"/>
      <c r="REQ157"/>
      <c r="RER157"/>
      <c r="RES157"/>
      <c r="RET157"/>
      <c r="REU157"/>
      <c r="REV157"/>
      <c r="REW157"/>
      <c r="REX157"/>
      <c r="REY157"/>
      <c r="REZ157"/>
      <c r="RFA157"/>
      <c r="RFB157"/>
      <c r="RFC157"/>
      <c r="RFD157"/>
      <c r="RFE157"/>
      <c r="RFF157"/>
      <c r="RFG157"/>
      <c r="RFH157"/>
      <c r="RFI157"/>
      <c r="RFJ157"/>
      <c r="RFK157"/>
      <c r="RFL157"/>
      <c r="RFM157"/>
      <c r="RFN157"/>
      <c r="RFO157"/>
      <c r="RFP157"/>
      <c r="RFQ157"/>
      <c r="RFR157"/>
      <c r="RFS157"/>
      <c r="RFT157"/>
      <c r="RFU157"/>
      <c r="RFV157"/>
      <c r="RFW157"/>
      <c r="RFX157"/>
      <c r="RFY157"/>
      <c r="RFZ157"/>
      <c r="RGA157"/>
      <c r="RGB157"/>
      <c r="RGC157"/>
      <c r="RGD157"/>
      <c r="RGE157"/>
      <c r="RGF157"/>
      <c r="RGG157"/>
      <c r="RGH157"/>
      <c r="RGI157"/>
      <c r="RGJ157"/>
      <c r="RGK157"/>
      <c r="RGL157"/>
      <c r="RGM157"/>
      <c r="RGN157"/>
      <c r="RGO157"/>
      <c r="RGP157"/>
      <c r="RGQ157"/>
      <c r="RGR157"/>
      <c r="RGS157"/>
      <c r="RGT157"/>
      <c r="RGU157"/>
      <c r="RGV157"/>
      <c r="RGW157"/>
      <c r="RGX157"/>
      <c r="RGY157"/>
      <c r="RGZ157"/>
      <c r="RHA157"/>
      <c r="RHB157"/>
      <c r="RHC157"/>
      <c r="RHD157"/>
      <c r="RHE157"/>
      <c r="RHF157"/>
      <c r="RHG157"/>
      <c r="RHH157"/>
      <c r="RHI157"/>
      <c r="RHJ157"/>
      <c r="RHK157"/>
      <c r="RHL157"/>
      <c r="RHM157"/>
      <c r="RHN157"/>
      <c r="RHO157"/>
      <c r="RHP157"/>
      <c r="RHQ157"/>
      <c r="RHR157"/>
      <c r="RHS157"/>
      <c r="RHT157"/>
      <c r="RHU157"/>
      <c r="RHV157"/>
      <c r="RHW157"/>
      <c r="RHX157"/>
      <c r="RHY157"/>
      <c r="RHZ157"/>
      <c r="RIA157"/>
      <c r="RIB157"/>
      <c r="RIC157"/>
      <c r="RID157"/>
      <c r="RIE157"/>
      <c r="RIF157"/>
      <c r="RIG157"/>
      <c r="RIH157"/>
      <c r="RII157"/>
      <c r="RIJ157"/>
      <c r="RIK157"/>
      <c r="RIL157"/>
      <c r="RIM157"/>
      <c r="RIN157"/>
      <c r="RIO157"/>
      <c r="RIP157"/>
      <c r="RIQ157"/>
      <c r="RIR157"/>
      <c r="RIS157"/>
      <c r="RIT157"/>
      <c r="RIU157"/>
      <c r="RIV157"/>
      <c r="RIW157"/>
      <c r="RIX157"/>
      <c r="RIY157"/>
      <c r="RIZ157"/>
      <c r="RJA157"/>
      <c r="RJB157"/>
      <c r="RJC157"/>
      <c r="RJD157"/>
      <c r="RJE157"/>
      <c r="RJF157"/>
      <c r="RJG157"/>
      <c r="RJH157"/>
      <c r="RJI157"/>
      <c r="RJJ157"/>
      <c r="RJK157"/>
      <c r="RJL157"/>
      <c r="RJM157"/>
      <c r="RJN157"/>
      <c r="RJO157"/>
      <c r="RJP157"/>
      <c r="RJQ157"/>
      <c r="RJR157"/>
      <c r="RJS157"/>
      <c r="RJT157"/>
      <c r="RJU157"/>
      <c r="RJV157"/>
      <c r="RJW157"/>
      <c r="RJX157"/>
      <c r="RJY157"/>
      <c r="RJZ157"/>
      <c r="RKA157"/>
      <c r="RKB157"/>
      <c r="RKC157"/>
      <c r="RKD157"/>
      <c r="RKE157"/>
      <c r="RKF157"/>
      <c r="RKG157"/>
      <c r="RKH157"/>
      <c r="RKI157"/>
      <c r="RKJ157"/>
      <c r="RKK157"/>
      <c r="RKL157"/>
      <c r="RKM157"/>
      <c r="RKN157"/>
      <c r="RKO157"/>
      <c r="RKP157"/>
      <c r="RKQ157"/>
      <c r="RKR157"/>
      <c r="RKS157"/>
      <c r="RKT157"/>
      <c r="RKU157"/>
      <c r="RKV157"/>
      <c r="RKW157"/>
      <c r="RKX157"/>
      <c r="RKY157"/>
      <c r="RKZ157"/>
      <c r="RLA157"/>
      <c r="RLB157"/>
      <c r="RLC157"/>
      <c r="RLD157"/>
      <c r="RLE157"/>
      <c r="RLF157"/>
      <c r="RLG157"/>
      <c r="RLH157"/>
      <c r="RLI157"/>
      <c r="RLJ157"/>
      <c r="RLK157"/>
      <c r="RLL157"/>
      <c r="RLM157"/>
      <c r="RLN157"/>
      <c r="RLO157"/>
      <c r="RLP157"/>
      <c r="RLQ157"/>
      <c r="RLR157"/>
      <c r="RLS157"/>
      <c r="RLT157"/>
      <c r="RLU157"/>
      <c r="RLV157"/>
      <c r="RLW157"/>
      <c r="RLX157"/>
      <c r="RLY157"/>
      <c r="RLZ157"/>
      <c r="RMA157"/>
      <c r="RMB157"/>
      <c r="RMC157"/>
      <c r="RMD157"/>
      <c r="RME157"/>
      <c r="RMF157"/>
      <c r="RMG157"/>
      <c r="RMH157"/>
      <c r="RMI157"/>
      <c r="RMJ157"/>
      <c r="RMK157"/>
      <c r="RML157"/>
      <c r="RMM157"/>
      <c r="RMN157"/>
      <c r="RMO157"/>
      <c r="RMP157"/>
      <c r="RMQ157"/>
      <c r="RMR157"/>
      <c r="RMS157"/>
      <c r="RMT157"/>
      <c r="RMU157"/>
      <c r="RMV157"/>
      <c r="RMW157"/>
      <c r="RMX157"/>
      <c r="RMY157"/>
      <c r="RMZ157"/>
      <c r="RNA157"/>
      <c r="RNB157"/>
      <c r="RNC157"/>
      <c r="RND157"/>
      <c r="RNE157"/>
      <c r="RNF157"/>
      <c r="RNG157"/>
      <c r="RNH157"/>
      <c r="RNI157"/>
      <c r="RNJ157"/>
      <c r="RNK157"/>
      <c r="RNL157"/>
      <c r="RNM157"/>
      <c r="RNN157"/>
      <c r="RNO157"/>
      <c r="RNP157"/>
      <c r="RNQ157"/>
      <c r="RNR157"/>
      <c r="RNS157"/>
      <c r="RNT157"/>
      <c r="RNU157"/>
      <c r="RNV157"/>
      <c r="RNW157"/>
      <c r="RNX157"/>
      <c r="RNY157"/>
      <c r="RNZ157"/>
      <c r="ROA157"/>
      <c r="ROB157"/>
      <c r="ROC157"/>
      <c r="ROD157"/>
      <c r="ROE157"/>
      <c r="ROF157"/>
      <c r="ROG157"/>
      <c r="ROH157"/>
      <c r="ROI157"/>
      <c r="ROJ157"/>
      <c r="ROK157"/>
      <c r="ROL157"/>
      <c r="ROM157"/>
      <c r="RON157"/>
      <c r="ROO157"/>
      <c r="ROP157"/>
      <c r="ROQ157"/>
      <c r="ROR157"/>
      <c r="ROS157"/>
      <c r="ROT157"/>
      <c r="ROU157"/>
      <c r="ROV157"/>
      <c r="ROW157"/>
      <c r="ROX157"/>
      <c r="ROY157"/>
      <c r="ROZ157"/>
      <c r="RPA157"/>
      <c r="RPB157"/>
      <c r="RPC157"/>
      <c r="RPD157"/>
      <c r="RPE157"/>
      <c r="RPF157"/>
      <c r="RPG157"/>
      <c r="RPH157"/>
      <c r="RPI157"/>
      <c r="RPJ157"/>
      <c r="RPK157"/>
      <c r="RPL157"/>
      <c r="RPM157"/>
      <c r="RPN157"/>
      <c r="RPO157"/>
      <c r="RPP157"/>
      <c r="RPQ157"/>
      <c r="RPR157"/>
      <c r="RPS157"/>
      <c r="RPT157"/>
      <c r="RPU157"/>
      <c r="RPV157"/>
      <c r="RPW157"/>
      <c r="RPX157"/>
      <c r="RPY157"/>
      <c r="RPZ157"/>
      <c r="RQA157"/>
      <c r="RQB157"/>
      <c r="RQC157"/>
      <c r="RQD157"/>
      <c r="RQE157"/>
      <c r="RQF157"/>
      <c r="RQG157"/>
      <c r="RQH157"/>
      <c r="RQI157"/>
      <c r="RQJ157"/>
      <c r="RQK157"/>
      <c r="RQL157"/>
      <c r="RQM157"/>
      <c r="RQN157"/>
      <c r="RQO157"/>
      <c r="RQP157"/>
      <c r="RQQ157"/>
      <c r="RQR157"/>
      <c r="RQS157"/>
      <c r="RQT157"/>
      <c r="RQU157"/>
      <c r="RQV157"/>
      <c r="RQW157"/>
      <c r="RQX157"/>
      <c r="RQY157"/>
      <c r="RQZ157"/>
      <c r="RRA157"/>
      <c r="RRB157"/>
      <c r="RRC157"/>
      <c r="RRD157"/>
      <c r="RRE157"/>
      <c r="RRF157"/>
      <c r="RRG157"/>
      <c r="RRH157"/>
      <c r="RRI157"/>
      <c r="RRJ157"/>
      <c r="RRK157"/>
      <c r="RRL157"/>
      <c r="RRM157"/>
      <c r="RRN157"/>
      <c r="RRO157"/>
      <c r="RRP157"/>
      <c r="RRQ157"/>
      <c r="RRR157"/>
      <c r="RRS157"/>
      <c r="RRT157"/>
      <c r="RRU157"/>
      <c r="RRV157"/>
      <c r="RRW157"/>
      <c r="RRX157"/>
      <c r="RRY157"/>
      <c r="RRZ157"/>
      <c r="RSA157"/>
      <c r="RSB157"/>
      <c r="RSC157"/>
      <c r="RSD157"/>
      <c r="RSE157"/>
      <c r="RSF157"/>
      <c r="RSG157"/>
      <c r="RSH157"/>
      <c r="RSI157"/>
      <c r="RSJ157"/>
      <c r="RSK157"/>
      <c r="RSL157"/>
      <c r="RSM157"/>
      <c r="RSN157"/>
      <c r="RSO157"/>
      <c r="RSP157"/>
      <c r="RSQ157"/>
      <c r="RSR157"/>
      <c r="RSS157"/>
      <c r="RST157"/>
      <c r="RSU157"/>
      <c r="RSV157"/>
      <c r="RSW157"/>
      <c r="RSX157"/>
      <c r="RSY157"/>
      <c r="RSZ157"/>
      <c r="RTA157"/>
      <c r="RTB157"/>
      <c r="RTC157"/>
      <c r="RTD157"/>
      <c r="RTE157"/>
      <c r="RTF157"/>
      <c r="RTG157"/>
      <c r="RTH157"/>
      <c r="RTI157"/>
      <c r="RTJ157"/>
      <c r="RTK157"/>
      <c r="RTL157"/>
      <c r="RTM157"/>
      <c r="RTN157"/>
      <c r="RTO157"/>
      <c r="RTP157"/>
      <c r="RTQ157"/>
      <c r="RTR157"/>
      <c r="RTS157"/>
      <c r="RTT157"/>
      <c r="RTU157"/>
      <c r="RTV157"/>
      <c r="RTW157"/>
      <c r="RTX157"/>
      <c r="RTY157"/>
      <c r="RTZ157"/>
      <c r="RUA157"/>
      <c r="RUB157"/>
      <c r="RUC157"/>
      <c r="RUD157"/>
      <c r="RUE157"/>
      <c r="RUF157"/>
      <c r="RUG157"/>
      <c r="RUH157"/>
      <c r="RUI157"/>
      <c r="RUJ157"/>
      <c r="RUK157"/>
      <c r="RUL157"/>
      <c r="RUM157"/>
      <c r="RUN157"/>
      <c r="RUO157"/>
      <c r="RUP157"/>
      <c r="RUQ157"/>
      <c r="RUR157"/>
      <c r="RUS157"/>
      <c r="RUT157"/>
      <c r="RUU157"/>
      <c r="RUV157"/>
      <c r="RUW157"/>
      <c r="RUX157"/>
      <c r="RUY157"/>
      <c r="RUZ157"/>
      <c r="RVA157"/>
      <c r="RVB157"/>
      <c r="RVC157"/>
      <c r="RVD157"/>
      <c r="RVE157"/>
      <c r="RVF157"/>
      <c r="RVG157"/>
      <c r="RVH157"/>
      <c r="RVI157"/>
      <c r="RVJ157"/>
      <c r="RVK157"/>
      <c r="RVL157"/>
      <c r="RVM157"/>
      <c r="RVN157"/>
      <c r="RVO157"/>
      <c r="RVP157"/>
      <c r="RVQ157"/>
      <c r="RVR157"/>
      <c r="RVS157"/>
      <c r="RVT157"/>
      <c r="RVU157"/>
      <c r="RVV157"/>
      <c r="RVW157"/>
      <c r="RVX157"/>
      <c r="RVY157"/>
      <c r="RVZ157"/>
      <c r="RWA157"/>
      <c r="RWB157"/>
      <c r="RWC157"/>
      <c r="RWD157"/>
      <c r="RWE157"/>
      <c r="RWF157"/>
      <c r="RWG157"/>
      <c r="RWH157"/>
      <c r="RWI157"/>
      <c r="RWJ157"/>
      <c r="RWK157"/>
      <c r="RWL157"/>
      <c r="RWM157"/>
      <c r="RWN157"/>
      <c r="RWO157"/>
      <c r="RWP157"/>
      <c r="RWQ157"/>
      <c r="RWR157"/>
      <c r="RWS157"/>
      <c r="RWT157"/>
      <c r="RWU157"/>
      <c r="RWV157"/>
      <c r="RWW157"/>
      <c r="RWX157"/>
      <c r="RWY157"/>
      <c r="RWZ157"/>
      <c r="RXA157"/>
      <c r="RXB157"/>
      <c r="RXC157"/>
      <c r="RXD157"/>
      <c r="RXE157"/>
      <c r="RXF157"/>
      <c r="RXG157"/>
      <c r="RXH157"/>
      <c r="RXI157"/>
      <c r="RXJ157"/>
      <c r="RXK157"/>
      <c r="RXL157"/>
      <c r="RXM157"/>
      <c r="RXN157"/>
      <c r="RXO157"/>
      <c r="RXP157"/>
      <c r="RXQ157"/>
      <c r="RXR157"/>
      <c r="RXS157"/>
      <c r="RXT157"/>
      <c r="RXU157"/>
      <c r="RXV157"/>
      <c r="RXW157"/>
      <c r="RXX157"/>
      <c r="RXY157"/>
      <c r="RXZ157"/>
      <c r="RYA157"/>
      <c r="RYB157"/>
      <c r="RYC157"/>
      <c r="RYD157"/>
      <c r="RYE157"/>
      <c r="RYF157"/>
      <c r="RYG157"/>
      <c r="RYH157"/>
      <c r="RYI157"/>
      <c r="RYJ157"/>
      <c r="RYK157"/>
      <c r="RYL157"/>
      <c r="RYM157"/>
      <c r="RYN157"/>
      <c r="RYO157"/>
      <c r="RYP157"/>
      <c r="RYQ157"/>
      <c r="RYR157"/>
      <c r="RYS157"/>
      <c r="RYT157"/>
      <c r="RYU157"/>
      <c r="RYV157"/>
      <c r="RYW157"/>
      <c r="RYX157"/>
      <c r="RYY157"/>
      <c r="RYZ157"/>
      <c r="RZA157"/>
      <c r="RZB157"/>
      <c r="RZC157"/>
      <c r="RZD157"/>
      <c r="RZE157"/>
      <c r="RZF157"/>
      <c r="RZG157"/>
      <c r="RZH157"/>
      <c r="RZI157"/>
      <c r="RZJ157"/>
      <c r="RZK157"/>
      <c r="RZL157"/>
      <c r="RZM157"/>
      <c r="RZN157"/>
      <c r="RZO157"/>
      <c r="RZP157"/>
      <c r="RZQ157"/>
      <c r="RZR157"/>
      <c r="RZS157"/>
      <c r="RZT157"/>
      <c r="RZU157"/>
      <c r="RZV157"/>
      <c r="RZW157"/>
      <c r="RZX157"/>
      <c r="RZY157"/>
      <c r="RZZ157"/>
      <c r="SAA157"/>
      <c r="SAB157"/>
      <c r="SAC157"/>
      <c r="SAD157"/>
      <c r="SAE157"/>
      <c r="SAF157"/>
      <c r="SAG157"/>
      <c r="SAH157"/>
      <c r="SAI157"/>
      <c r="SAJ157"/>
      <c r="SAK157"/>
      <c r="SAL157"/>
      <c r="SAM157"/>
      <c r="SAN157"/>
      <c r="SAO157"/>
      <c r="SAP157"/>
      <c r="SAQ157"/>
      <c r="SAR157"/>
      <c r="SAS157"/>
      <c r="SAT157"/>
      <c r="SAU157"/>
      <c r="SAV157"/>
      <c r="SAW157"/>
      <c r="SAX157"/>
      <c r="SAY157"/>
      <c r="SAZ157"/>
      <c r="SBA157"/>
      <c r="SBB157"/>
      <c r="SBC157"/>
      <c r="SBD157"/>
      <c r="SBE157"/>
      <c r="SBF157"/>
      <c r="SBG157"/>
      <c r="SBH157"/>
      <c r="SBI157"/>
      <c r="SBJ157"/>
      <c r="SBK157"/>
      <c r="SBL157"/>
      <c r="SBM157"/>
      <c r="SBN157"/>
      <c r="SBO157"/>
      <c r="SBP157"/>
      <c r="SBQ157"/>
      <c r="SBR157"/>
      <c r="SBS157"/>
      <c r="SBT157"/>
      <c r="SBU157"/>
      <c r="SBV157"/>
      <c r="SBW157"/>
      <c r="SBX157"/>
      <c r="SBY157"/>
      <c r="SBZ157"/>
      <c r="SCA157"/>
      <c r="SCB157"/>
      <c r="SCC157"/>
      <c r="SCD157"/>
      <c r="SCE157"/>
      <c r="SCF157"/>
      <c r="SCG157"/>
      <c r="SCH157"/>
      <c r="SCI157"/>
      <c r="SCJ157"/>
      <c r="SCK157"/>
      <c r="SCL157"/>
      <c r="SCM157"/>
      <c r="SCN157"/>
      <c r="SCO157"/>
      <c r="SCP157"/>
      <c r="SCQ157"/>
      <c r="SCR157"/>
      <c r="SCS157"/>
      <c r="SCT157"/>
      <c r="SCU157"/>
      <c r="SCV157"/>
      <c r="SCW157"/>
      <c r="SCX157"/>
      <c r="SCY157"/>
      <c r="SCZ157"/>
      <c r="SDA157"/>
      <c r="SDB157"/>
      <c r="SDC157"/>
      <c r="SDD157"/>
      <c r="SDE157"/>
      <c r="SDF157"/>
      <c r="SDG157"/>
      <c r="SDH157"/>
      <c r="SDI157"/>
      <c r="SDJ157"/>
      <c r="SDK157"/>
      <c r="SDL157"/>
      <c r="SDM157"/>
      <c r="SDN157"/>
      <c r="SDO157"/>
      <c r="SDP157"/>
      <c r="SDQ157"/>
      <c r="SDR157"/>
      <c r="SDS157"/>
      <c r="SDT157"/>
      <c r="SDU157"/>
      <c r="SDV157"/>
      <c r="SDW157"/>
      <c r="SDX157"/>
      <c r="SDY157"/>
      <c r="SDZ157"/>
      <c r="SEA157"/>
      <c r="SEB157"/>
      <c r="SEC157"/>
      <c r="SED157"/>
      <c r="SEE157"/>
      <c r="SEF157"/>
      <c r="SEG157"/>
      <c r="SEH157"/>
      <c r="SEI157"/>
      <c r="SEJ157"/>
      <c r="SEK157"/>
      <c r="SEL157"/>
      <c r="SEM157"/>
      <c r="SEN157"/>
      <c r="SEO157"/>
      <c r="SEP157"/>
      <c r="SEQ157"/>
      <c r="SER157"/>
      <c r="SES157"/>
      <c r="SET157"/>
      <c r="SEU157"/>
      <c r="SEV157"/>
      <c r="SEW157"/>
      <c r="SEX157"/>
      <c r="SEY157"/>
      <c r="SEZ157"/>
      <c r="SFA157"/>
      <c r="SFB157"/>
      <c r="SFC157"/>
      <c r="SFD157"/>
      <c r="SFE157"/>
      <c r="SFF157"/>
      <c r="SFG157"/>
      <c r="SFH157"/>
      <c r="SFI157"/>
      <c r="SFJ157"/>
      <c r="SFK157"/>
      <c r="SFL157"/>
      <c r="SFM157"/>
      <c r="SFN157"/>
      <c r="SFO157"/>
      <c r="SFP157"/>
      <c r="SFQ157"/>
      <c r="SFR157"/>
      <c r="SFS157"/>
      <c r="SFT157"/>
      <c r="SFU157"/>
      <c r="SFV157"/>
      <c r="SFW157"/>
      <c r="SFX157"/>
      <c r="SFY157"/>
      <c r="SFZ157"/>
      <c r="SGA157"/>
      <c r="SGB157"/>
      <c r="SGC157"/>
      <c r="SGD157"/>
      <c r="SGE157"/>
      <c r="SGF157"/>
      <c r="SGG157"/>
      <c r="SGH157"/>
      <c r="SGI157"/>
      <c r="SGJ157"/>
      <c r="SGK157"/>
      <c r="SGL157"/>
      <c r="SGM157"/>
      <c r="SGN157"/>
      <c r="SGO157"/>
      <c r="SGP157"/>
      <c r="SGQ157"/>
      <c r="SGR157"/>
      <c r="SGS157"/>
      <c r="SGT157"/>
      <c r="SGU157"/>
      <c r="SGV157"/>
      <c r="SGW157"/>
      <c r="SGX157"/>
      <c r="SGY157"/>
      <c r="SGZ157"/>
      <c r="SHA157"/>
      <c r="SHB157"/>
      <c r="SHC157"/>
      <c r="SHD157"/>
      <c r="SHE157"/>
      <c r="SHF157"/>
      <c r="SHG157"/>
      <c r="SHH157"/>
      <c r="SHI157"/>
      <c r="SHJ157"/>
      <c r="SHK157"/>
      <c r="SHL157"/>
      <c r="SHM157"/>
      <c r="SHN157"/>
      <c r="SHO157"/>
      <c r="SHP157"/>
      <c r="SHQ157"/>
      <c r="SHR157"/>
      <c r="SHS157"/>
      <c r="SHT157"/>
      <c r="SHU157"/>
      <c r="SHV157"/>
      <c r="SHW157"/>
      <c r="SHX157"/>
      <c r="SHY157"/>
      <c r="SHZ157"/>
      <c r="SIA157"/>
      <c r="SIB157"/>
      <c r="SIC157"/>
      <c r="SID157"/>
      <c r="SIE157"/>
      <c r="SIF157"/>
      <c r="SIG157"/>
      <c r="SIH157"/>
      <c r="SII157"/>
      <c r="SIJ157"/>
      <c r="SIK157"/>
      <c r="SIL157"/>
      <c r="SIM157"/>
      <c r="SIN157"/>
      <c r="SIO157"/>
      <c r="SIP157"/>
      <c r="SIQ157"/>
      <c r="SIR157"/>
      <c r="SIS157"/>
      <c r="SIT157"/>
      <c r="SIU157"/>
      <c r="SIV157"/>
      <c r="SIW157"/>
      <c r="SIX157"/>
      <c r="SIY157"/>
      <c r="SIZ157"/>
      <c r="SJA157"/>
      <c r="SJB157"/>
      <c r="SJC157"/>
      <c r="SJD157"/>
      <c r="SJE157"/>
      <c r="SJF157"/>
      <c r="SJG157"/>
      <c r="SJH157"/>
      <c r="SJI157"/>
      <c r="SJJ157"/>
      <c r="SJK157"/>
      <c r="SJL157"/>
      <c r="SJM157"/>
      <c r="SJN157"/>
      <c r="SJO157"/>
      <c r="SJP157"/>
      <c r="SJQ157"/>
      <c r="SJR157"/>
      <c r="SJS157"/>
      <c r="SJT157"/>
      <c r="SJU157"/>
      <c r="SJV157"/>
      <c r="SJW157"/>
      <c r="SJX157"/>
      <c r="SJY157"/>
      <c r="SJZ157"/>
      <c r="SKA157"/>
      <c r="SKB157"/>
      <c r="SKC157"/>
      <c r="SKD157"/>
      <c r="SKE157"/>
      <c r="SKF157"/>
      <c r="SKG157"/>
      <c r="SKH157"/>
      <c r="SKI157"/>
      <c r="SKJ157"/>
      <c r="SKK157"/>
      <c r="SKL157"/>
      <c r="SKM157"/>
      <c r="SKN157"/>
      <c r="SKO157"/>
      <c r="SKP157"/>
      <c r="SKQ157"/>
      <c r="SKR157"/>
      <c r="SKS157"/>
      <c r="SKT157"/>
      <c r="SKU157"/>
      <c r="SKV157"/>
      <c r="SKW157"/>
      <c r="SKX157"/>
      <c r="SKY157"/>
      <c r="SKZ157"/>
      <c r="SLA157"/>
      <c r="SLB157"/>
      <c r="SLC157"/>
      <c r="SLD157"/>
      <c r="SLE157"/>
      <c r="SLF157"/>
      <c r="SLG157"/>
      <c r="SLH157"/>
      <c r="SLI157"/>
      <c r="SLJ157"/>
      <c r="SLK157"/>
      <c r="SLL157"/>
      <c r="SLM157"/>
      <c r="SLN157"/>
      <c r="SLO157"/>
      <c r="SLP157"/>
      <c r="SLQ157"/>
      <c r="SLR157"/>
      <c r="SLS157"/>
      <c r="SLT157"/>
      <c r="SLU157"/>
      <c r="SLV157"/>
      <c r="SLW157"/>
      <c r="SLX157"/>
      <c r="SLY157"/>
      <c r="SLZ157"/>
      <c r="SMA157"/>
      <c r="SMB157"/>
      <c r="SMC157"/>
      <c r="SMD157"/>
      <c r="SME157"/>
      <c r="SMF157"/>
      <c r="SMG157"/>
      <c r="SMH157"/>
      <c r="SMI157"/>
      <c r="SMJ157"/>
      <c r="SMK157"/>
      <c r="SML157"/>
      <c r="SMM157"/>
      <c r="SMN157"/>
      <c r="SMO157"/>
      <c r="SMP157"/>
      <c r="SMQ157"/>
      <c r="SMR157"/>
      <c r="SMS157"/>
      <c r="SMT157"/>
      <c r="SMU157"/>
      <c r="SMV157"/>
      <c r="SMW157"/>
      <c r="SMX157"/>
      <c r="SMY157"/>
      <c r="SMZ157"/>
      <c r="SNA157"/>
      <c r="SNB157"/>
      <c r="SNC157"/>
      <c r="SND157"/>
      <c r="SNE157"/>
      <c r="SNF157"/>
      <c r="SNG157"/>
      <c r="SNH157"/>
      <c r="SNI157"/>
      <c r="SNJ157"/>
      <c r="SNK157"/>
      <c r="SNL157"/>
      <c r="SNM157"/>
      <c r="SNN157"/>
      <c r="SNO157"/>
      <c r="SNP157"/>
      <c r="SNQ157"/>
      <c r="SNR157"/>
      <c r="SNS157"/>
      <c r="SNT157"/>
      <c r="SNU157"/>
      <c r="SNV157"/>
      <c r="SNW157"/>
      <c r="SNX157"/>
      <c r="SNY157"/>
      <c r="SNZ157"/>
      <c r="SOA157"/>
      <c r="SOB157"/>
      <c r="SOC157"/>
      <c r="SOD157"/>
      <c r="SOE157"/>
      <c r="SOF157"/>
      <c r="SOG157"/>
      <c r="SOH157"/>
      <c r="SOI157"/>
      <c r="SOJ157"/>
      <c r="SOK157"/>
      <c r="SOL157"/>
      <c r="SOM157"/>
      <c r="SON157"/>
      <c r="SOO157"/>
      <c r="SOP157"/>
      <c r="SOQ157"/>
      <c r="SOR157"/>
      <c r="SOS157"/>
      <c r="SOT157"/>
      <c r="SOU157"/>
      <c r="SOV157"/>
      <c r="SOW157"/>
      <c r="SOX157"/>
      <c r="SOY157"/>
      <c r="SOZ157"/>
      <c r="SPA157"/>
      <c r="SPB157"/>
      <c r="SPC157"/>
      <c r="SPD157"/>
      <c r="SPE157"/>
      <c r="SPF157"/>
      <c r="SPG157"/>
      <c r="SPH157"/>
      <c r="SPI157"/>
      <c r="SPJ157"/>
      <c r="SPK157"/>
      <c r="SPL157"/>
      <c r="SPM157"/>
      <c r="SPN157"/>
      <c r="SPO157"/>
      <c r="SPP157"/>
      <c r="SPQ157"/>
      <c r="SPR157"/>
      <c r="SPS157"/>
      <c r="SPT157"/>
      <c r="SPU157"/>
      <c r="SPV157"/>
      <c r="SPW157"/>
      <c r="SPX157"/>
      <c r="SPY157"/>
      <c r="SPZ157"/>
      <c r="SQA157"/>
      <c r="SQB157"/>
      <c r="SQC157"/>
      <c r="SQD157"/>
      <c r="SQE157"/>
      <c r="SQF157"/>
      <c r="SQG157"/>
      <c r="SQH157"/>
      <c r="SQI157"/>
      <c r="SQJ157"/>
      <c r="SQK157"/>
      <c r="SQL157"/>
      <c r="SQM157"/>
      <c r="SQN157"/>
      <c r="SQO157"/>
      <c r="SQP157"/>
      <c r="SQQ157"/>
      <c r="SQR157"/>
      <c r="SQS157"/>
      <c r="SQT157"/>
      <c r="SQU157"/>
      <c r="SQV157"/>
      <c r="SQW157"/>
      <c r="SQX157"/>
      <c r="SQY157"/>
      <c r="SQZ157"/>
      <c r="SRA157"/>
      <c r="SRB157"/>
      <c r="SRC157"/>
      <c r="SRD157"/>
      <c r="SRE157"/>
      <c r="SRF157"/>
      <c r="SRG157"/>
      <c r="SRH157"/>
      <c r="SRI157"/>
      <c r="SRJ157"/>
      <c r="SRK157"/>
      <c r="SRL157"/>
      <c r="SRM157"/>
      <c r="SRN157"/>
      <c r="SRO157"/>
      <c r="SRP157"/>
      <c r="SRQ157"/>
      <c r="SRR157"/>
      <c r="SRS157"/>
      <c r="SRT157"/>
      <c r="SRU157"/>
      <c r="SRV157"/>
      <c r="SRW157"/>
      <c r="SRX157"/>
      <c r="SRY157"/>
      <c r="SRZ157"/>
      <c r="SSA157"/>
      <c r="SSB157"/>
      <c r="SSC157"/>
      <c r="SSD157"/>
      <c r="SSE157"/>
      <c r="SSF157"/>
      <c r="SSG157"/>
      <c r="SSH157"/>
      <c r="SSI157"/>
      <c r="SSJ157"/>
      <c r="SSK157"/>
      <c r="SSL157"/>
      <c r="SSM157"/>
      <c r="SSN157"/>
      <c r="SSO157"/>
      <c r="SSP157"/>
      <c r="SSQ157"/>
      <c r="SSR157"/>
      <c r="SSS157"/>
      <c r="SST157"/>
      <c r="SSU157"/>
      <c r="SSV157"/>
      <c r="SSW157"/>
      <c r="SSX157"/>
      <c r="SSY157"/>
      <c r="SSZ157"/>
      <c r="STA157"/>
      <c r="STB157"/>
      <c r="STC157"/>
      <c r="STD157"/>
      <c r="STE157"/>
      <c r="STF157"/>
      <c r="STG157"/>
      <c r="STH157"/>
      <c r="STI157"/>
      <c r="STJ157"/>
      <c r="STK157"/>
      <c r="STL157"/>
      <c r="STM157"/>
      <c r="STN157"/>
      <c r="STO157"/>
      <c r="STP157"/>
      <c r="STQ157"/>
      <c r="STR157"/>
      <c r="STS157"/>
      <c r="STT157"/>
      <c r="STU157"/>
      <c r="STV157"/>
      <c r="STW157"/>
      <c r="STX157"/>
      <c r="STY157"/>
      <c r="STZ157"/>
      <c r="SUA157"/>
      <c r="SUB157"/>
      <c r="SUC157"/>
      <c r="SUD157"/>
      <c r="SUE157"/>
      <c r="SUF157"/>
      <c r="SUG157"/>
      <c r="SUH157"/>
      <c r="SUI157"/>
      <c r="SUJ157"/>
      <c r="SUK157"/>
      <c r="SUL157"/>
      <c r="SUM157"/>
      <c r="SUN157"/>
      <c r="SUO157"/>
      <c r="SUP157"/>
      <c r="SUQ157"/>
      <c r="SUR157"/>
      <c r="SUS157"/>
      <c r="SUT157"/>
      <c r="SUU157"/>
      <c r="SUV157"/>
      <c r="SUW157"/>
      <c r="SUX157"/>
      <c r="SUY157"/>
      <c r="SUZ157"/>
      <c r="SVA157"/>
      <c r="SVB157"/>
      <c r="SVC157"/>
      <c r="SVD157"/>
      <c r="SVE157"/>
      <c r="SVF157"/>
      <c r="SVG157"/>
      <c r="SVH157"/>
      <c r="SVI157"/>
      <c r="SVJ157"/>
      <c r="SVK157"/>
      <c r="SVL157"/>
      <c r="SVM157"/>
      <c r="SVN157"/>
      <c r="SVO157"/>
      <c r="SVP157"/>
      <c r="SVQ157"/>
      <c r="SVR157"/>
      <c r="SVS157"/>
      <c r="SVT157"/>
      <c r="SVU157"/>
      <c r="SVV157"/>
      <c r="SVW157"/>
      <c r="SVX157"/>
      <c r="SVY157"/>
      <c r="SVZ157"/>
      <c r="SWA157"/>
      <c r="SWB157"/>
      <c r="SWC157"/>
      <c r="SWD157"/>
      <c r="SWE157"/>
      <c r="SWF157"/>
      <c r="SWG157"/>
      <c r="SWH157"/>
      <c r="SWI157"/>
      <c r="SWJ157"/>
      <c r="SWK157"/>
      <c r="SWL157"/>
      <c r="SWM157"/>
      <c r="SWN157"/>
      <c r="SWO157"/>
      <c r="SWP157"/>
      <c r="SWQ157"/>
      <c r="SWR157"/>
      <c r="SWS157"/>
      <c r="SWT157"/>
      <c r="SWU157"/>
      <c r="SWV157"/>
      <c r="SWW157"/>
      <c r="SWX157"/>
      <c r="SWY157"/>
      <c r="SWZ157"/>
      <c r="SXA157"/>
      <c r="SXB157"/>
      <c r="SXC157"/>
      <c r="SXD157"/>
      <c r="SXE157"/>
      <c r="SXF157"/>
      <c r="SXG157"/>
      <c r="SXH157"/>
      <c r="SXI157"/>
      <c r="SXJ157"/>
      <c r="SXK157"/>
      <c r="SXL157"/>
      <c r="SXM157"/>
      <c r="SXN157"/>
      <c r="SXO157"/>
      <c r="SXP157"/>
      <c r="SXQ157"/>
      <c r="SXR157"/>
      <c r="SXS157"/>
      <c r="SXT157"/>
      <c r="SXU157"/>
      <c r="SXV157"/>
      <c r="SXW157"/>
      <c r="SXX157"/>
      <c r="SXY157"/>
      <c r="SXZ157"/>
      <c r="SYA157"/>
      <c r="SYB157"/>
      <c r="SYC157"/>
      <c r="SYD157"/>
      <c r="SYE157"/>
      <c r="SYF157"/>
      <c r="SYG157"/>
      <c r="SYH157"/>
      <c r="SYI157"/>
      <c r="SYJ157"/>
      <c r="SYK157"/>
      <c r="SYL157"/>
      <c r="SYM157"/>
      <c r="SYN157"/>
      <c r="SYO157"/>
      <c r="SYP157"/>
      <c r="SYQ157"/>
      <c r="SYR157"/>
      <c r="SYS157"/>
      <c r="SYT157"/>
      <c r="SYU157"/>
      <c r="SYV157"/>
      <c r="SYW157"/>
      <c r="SYX157"/>
      <c r="SYY157"/>
      <c r="SYZ157"/>
      <c r="SZA157"/>
      <c r="SZB157"/>
      <c r="SZC157"/>
      <c r="SZD157"/>
      <c r="SZE157"/>
      <c r="SZF157"/>
      <c r="SZG157"/>
      <c r="SZH157"/>
      <c r="SZI157"/>
      <c r="SZJ157"/>
      <c r="SZK157"/>
      <c r="SZL157"/>
      <c r="SZM157"/>
      <c r="SZN157"/>
      <c r="SZO157"/>
      <c r="SZP157"/>
      <c r="SZQ157"/>
      <c r="SZR157"/>
      <c r="SZS157"/>
      <c r="SZT157"/>
      <c r="SZU157"/>
      <c r="SZV157"/>
      <c r="SZW157"/>
      <c r="SZX157"/>
      <c r="SZY157"/>
      <c r="SZZ157"/>
      <c r="TAA157"/>
      <c r="TAB157"/>
      <c r="TAC157"/>
      <c r="TAD157"/>
      <c r="TAE157"/>
      <c r="TAF157"/>
      <c r="TAG157"/>
      <c r="TAH157"/>
      <c r="TAI157"/>
      <c r="TAJ157"/>
      <c r="TAK157"/>
      <c r="TAL157"/>
      <c r="TAM157"/>
      <c r="TAN157"/>
      <c r="TAO157"/>
      <c r="TAP157"/>
      <c r="TAQ157"/>
      <c r="TAR157"/>
      <c r="TAS157"/>
      <c r="TAT157"/>
      <c r="TAU157"/>
      <c r="TAV157"/>
      <c r="TAW157"/>
      <c r="TAX157"/>
      <c r="TAY157"/>
      <c r="TAZ157"/>
      <c r="TBA157"/>
      <c r="TBB157"/>
      <c r="TBC157"/>
      <c r="TBD157"/>
      <c r="TBE157"/>
      <c r="TBF157"/>
      <c r="TBG157"/>
      <c r="TBH157"/>
      <c r="TBI157"/>
      <c r="TBJ157"/>
      <c r="TBK157"/>
      <c r="TBL157"/>
      <c r="TBM157"/>
      <c r="TBN157"/>
      <c r="TBO157"/>
      <c r="TBP157"/>
      <c r="TBQ157"/>
      <c r="TBR157"/>
      <c r="TBS157"/>
      <c r="TBT157"/>
      <c r="TBU157"/>
      <c r="TBV157"/>
      <c r="TBW157"/>
      <c r="TBX157"/>
      <c r="TBY157"/>
      <c r="TBZ157"/>
      <c r="TCA157"/>
      <c r="TCB157"/>
      <c r="TCC157"/>
      <c r="TCD157"/>
      <c r="TCE157"/>
      <c r="TCF157"/>
      <c r="TCG157"/>
      <c r="TCH157"/>
      <c r="TCI157"/>
      <c r="TCJ157"/>
      <c r="TCK157"/>
      <c r="TCL157"/>
      <c r="TCM157"/>
      <c r="TCN157"/>
      <c r="TCO157"/>
      <c r="TCP157"/>
      <c r="TCQ157"/>
      <c r="TCR157"/>
      <c r="TCS157"/>
      <c r="TCT157"/>
      <c r="TCU157"/>
      <c r="TCV157"/>
      <c r="TCW157"/>
      <c r="TCX157"/>
      <c r="TCY157"/>
      <c r="TCZ157"/>
      <c r="TDA157"/>
      <c r="TDB157"/>
      <c r="TDC157"/>
      <c r="TDD157"/>
      <c r="TDE157"/>
      <c r="TDF157"/>
      <c r="TDG157"/>
      <c r="TDH157"/>
      <c r="TDI157"/>
      <c r="TDJ157"/>
      <c r="TDK157"/>
      <c r="TDL157"/>
      <c r="TDM157"/>
      <c r="TDN157"/>
      <c r="TDO157"/>
      <c r="TDP157"/>
      <c r="TDQ157"/>
      <c r="TDR157"/>
      <c r="TDS157"/>
      <c r="TDT157"/>
      <c r="TDU157"/>
      <c r="TDV157"/>
      <c r="TDW157"/>
      <c r="TDX157"/>
      <c r="TDY157"/>
      <c r="TDZ157"/>
      <c r="TEA157"/>
      <c r="TEB157"/>
      <c r="TEC157"/>
      <c r="TED157"/>
      <c r="TEE157"/>
      <c r="TEF157"/>
      <c r="TEG157"/>
      <c r="TEH157"/>
      <c r="TEI157"/>
      <c r="TEJ157"/>
      <c r="TEK157"/>
      <c r="TEL157"/>
      <c r="TEM157"/>
      <c r="TEN157"/>
      <c r="TEO157"/>
      <c r="TEP157"/>
      <c r="TEQ157"/>
      <c r="TER157"/>
      <c r="TES157"/>
      <c r="TET157"/>
      <c r="TEU157"/>
      <c r="TEV157"/>
      <c r="TEW157"/>
      <c r="TEX157"/>
      <c r="TEY157"/>
      <c r="TEZ157"/>
      <c r="TFA157"/>
      <c r="TFB157"/>
      <c r="TFC157"/>
      <c r="TFD157"/>
      <c r="TFE157"/>
      <c r="TFF157"/>
      <c r="TFG157"/>
      <c r="TFH157"/>
      <c r="TFI157"/>
      <c r="TFJ157"/>
      <c r="TFK157"/>
      <c r="TFL157"/>
      <c r="TFM157"/>
      <c r="TFN157"/>
      <c r="TFO157"/>
      <c r="TFP157"/>
      <c r="TFQ157"/>
      <c r="TFR157"/>
      <c r="TFS157"/>
      <c r="TFT157"/>
      <c r="TFU157"/>
      <c r="TFV157"/>
      <c r="TFW157"/>
      <c r="TFX157"/>
      <c r="TFY157"/>
      <c r="TFZ157"/>
      <c r="TGA157"/>
      <c r="TGB157"/>
      <c r="TGC157"/>
      <c r="TGD157"/>
      <c r="TGE157"/>
      <c r="TGF157"/>
      <c r="TGG157"/>
      <c r="TGH157"/>
      <c r="TGI157"/>
      <c r="TGJ157"/>
      <c r="TGK157"/>
      <c r="TGL157"/>
      <c r="TGM157"/>
      <c r="TGN157"/>
      <c r="TGO157"/>
      <c r="TGP157"/>
      <c r="TGQ157"/>
      <c r="TGR157"/>
      <c r="TGS157"/>
      <c r="TGT157"/>
      <c r="TGU157"/>
      <c r="TGV157"/>
      <c r="TGW157"/>
      <c r="TGX157"/>
      <c r="TGY157"/>
      <c r="TGZ157"/>
      <c r="THA157"/>
      <c r="THB157"/>
      <c r="THC157"/>
      <c r="THD157"/>
      <c r="THE157"/>
      <c r="THF157"/>
      <c r="THG157"/>
      <c r="THH157"/>
      <c r="THI157"/>
      <c r="THJ157"/>
      <c r="THK157"/>
      <c r="THL157"/>
      <c r="THM157"/>
      <c r="THN157"/>
      <c r="THO157"/>
      <c r="THP157"/>
      <c r="THQ157"/>
      <c r="THR157"/>
      <c r="THS157"/>
      <c r="THT157"/>
      <c r="THU157"/>
      <c r="THV157"/>
      <c r="THW157"/>
      <c r="THX157"/>
      <c r="THY157"/>
      <c r="THZ157"/>
      <c r="TIA157"/>
      <c r="TIB157"/>
      <c r="TIC157"/>
      <c r="TID157"/>
      <c r="TIE157"/>
      <c r="TIF157"/>
      <c r="TIG157"/>
      <c r="TIH157"/>
      <c r="TII157"/>
      <c r="TIJ157"/>
      <c r="TIK157"/>
      <c r="TIL157"/>
      <c r="TIM157"/>
      <c r="TIN157"/>
      <c r="TIO157"/>
      <c r="TIP157"/>
      <c r="TIQ157"/>
      <c r="TIR157"/>
      <c r="TIS157"/>
      <c r="TIT157"/>
      <c r="TIU157"/>
      <c r="TIV157"/>
      <c r="TIW157"/>
      <c r="TIX157"/>
      <c r="TIY157"/>
      <c r="TIZ157"/>
      <c r="TJA157"/>
      <c r="TJB157"/>
      <c r="TJC157"/>
      <c r="TJD157"/>
      <c r="TJE157"/>
      <c r="TJF157"/>
      <c r="TJG157"/>
      <c r="TJH157"/>
      <c r="TJI157"/>
      <c r="TJJ157"/>
      <c r="TJK157"/>
      <c r="TJL157"/>
      <c r="TJM157"/>
      <c r="TJN157"/>
      <c r="TJO157"/>
      <c r="TJP157"/>
      <c r="TJQ157"/>
      <c r="TJR157"/>
      <c r="TJS157"/>
      <c r="TJT157"/>
      <c r="TJU157"/>
      <c r="TJV157"/>
      <c r="TJW157"/>
      <c r="TJX157"/>
      <c r="TJY157"/>
      <c r="TJZ157"/>
      <c r="TKA157"/>
      <c r="TKB157"/>
      <c r="TKC157"/>
      <c r="TKD157"/>
      <c r="TKE157"/>
      <c r="TKF157"/>
      <c r="TKG157"/>
      <c r="TKH157"/>
      <c r="TKI157"/>
      <c r="TKJ157"/>
      <c r="TKK157"/>
      <c r="TKL157"/>
      <c r="TKM157"/>
      <c r="TKN157"/>
      <c r="TKO157"/>
      <c r="TKP157"/>
      <c r="TKQ157"/>
      <c r="TKR157"/>
      <c r="TKS157"/>
      <c r="TKT157"/>
      <c r="TKU157"/>
      <c r="TKV157"/>
      <c r="TKW157"/>
      <c r="TKX157"/>
      <c r="TKY157"/>
      <c r="TKZ157"/>
      <c r="TLA157"/>
      <c r="TLB157"/>
      <c r="TLC157"/>
      <c r="TLD157"/>
      <c r="TLE157"/>
      <c r="TLF157"/>
      <c r="TLG157"/>
      <c r="TLH157"/>
      <c r="TLI157"/>
      <c r="TLJ157"/>
      <c r="TLK157"/>
      <c r="TLL157"/>
      <c r="TLM157"/>
      <c r="TLN157"/>
      <c r="TLO157"/>
      <c r="TLP157"/>
      <c r="TLQ157"/>
      <c r="TLR157"/>
      <c r="TLS157"/>
      <c r="TLT157"/>
      <c r="TLU157"/>
      <c r="TLV157"/>
      <c r="TLW157"/>
      <c r="TLX157"/>
      <c r="TLY157"/>
      <c r="TLZ157"/>
      <c r="TMA157"/>
      <c r="TMB157"/>
      <c r="TMC157"/>
      <c r="TMD157"/>
      <c r="TME157"/>
      <c r="TMF157"/>
      <c r="TMG157"/>
      <c r="TMH157"/>
      <c r="TMI157"/>
      <c r="TMJ157"/>
      <c r="TMK157"/>
      <c r="TML157"/>
      <c r="TMM157"/>
      <c r="TMN157"/>
      <c r="TMO157"/>
      <c r="TMP157"/>
      <c r="TMQ157"/>
      <c r="TMR157"/>
      <c r="TMS157"/>
      <c r="TMT157"/>
      <c r="TMU157"/>
      <c r="TMV157"/>
      <c r="TMW157"/>
      <c r="TMX157"/>
      <c r="TMY157"/>
      <c r="TMZ157"/>
      <c r="TNA157"/>
      <c r="TNB157"/>
      <c r="TNC157"/>
      <c r="TND157"/>
      <c r="TNE157"/>
      <c r="TNF157"/>
      <c r="TNG157"/>
      <c r="TNH157"/>
      <c r="TNI157"/>
      <c r="TNJ157"/>
      <c r="TNK157"/>
      <c r="TNL157"/>
      <c r="TNM157"/>
      <c r="TNN157"/>
      <c r="TNO157"/>
      <c r="TNP157"/>
      <c r="TNQ157"/>
      <c r="TNR157"/>
      <c r="TNS157"/>
      <c r="TNT157"/>
      <c r="TNU157"/>
      <c r="TNV157"/>
      <c r="TNW157"/>
      <c r="TNX157"/>
      <c r="TNY157"/>
      <c r="TNZ157"/>
      <c r="TOA157"/>
      <c r="TOB157"/>
      <c r="TOC157"/>
      <c r="TOD157"/>
      <c r="TOE157"/>
      <c r="TOF157"/>
      <c r="TOG157"/>
      <c r="TOH157"/>
      <c r="TOI157"/>
      <c r="TOJ157"/>
      <c r="TOK157"/>
      <c r="TOL157"/>
      <c r="TOM157"/>
      <c r="TON157"/>
      <c r="TOO157"/>
      <c r="TOP157"/>
      <c r="TOQ157"/>
      <c r="TOR157"/>
      <c r="TOS157"/>
      <c r="TOT157"/>
      <c r="TOU157"/>
      <c r="TOV157"/>
      <c r="TOW157"/>
      <c r="TOX157"/>
      <c r="TOY157"/>
      <c r="TOZ157"/>
      <c r="TPA157"/>
      <c r="TPB157"/>
      <c r="TPC157"/>
      <c r="TPD157"/>
      <c r="TPE157"/>
      <c r="TPF157"/>
      <c r="TPG157"/>
      <c r="TPH157"/>
      <c r="TPI157"/>
      <c r="TPJ157"/>
      <c r="TPK157"/>
      <c r="TPL157"/>
      <c r="TPM157"/>
      <c r="TPN157"/>
      <c r="TPO157"/>
      <c r="TPP157"/>
      <c r="TPQ157"/>
      <c r="TPR157"/>
      <c r="TPS157"/>
      <c r="TPT157"/>
      <c r="TPU157"/>
      <c r="TPV157"/>
      <c r="TPW157"/>
      <c r="TPX157"/>
      <c r="TPY157"/>
      <c r="TPZ157"/>
      <c r="TQA157"/>
      <c r="TQB157"/>
      <c r="TQC157"/>
      <c r="TQD157"/>
      <c r="TQE157"/>
      <c r="TQF157"/>
      <c r="TQG157"/>
      <c r="TQH157"/>
      <c r="TQI157"/>
      <c r="TQJ157"/>
      <c r="TQK157"/>
      <c r="TQL157"/>
      <c r="TQM157"/>
      <c r="TQN157"/>
      <c r="TQO157"/>
      <c r="TQP157"/>
      <c r="TQQ157"/>
      <c r="TQR157"/>
      <c r="TQS157"/>
      <c r="TQT157"/>
      <c r="TQU157"/>
      <c r="TQV157"/>
      <c r="TQW157"/>
      <c r="TQX157"/>
      <c r="TQY157"/>
      <c r="TQZ157"/>
      <c r="TRA157"/>
      <c r="TRB157"/>
      <c r="TRC157"/>
      <c r="TRD157"/>
      <c r="TRE157"/>
      <c r="TRF157"/>
      <c r="TRG157"/>
      <c r="TRH157"/>
      <c r="TRI157"/>
      <c r="TRJ157"/>
      <c r="TRK157"/>
      <c r="TRL157"/>
      <c r="TRM157"/>
      <c r="TRN157"/>
      <c r="TRO157"/>
      <c r="TRP157"/>
      <c r="TRQ157"/>
      <c r="TRR157"/>
      <c r="TRS157"/>
      <c r="TRT157"/>
      <c r="TRU157"/>
      <c r="TRV157"/>
      <c r="TRW157"/>
      <c r="TRX157"/>
      <c r="TRY157"/>
      <c r="TRZ157"/>
      <c r="TSA157"/>
      <c r="TSB157"/>
      <c r="TSC157"/>
      <c r="TSD157"/>
      <c r="TSE157"/>
      <c r="TSF157"/>
      <c r="TSG157"/>
      <c r="TSH157"/>
      <c r="TSI157"/>
      <c r="TSJ157"/>
      <c r="TSK157"/>
      <c r="TSL157"/>
      <c r="TSM157"/>
      <c r="TSN157"/>
      <c r="TSO157"/>
      <c r="TSP157"/>
      <c r="TSQ157"/>
      <c r="TSR157"/>
      <c r="TSS157"/>
      <c r="TST157"/>
      <c r="TSU157"/>
      <c r="TSV157"/>
      <c r="TSW157"/>
      <c r="TSX157"/>
      <c r="TSY157"/>
      <c r="TSZ157"/>
      <c r="TTA157"/>
      <c r="TTB157"/>
      <c r="TTC157"/>
      <c r="TTD157"/>
      <c r="TTE157"/>
      <c r="TTF157"/>
      <c r="TTG157"/>
      <c r="TTH157"/>
      <c r="TTI157"/>
      <c r="TTJ157"/>
      <c r="TTK157"/>
      <c r="TTL157"/>
      <c r="TTM157"/>
      <c r="TTN157"/>
      <c r="TTO157"/>
      <c r="TTP157"/>
      <c r="TTQ157"/>
      <c r="TTR157"/>
      <c r="TTS157"/>
      <c r="TTT157"/>
      <c r="TTU157"/>
      <c r="TTV157"/>
      <c r="TTW157"/>
      <c r="TTX157"/>
      <c r="TTY157"/>
      <c r="TTZ157"/>
      <c r="TUA157"/>
      <c r="TUB157"/>
      <c r="TUC157"/>
      <c r="TUD157"/>
      <c r="TUE157"/>
      <c r="TUF157"/>
      <c r="TUG157"/>
      <c r="TUH157"/>
      <c r="TUI157"/>
      <c r="TUJ157"/>
      <c r="TUK157"/>
      <c r="TUL157"/>
      <c r="TUM157"/>
      <c r="TUN157"/>
      <c r="TUO157"/>
      <c r="TUP157"/>
      <c r="TUQ157"/>
      <c r="TUR157"/>
      <c r="TUS157"/>
      <c r="TUT157"/>
      <c r="TUU157"/>
      <c r="TUV157"/>
      <c r="TUW157"/>
      <c r="TUX157"/>
      <c r="TUY157"/>
      <c r="TUZ157"/>
      <c r="TVA157"/>
      <c r="TVB157"/>
      <c r="TVC157"/>
      <c r="TVD157"/>
      <c r="TVE157"/>
      <c r="TVF157"/>
      <c r="TVG157"/>
      <c r="TVH157"/>
      <c r="TVI157"/>
      <c r="TVJ157"/>
      <c r="TVK157"/>
      <c r="TVL157"/>
      <c r="TVM157"/>
      <c r="TVN157"/>
      <c r="TVO157"/>
      <c r="TVP157"/>
      <c r="TVQ157"/>
      <c r="TVR157"/>
      <c r="TVS157"/>
      <c r="TVT157"/>
      <c r="TVU157"/>
      <c r="TVV157"/>
      <c r="TVW157"/>
      <c r="TVX157"/>
      <c r="TVY157"/>
      <c r="TVZ157"/>
      <c r="TWA157"/>
      <c r="TWB157"/>
      <c r="TWC157"/>
      <c r="TWD157"/>
      <c r="TWE157"/>
      <c r="TWF157"/>
      <c r="TWG157"/>
      <c r="TWH157"/>
      <c r="TWI157"/>
      <c r="TWJ157"/>
      <c r="TWK157"/>
      <c r="TWL157"/>
      <c r="TWM157"/>
      <c r="TWN157"/>
      <c r="TWO157"/>
      <c r="TWP157"/>
      <c r="TWQ157"/>
      <c r="TWR157"/>
      <c r="TWS157"/>
      <c r="TWT157"/>
      <c r="TWU157"/>
      <c r="TWV157"/>
      <c r="TWW157"/>
      <c r="TWX157"/>
      <c r="TWY157"/>
      <c r="TWZ157"/>
      <c r="TXA157"/>
      <c r="TXB157"/>
      <c r="TXC157"/>
      <c r="TXD157"/>
      <c r="TXE157"/>
      <c r="TXF157"/>
      <c r="TXG157"/>
      <c r="TXH157"/>
      <c r="TXI157"/>
      <c r="TXJ157"/>
      <c r="TXK157"/>
      <c r="TXL157"/>
      <c r="TXM157"/>
      <c r="TXN157"/>
      <c r="TXO157"/>
      <c r="TXP157"/>
      <c r="TXQ157"/>
      <c r="TXR157"/>
      <c r="TXS157"/>
      <c r="TXT157"/>
      <c r="TXU157"/>
      <c r="TXV157"/>
      <c r="TXW157"/>
      <c r="TXX157"/>
      <c r="TXY157"/>
      <c r="TXZ157"/>
      <c r="TYA157"/>
      <c r="TYB157"/>
      <c r="TYC157"/>
      <c r="TYD157"/>
      <c r="TYE157"/>
      <c r="TYF157"/>
      <c r="TYG157"/>
      <c r="TYH157"/>
      <c r="TYI157"/>
      <c r="TYJ157"/>
      <c r="TYK157"/>
      <c r="TYL157"/>
      <c r="TYM157"/>
      <c r="TYN157"/>
      <c r="TYO157"/>
      <c r="TYP157"/>
      <c r="TYQ157"/>
      <c r="TYR157"/>
      <c r="TYS157"/>
      <c r="TYT157"/>
      <c r="TYU157"/>
      <c r="TYV157"/>
      <c r="TYW157"/>
      <c r="TYX157"/>
      <c r="TYY157"/>
      <c r="TYZ157"/>
      <c r="TZA157"/>
      <c r="TZB157"/>
      <c r="TZC157"/>
      <c r="TZD157"/>
      <c r="TZE157"/>
      <c r="TZF157"/>
      <c r="TZG157"/>
      <c r="TZH157"/>
      <c r="TZI157"/>
      <c r="TZJ157"/>
      <c r="TZK157"/>
      <c r="TZL157"/>
      <c r="TZM157"/>
      <c r="TZN157"/>
      <c r="TZO157"/>
      <c r="TZP157"/>
      <c r="TZQ157"/>
      <c r="TZR157"/>
      <c r="TZS157"/>
      <c r="TZT157"/>
      <c r="TZU157"/>
      <c r="TZV157"/>
      <c r="TZW157"/>
      <c r="TZX157"/>
      <c r="TZY157"/>
      <c r="TZZ157"/>
      <c r="UAA157"/>
      <c r="UAB157"/>
      <c r="UAC157"/>
      <c r="UAD157"/>
      <c r="UAE157"/>
      <c r="UAF157"/>
      <c r="UAG157"/>
      <c r="UAH157"/>
      <c r="UAI157"/>
      <c r="UAJ157"/>
      <c r="UAK157"/>
      <c r="UAL157"/>
      <c r="UAM157"/>
      <c r="UAN157"/>
      <c r="UAO157"/>
      <c r="UAP157"/>
      <c r="UAQ157"/>
      <c r="UAR157"/>
      <c r="UAS157"/>
      <c r="UAT157"/>
      <c r="UAU157"/>
      <c r="UAV157"/>
      <c r="UAW157"/>
      <c r="UAX157"/>
      <c r="UAY157"/>
      <c r="UAZ157"/>
      <c r="UBA157"/>
      <c r="UBB157"/>
      <c r="UBC157"/>
      <c r="UBD157"/>
      <c r="UBE157"/>
      <c r="UBF157"/>
      <c r="UBG157"/>
      <c r="UBH157"/>
      <c r="UBI157"/>
      <c r="UBJ157"/>
      <c r="UBK157"/>
      <c r="UBL157"/>
      <c r="UBM157"/>
      <c r="UBN157"/>
      <c r="UBO157"/>
      <c r="UBP157"/>
      <c r="UBQ157"/>
      <c r="UBR157"/>
      <c r="UBS157"/>
      <c r="UBT157"/>
      <c r="UBU157"/>
      <c r="UBV157"/>
      <c r="UBW157"/>
      <c r="UBX157"/>
      <c r="UBY157"/>
      <c r="UBZ157"/>
      <c r="UCA157"/>
      <c r="UCB157"/>
      <c r="UCC157"/>
      <c r="UCD157"/>
      <c r="UCE157"/>
      <c r="UCF157"/>
      <c r="UCG157"/>
      <c r="UCH157"/>
      <c r="UCI157"/>
      <c r="UCJ157"/>
      <c r="UCK157"/>
      <c r="UCL157"/>
      <c r="UCM157"/>
      <c r="UCN157"/>
      <c r="UCO157"/>
      <c r="UCP157"/>
      <c r="UCQ157"/>
      <c r="UCR157"/>
      <c r="UCS157"/>
      <c r="UCT157"/>
      <c r="UCU157"/>
      <c r="UCV157"/>
      <c r="UCW157"/>
      <c r="UCX157"/>
      <c r="UCY157"/>
      <c r="UCZ157"/>
      <c r="UDA157"/>
      <c r="UDB157"/>
      <c r="UDC157"/>
      <c r="UDD157"/>
      <c r="UDE157"/>
      <c r="UDF157"/>
      <c r="UDG157"/>
      <c r="UDH157"/>
      <c r="UDI157"/>
      <c r="UDJ157"/>
      <c r="UDK157"/>
      <c r="UDL157"/>
      <c r="UDM157"/>
      <c r="UDN157"/>
      <c r="UDO157"/>
      <c r="UDP157"/>
      <c r="UDQ157"/>
      <c r="UDR157"/>
      <c r="UDS157"/>
      <c r="UDT157"/>
      <c r="UDU157"/>
      <c r="UDV157"/>
      <c r="UDW157"/>
      <c r="UDX157"/>
      <c r="UDY157"/>
      <c r="UDZ157"/>
      <c r="UEA157"/>
      <c r="UEB157"/>
      <c r="UEC157"/>
      <c r="UED157"/>
      <c r="UEE157"/>
      <c r="UEF157"/>
      <c r="UEG157"/>
      <c r="UEH157"/>
      <c r="UEI157"/>
      <c r="UEJ157"/>
      <c r="UEK157"/>
      <c r="UEL157"/>
      <c r="UEM157"/>
      <c r="UEN157"/>
      <c r="UEO157"/>
      <c r="UEP157"/>
      <c r="UEQ157"/>
      <c r="UER157"/>
      <c r="UES157"/>
      <c r="UET157"/>
      <c r="UEU157"/>
      <c r="UEV157"/>
      <c r="UEW157"/>
      <c r="UEX157"/>
      <c r="UEY157"/>
      <c r="UEZ157"/>
      <c r="UFA157"/>
      <c r="UFB157"/>
      <c r="UFC157"/>
      <c r="UFD157"/>
      <c r="UFE157"/>
      <c r="UFF157"/>
      <c r="UFG157"/>
      <c r="UFH157"/>
      <c r="UFI157"/>
      <c r="UFJ157"/>
      <c r="UFK157"/>
      <c r="UFL157"/>
      <c r="UFM157"/>
      <c r="UFN157"/>
      <c r="UFO157"/>
      <c r="UFP157"/>
      <c r="UFQ157"/>
      <c r="UFR157"/>
      <c r="UFS157"/>
      <c r="UFT157"/>
      <c r="UFU157"/>
      <c r="UFV157"/>
      <c r="UFW157"/>
      <c r="UFX157"/>
      <c r="UFY157"/>
      <c r="UFZ157"/>
      <c r="UGA157"/>
      <c r="UGB157"/>
      <c r="UGC157"/>
      <c r="UGD157"/>
      <c r="UGE157"/>
      <c r="UGF157"/>
      <c r="UGG157"/>
      <c r="UGH157"/>
      <c r="UGI157"/>
      <c r="UGJ157"/>
      <c r="UGK157"/>
      <c r="UGL157"/>
      <c r="UGM157"/>
      <c r="UGN157"/>
      <c r="UGO157"/>
      <c r="UGP157"/>
      <c r="UGQ157"/>
      <c r="UGR157"/>
      <c r="UGS157"/>
      <c r="UGT157"/>
      <c r="UGU157"/>
      <c r="UGV157"/>
      <c r="UGW157"/>
      <c r="UGX157"/>
      <c r="UGY157"/>
      <c r="UGZ157"/>
      <c r="UHA157"/>
      <c r="UHB157"/>
      <c r="UHC157"/>
      <c r="UHD157"/>
      <c r="UHE157"/>
      <c r="UHF157"/>
      <c r="UHG157"/>
      <c r="UHH157"/>
      <c r="UHI157"/>
      <c r="UHJ157"/>
      <c r="UHK157"/>
      <c r="UHL157"/>
      <c r="UHM157"/>
      <c r="UHN157"/>
      <c r="UHO157"/>
      <c r="UHP157"/>
      <c r="UHQ157"/>
      <c r="UHR157"/>
      <c r="UHS157"/>
      <c r="UHT157"/>
      <c r="UHU157"/>
      <c r="UHV157"/>
      <c r="UHW157"/>
      <c r="UHX157"/>
      <c r="UHY157"/>
      <c r="UHZ157"/>
      <c r="UIA157"/>
      <c r="UIB157"/>
      <c r="UIC157"/>
      <c r="UID157"/>
      <c r="UIE157"/>
      <c r="UIF157"/>
      <c r="UIG157"/>
      <c r="UIH157"/>
      <c r="UII157"/>
      <c r="UIJ157"/>
      <c r="UIK157"/>
      <c r="UIL157"/>
      <c r="UIM157"/>
      <c r="UIN157"/>
      <c r="UIO157"/>
      <c r="UIP157"/>
      <c r="UIQ157"/>
      <c r="UIR157"/>
      <c r="UIS157"/>
      <c r="UIT157"/>
      <c r="UIU157"/>
      <c r="UIV157"/>
      <c r="UIW157"/>
      <c r="UIX157"/>
      <c r="UIY157"/>
      <c r="UIZ157"/>
      <c r="UJA157"/>
      <c r="UJB157"/>
      <c r="UJC157"/>
      <c r="UJD157"/>
      <c r="UJE157"/>
      <c r="UJF157"/>
      <c r="UJG157"/>
      <c r="UJH157"/>
      <c r="UJI157"/>
      <c r="UJJ157"/>
      <c r="UJK157"/>
      <c r="UJL157"/>
      <c r="UJM157"/>
      <c r="UJN157"/>
      <c r="UJO157"/>
      <c r="UJP157"/>
      <c r="UJQ157"/>
      <c r="UJR157"/>
      <c r="UJS157"/>
      <c r="UJT157"/>
      <c r="UJU157"/>
      <c r="UJV157"/>
      <c r="UJW157"/>
      <c r="UJX157"/>
      <c r="UJY157"/>
      <c r="UJZ157"/>
      <c r="UKA157"/>
      <c r="UKB157"/>
      <c r="UKC157"/>
      <c r="UKD157"/>
      <c r="UKE157"/>
      <c r="UKF157"/>
      <c r="UKG157"/>
      <c r="UKH157"/>
      <c r="UKI157"/>
      <c r="UKJ157"/>
      <c r="UKK157"/>
      <c r="UKL157"/>
      <c r="UKM157"/>
      <c r="UKN157"/>
      <c r="UKO157"/>
      <c r="UKP157"/>
      <c r="UKQ157"/>
      <c r="UKR157"/>
      <c r="UKS157"/>
      <c r="UKT157"/>
      <c r="UKU157"/>
      <c r="UKV157"/>
      <c r="UKW157"/>
      <c r="UKX157"/>
      <c r="UKY157"/>
      <c r="UKZ157"/>
      <c r="ULA157"/>
      <c r="ULB157"/>
      <c r="ULC157"/>
      <c r="ULD157"/>
      <c r="ULE157"/>
      <c r="ULF157"/>
      <c r="ULG157"/>
      <c r="ULH157"/>
      <c r="ULI157"/>
      <c r="ULJ157"/>
      <c r="ULK157"/>
      <c r="ULL157"/>
      <c r="ULM157"/>
      <c r="ULN157"/>
      <c r="ULO157"/>
      <c r="ULP157"/>
      <c r="ULQ157"/>
      <c r="ULR157"/>
      <c r="ULS157"/>
      <c r="ULT157"/>
      <c r="ULU157"/>
      <c r="ULV157"/>
      <c r="ULW157"/>
      <c r="ULX157"/>
      <c r="ULY157"/>
      <c r="ULZ157"/>
      <c r="UMA157"/>
      <c r="UMB157"/>
      <c r="UMC157"/>
      <c r="UMD157"/>
      <c r="UME157"/>
      <c r="UMF157"/>
      <c r="UMG157"/>
      <c r="UMH157"/>
      <c r="UMI157"/>
      <c r="UMJ157"/>
      <c r="UMK157"/>
      <c r="UML157"/>
      <c r="UMM157"/>
      <c r="UMN157"/>
      <c r="UMO157"/>
      <c r="UMP157"/>
      <c r="UMQ157"/>
      <c r="UMR157"/>
      <c r="UMS157"/>
      <c r="UMT157"/>
      <c r="UMU157"/>
      <c r="UMV157"/>
      <c r="UMW157"/>
      <c r="UMX157"/>
      <c r="UMY157"/>
      <c r="UMZ157"/>
      <c r="UNA157"/>
      <c r="UNB157"/>
      <c r="UNC157"/>
      <c r="UND157"/>
      <c r="UNE157"/>
      <c r="UNF157"/>
      <c r="UNG157"/>
      <c r="UNH157"/>
      <c r="UNI157"/>
      <c r="UNJ157"/>
      <c r="UNK157"/>
      <c r="UNL157"/>
      <c r="UNM157"/>
      <c r="UNN157"/>
      <c r="UNO157"/>
      <c r="UNP157"/>
      <c r="UNQ157"/>
      <c r="UNR157"/>
      <c r="UNS157"/>
      <c r="UNT157"/>
      <c r="UNU157"/>
      <c r="UNV157"/>
      <c r="UNW157"/>
      <c r="UNX157"/>
      <c r="UNY157"/>
      <c r="UNZ157"/>
      <c r="UOA157"/>
      <c r="UOB157"/>
      <c r="UOC157"/>
      <c r="UOD157"/>
      <c r="UOE157"/>
      <c r="UOF157"/>
      <c r="UOG157"/>
      <c r="UOH157"/>
      <c r="UOI157"/>
      <c r="UOJ157"/>
      <c r="UOK157"/>
      <c r="UOL157"/>
      <c r="UOM157"/>
      <c r="UON157"/>
      <c r="UOO157"/>
      <c r="UOP157"/>
      <c r="UOQ157"/>
      <c r="UOR157"/>
      <c r="UOS157"/>
      <c r="UOT157"/>
      <c r="UOU157"/>
      <c r="UOV157"/>
      <c r="UOW157"/>
      <c r="UOX157"/>
      <c r="UOY157"/>
      <c r="UOZ157"/>
      <c r="UPA157"/>
      <c r="UPB157"/>
      <c r="UPC157"/>
      <c r="UPD157"/>
      <c r="UPE157"/>
      <c r="UPF157"/>
      <c r="UPG157"/>
      <c r="UPH157"/>
      <c r="UPI157"/>
      <c r="UPJ157"/>
      <c r="UPK157"/>
      <c r="UPL157"/>
      <c r="UPM157"/>
      <c r="UPN157"/>
      <c r="UPO157"/>
      <c r="UPP157"/>
      <c r="UPQ157"/>
      <c r="UPR157"/>
      <c r="UPS157"/>
      <c r="UPT157"/>
      <c r="UPU157"/>
      <c r="UPV157"/>
      <c r="UPW157"/>
      <c r="UPX157"/>
      <c r="UPY157"/>
      <c r="UPZ157"/>
      <c r="UQA157"/>
      <c r="UQB157"/>
      <c r="UQC157"/>
      <c r="UQD157"/>
      <c r="UQE157"/>
      <c r="UQF157"/>
      <c r="UQG157"/>
      <c r="UQH157"/>
      <c r="UQI157"/>
      <c r="UQJ157"/>
      <c r="UQK157"/>
      <c r="UQL157"/>
      <c r="UQM157"/>
      <c r="UQN157"/>
      <c r="UQO157"/>
      <c r="UQP157"/>
      <c r="UQQ157"/>
      <c r="UQR157"/>
      <c r="UQS157"/>
      <c r="UQT157"/>
      <c r="UQU157"/>
      <c r="UQV157"/>
      <c r="UQW157"/>
      <c r="UQX157"/>
      <c r="UQY157"/>
      <c r="UQZ157"/>
      <c r="URA157"/>
      <c r="URB157"/>
      <c r="URC157"/>
      <c r="URD157"/>
      <c r="URE157"/>
      <c r="URF157"/>
      <c r="URG157"/>
      <c r="URH157"/>
      <c r="URI157"/>
      <c r="URJ157"/>
      <c r="URK157"/>
      <c r="URL157"/>
      <c r="URM157"/>
      <c r="URN157"/>
      <c r="URO157"/>
      <c r="URP157"/>
      <c r="URQ157"/>
      <c r="URR157"/>
      <c r="URS157"/>
      <c r="URT157"/>
      <c r="URU157"/>
      <c r="URV157"/>
      <c r="URW157"/>
      <c r="URX157"/>
      <c r="URY157"/>
      <c r="URZ157"/>
      <c r="USA157"/>
      <c r="USB157"/>
      <c r="USC157"/>
      <c r="USD157"/>
      <c r="USE157"/>
      <c r="USF157"/>
      <c r="USG157"/>
      <c r="USH157"/>
      <c r="USI157"/>
      <c r="USJ157"/>
      <c r="USK157"/>
      <c r="USL157"/>
      <c r="USM157"/>
      <c r="USN157"/>
      <c r="USO157"/>
      <c r="USP157"/>
      <c r="USQ157"/>
      <c r="USR157"/>
      <c r="USS157"/>
      <c r="UST157"/>
      <c r="USU157"/>
      <c r="USV157"/>
      <c r="USW157"/>
      <c r="USX157"/>
      <c r="USY157"/>
      <c r="USZ157"/>
      <c r="UTA157"/>
      <c r="UTB157"/>
      <c r="UTC157"/>
      <c r="UTD157"/>
      <c r="UTE157"/>
      <c r="UTF157"/>
      <c r="UTG157"/>
      <c r="UTH157"/>
      <c r="UTI157"/>
      <c r="UTJ157"/>
      <c r="UTK157"/>
      <c r="UTL157"/>
      <c r="UTM157"/>
      <c r="UTN157"/>
      <c r="UTO157"/>
      <c r="UTP157"/>
      <c r="UTQ157"/>
      <c r="UTR157"/>
      <c r="UTS157"/>
      <c r="UTT157"/>
      <c r="UTU157"/>
      <c r="UTV157"/>
      <c r="UTW157"/>
      <c r="UTX157"/>
      <c r="UTY157"/>
      <c r="UTZ157"/>
      <c r="UUA157"/>
      <c r="UUB157"/>
      <c r="UUC157"/>
      <c r="UUD157"/>
      <c r="UUE157"/>
      <c r="UUF157"/>
      <c r="UUG157"/>
      <c r="UUH157"/>
      <c r="UUI157"/>
      <c r="UUJ157"/>
      <c r="UUK157"/>
      <c r="UUL157"/>
      <c r="UUM157"/>
      <c r="UUN157"/>
      <c r="UUO157"/>
      <c r="UUP157"/>
      <c r="UUQ157"/>
      <c r="UUR157"/>
      <c r="UUS157"/>
      <c r="UUT157"/>
      <c r="UUU157"/>
      <c r="UUV157"/>
      <c r="UUW157"/>
      <c r="UUX157"/>
      <c r="UUY157"/>
      <c r="UUZ157"/>
      <c r="UVA157"/>
      <c r="UVB157"/>
      <c r="UVC157"/>
      <c r="UVD157"/>
      <c r="UVE157"/>
      <c r="UVF157"/>
      <c r="UVG157"/>
      <c r="UVH157"/>
      <c r="UVI157"/>
      <c r="UVJ157"/>
      <c r="UVK157"/>
      <c r="UVL157"/>
      <c r="UVM157"/>
      <c r="UVN157"/>
      <c r="UVO157"/>
      <c r="UVP157"/>
      <c r="UVQ157"/>
      <c r="UVR157"/>
      <c r="UVS157"/>
      <c r="UVT157"/>
      <c r="UVU157"/>
      <c r="UVV157"/>
      <c r="UVW157"/>
      <c r="UVX157"/>
      <c r="UVY157"/>
      <c r="UVZ157"/>
      <c r="UWA157"/>
      <c r="UWB157"/>
      <c r="UWC157"/>
      <c r="UWD157"/>
      <c r="UWE157"/>
      <c r="UWF157"/>
      <c r="UWG157"/>
      <c r="UWH157"/>
      <c r="UWI157"/>
      <c r="UWJ157"/>
      <c r="UWK157"/>
      <c r="UWL157"/>
      <c r="UWM157"/>
      <c r="UWN157"/>
      <c r="UWO157"/>
      <c r="UWP157"/>
      <c r="UWQ157"/>
      <c r="UWR157"/>
      <c r="UWS157"/>
      <c r="UWT157"/>
      <c r="UWU157"/>
      <c r="UWV157"/>
      <c r="UWW157"/>
      <c r="UWX157"/>
      <c r="UWY157"/>
      <c r="UWZ157"/>
      <c r="UXA157"/>
      <c r="UXB157"/>
      <c r="UXC157"/>
      <c r="UXD157"/>
      <c r="UXE157"/>
      <c r="UXF157"/>
      <c r="UXG157"/>
      <c r="UXH157"/>
      <c r="UXI157"/>
      <c r="UXJ157"/>
      <c r="UXK157"/>
      <c r="UXL157"/>
      <c r="UXM157"/>
      <c r="UXN157"/>
      <c r="UXO157"/>
      <c r="UXP157"/>
      <c r="UXQ157"/>
      <c r="UXR157"/>
      <c r="UXS157"/>
      <c r="UXT157"/>
      <c r="UXU157"/>
      <c r="UXV157"/>
      <c r="UXW157"/>
      <c r="UXX157"/>
      <c r="UXY157"/>
      <c r="UXZ157"/>
      <c r="UYA157"/>
      <c r="UYB157"/>
      <c r="UYC157"/>
      <c r="UYD157"/>
      <c r="UYE157"/>
      <c r="UYF157"/>
      <c r="UYG157"/>
      <c r="UYH157"/>
      <c r="UYI157"/>
      <c r="UYJ157"/>
      <c r="UYK157"/>
      <c r="UYL157"/>
      <c r="UYM157"/>
      <c r="UYN157"/>
      <c r="UYO157"/>
      <c r="UYP157"/>
      <c r="UYQ157"/>
      <c r="UYR157"/>
      <c r="UYS157"/>
      <c r="UYT157"/>
      <c r="UYU157"/>
      <c r="UYV157"/>
      <c r="UYW157"/>
      <c r="UYX157"/>
      <c r="UYY157"/>
      <c r="UYZ157"/>
      <c r="UZA157"/>
      <c r="UZB157"/>
      <c r="UZC157"/>
      <c r="UZD157"/>
      <c r="UZE157"/>
      <c r="UZF157"/>
      <c r="UZG157"/>
      <c r="UZH157"/>
      <c r="UZI157"/>
      <c r="UZJ157"/>
      <c r="UZK157"/>
      <c r="UZL157"/>
      <c r="UZM157"/>
      <c r="UZN157"/>
      <c r="UZO157"/>
      <c r="UZP157"/>
      <c r="UZQ157"/>
      <c r="UZR157"/>
      <c r="UZS157"/>
      <c r="UZT157"/>
      <c r="UZU157"/>
      <c r="UZV157"/>
      <c r="UZW157"/>
      <c r="UZX157"/>
      <c r="UZY157"/>
      <c r="UZZ157"/>
      <c r="VAA157"/>
      <c r="VAB157"/>
      <c r="VAC157"/>
      <c r="VAD157"/>
      <c r="VAE157"/>
      <c r="VAF157"/>
      <c r="VAG157"/>
      <c r="VAH157"/>
      <c r="VAI157"/>
      <c r="VAJ157"/>
      <c r="VAK157"/>
      <c r="VAL157"/>
      <c r="VAM157"/>
      <c r="VAN157"/>
      <c r="VAO157"/>
      <c r="VAP157"/>
      <c r="VAQ157"/>
      <c r="VAR157"/>
      <c r="VAS157"/>
      <c r="VAT157"/>
      <c r="VAU157"/>
      <c r="VAV157"/>
      <c r="VAW157"/>
      <c r="VAX157"/>
      <c r="VAY157"/>
      <c r="VAZ157"/>
      <c r="VBA157"/>
      <c r="VBB157"/>
      <c r="VBC157"/>
      <c r="VBD157"/>
      <c r="VBE157"/>
      <c r="VBF157"/>
      <c r="VBG157"/>
      <c r="VBH157"/>
      <c r="VBI157"/>
      <c r="VBJ157"/>
      <c r="VBK157"/>
      <c r="VBL157"/>
      <c r="VBM157"/>
      <c r="VBN157"/>
      <c r="VBO157"/>
      <c r="VBP157"/>
      <c r="VBQ157"/>
      <c r="VBR157"/>
      <c r="VBS157"/>
      <c r="VBT157"/>
      <c r="VBU157"/>
      <c r="VBV157"/>
      <c r="VBW157"/>
      <c r="VBX157"/>
      <c r="VBY157"/>
      <c r="VBZ157"/>
      <c r="VCA157"/>
      <c r="VCB157"/>
      <c r="VCC157"/>
      <c r="VCD157"/>
      <c r="VCE157"/>
      <c r="VCF157"/>
      <c r="VCG157"/>
      <c r="VCH157"/>
      <c r="VCI157"/>
      <c r="VCJ157"/>
      <c r="VCK157"/>
      <c r="VCL157"/>
      <c r="VCM157"/>
      <c r="VCN157"/>
      <c r="VCO157"/>
      <c r="VCP157"/>
      <c r="VCQ157"/>
      <c r="VCR157"/>
      <c r="VCS157"/>
      <c r="VCT157"/>
      <c r="VCU157"/>
      <c r="VCV157"/>
      <c r="VCW157"/>
      <c r="VCX157"/>
      <c r="VCY157"/>
      <c r="VCZ157"/>
      <c r="VDA157"/>
      <c r="VDB157"/>
      <c r="VDC157"/>
      <c r="VDD157"/>
      <c r="VDE157"/>
      <c r="VDF157"/>
      <c r="VDG157"/>
      <c r="VDH157"/>
      <c r="VDI157"/>
      <c r="VDJ157"/>
      <c r="VDK157"/>
      <c r="VDL157"/>
      <c r="VDM157"/>
      <c r="VDN157"/>
      <c r="VDO157"/>
      <c r="VDP157"/>
      <c r="VDQ157"/>
      <c r="VDR157"/>
      <c r="VDS157"/>
      <c r="VDT157"/>
      <c r="VDU157"/>
      <c r="VDV157"/>
      <c r="VDW157"/>
      <c r="VDX157"/>
      <c r="VDY157"/>
      <c r="VDZ157"/>
      <c r="VEA157"/>
      <c r="VEB157"/>
      <c r="VEC157"/>
      <c r="VED157"/>
      <c r="VEE157"/>
      <c r="VEF157"/>
      <c r="VEG157"/>
      <c r="VEH157"/>
      <c r="VEI157"/>
      <c r="VEJ157"/>
      <c r="VEK157"/>
      <c r="VEL157"/>
      <c r="VEM157"/>
      <c r="VEN157"/>
      <c r="VEO157"/>
      <c r="VEP157"/>
      <c r="VEQ157"/>
      <c r="VER157"/>
      <c r="VES157"/>
      <c r="VET157"/>
      <c r="VEU157"/>
      <c r="VEV157"/>
      <c r="VEW157"/>
      <c r="VEX157"/>
      <c r="VEY157"/>
      <c r="VEZ157"/>
      <c r="VFA157"/>
      <c r="VFB157"/>
      <c r="VFC157"/>
      <c r="VFD157"/>
      <c r="VFE157"/>
      <c r="VFF157"/>
      <c r="VFG157"/>
      <c r="VFH157"/>
      <c r="VFI157"/>
      <c r="VFJ157"/>
      <c r="VFK157"/>
      <c r="VFL157"/>
      <c r="VFM157"/>
      <c r="VFN157"/>
      <c r="VFO157"/>
      <c r="VFP157"/>
      <c r="VFQ157"/>
      <c r="VFR157"/>
      <c r="VFS157"/>
      <c r="VFT157"/>
      <c r="VFU157"/>
      <c r="VFV157"/>
      <c r="VFW157"/>
      <c r="VFX157"/>
      <c r="VFY157"/>
      <c r="VFZ157"/>
      <c r="VGA157"/>
      <c r="VGB157"/>
      <c r="VGC157"/>
      <c r="VGD157"/>
      <c r="VGE157"/>
      <c r="VGF157"/>
      <c r="VGG157"/>
      <c r="VGH157"/>
      <c r="VGI157"/>
      <c r="VGJ157"/>
      <c r="VGK157"/>
      <c r="VGL157"/>
      <c r="VGM157"/>
      <c r="VGN157"/>
      <c r="VGO157"/>
      <c r="VGP157"/>
      <c r="VGQ157"/>
      <c r="VGR157"/>
      <c r="VGS157"/>
      <c r="VGT157"/>
      <c r="VGU157"/>
      <c r="VGV157"/>
      <c r="VGW157"/>
      <c r="VGX157"/>
      <c r="VGY157"/>
      <c r="VGZ157"/>
      <c r="VHA157"/>
      <c r="VHB157"/>
      <c r="VHC157"/>
      <c r="VHD157"/>
      <c r="VHE157"/>
      <c r="VHF157"/>
      <c r="VHG157"/>
      <c r="VHH157"/>
      <c r="VHI157"/>
      <c r="VHJ157"/>
      <c r="VHK157"/>
      <c r="VHL157"/>
      <c r="VHM157"/>
      <c r="VHN157"/>
      <c r="VHO157"/>
      <c r="VHP157"/>
      <c r="VHQ157"/>
      <c r="VHR157"/>
      <c r="VHS157"/>
      <c r="VHT157"/>
      <c r="VHU157"/>
      <c r="VHV157"/>
      <c r="VHW157"/>
      <c r="VHX157"/>
      <c r="VHY157"/>
      <c r="VHZ157"/>
      <c r="VIA157"/>
      <c r="VIB157"/>
      <c r="VIC157"/>
      <c r="VID157"/>
      <c r="VIE157"/>
      <c r="VIF157"/>
      <c r="VIG157"/>
      <c r="VIH157"/>
      <c r="VII157"/>
      <c r="VIJ157"/>
      <c r="VIK157"/>
      <c r="VIL157"/>
      <c r="VIM157"/>
      <c r="VIN157"/>
      <c r="VIO157"/>
      <c r="VIP157"/>
      <c r="VIQ157"/>
      <c r="VIR157"/>
      <c r="VIS157"/>
      <c r="VIT157"/>
      <c r="VIU157"/>
      <c r="VIV157"/>
      <c r="VIW157"/>
      <c r="VIX157"/>
      <c r="VIY157"/>
      <c r="VIZ157"/>
      <c r="VJA157"/>
      <c r="VJB157"/>
      <c r="VJC157"/>
      <c r="VJD157"/>
      <c r="VJE157"/>
      <c r="VJF157"/>
      <c r="VJG157"/>
      <c r="VJH157"/>
      <c r="VJI157"/>
      <c r="VJJ157"/>
      <c r="VJK157"/>
      <c r="VJL157"/>
      <c r="VJM157"/>
      <c r="VJN157"/>
      <c r="VJO157"/>
      <c r="VJP157"/>
      <c r="VJQ157"/>
      <c r="VJR157"/>
      <c r="VJS157"/>
      <c r="VJT157"/>
      <c r="VJU157"/>
      <c r="VJV157"/>
      <c r="VJW157"/>
      <c r="VJX157"/>
      <c r="VJY157"/>
      <c r="VJZ157"/>
      <c r="VKA157"/>
      <c r="VKB157"/>
      <c r="VKC157"/>
      <c r="VKD157"/>
      <c r="VKE157"/>
      <c r="VKF157"/>
      <c r="VKG157"/>
      <c r="VKH157"/>
      <c r="VKI157"/>
      <c r="VKJ157"/>
      <c r="VKK157"/>
      <c r="VKL157"/>
      <c r="VKM157"/>
      <c r="VKN157"/>
      <c r="VKO157"/>
      <c r="VKP157"/>
      <c r="VKQ157"/>
      <c r="VKR157"/>
      <c r="VKS157"/>
      <c r="VKT157"/>
      <c r="VKU157"/>
      <c r="VKV157"/>
      <c r="VKW157"/>
      <c r="VKX157"/>
      <c r="VKY157"/>
      <c r="VKZ157"/>
      <c r="VLA157"/>
      <c r="VLB157"/>
      <c r="VLC157"/>
      <c r="VLD157"/>
      <c r="VLE157"/>
      <c r="VLF157"/>
      <c r="VLG157"/>
      <c r="VLH157"/>
      <c r="VLI157"/>
      <c r="VLJ157"/>
      <c r="VLK157"/>
      <c r="VLL157"/>
      <c r="VLM157"/>
      <c r="VLN157"/>
      <c r="VLO157"/>
      <c r="VLP157"/>
      <c r="VLQ157"/>
      <c r="VLR157"/>
      <c r="VLS157"/>
      <c r="VLT157"/>
      <c r="VLU157"/>
      <c r="VLV157"/>
      <c r="VLW157"/>
      <c r="VLX157"/>
      <c r="VLY157"/>
      <c r="VLZ157"/>
      <c r="VMA157"/>
      <c r="VMB157"/>
      <c r="VMC157"/>
      <c r="VMD157"/>
      <c r="VME157"/>
      <c r="VMF157"/>
      <c r="VMG157"/>
      <c r="VMH157"/>
      <c r="VMI157"/>
      <c r="VMJ157"/>
      <c r="VMK157"/>
      <c r="VML157"/>
      <c r="VMM157"/>
      <c r="VMN157"/>
      <c r="VMO157"/>
      <c r="VMP157"/>
      <c r="VMQ157"/>
      <c r="VMR157"/>
      <c r="VMS157"/>
      <c r="VMT157"/>
      <c r="VMU157"/>
      <c r="VMV157"/>
      <c r="VMW157"/>
      <c r="VMX157"/>
      <c r="VMY157"/>
      <c r="VMZ157"/>
      <c r="VNA157"/>
      <c r="VNB157"/>
      <c r="VNC157"/>
      <c r="VND157"/>
      <c r="VNE157"/>
      <c r="VNF157"/>
      <c r="VNG157"/>
      <c r="VNH157"/>
      <c r="VNI157"/>
      <c r="VNJ157"/>
      <c r="VNK157"/>
      <c r="VNL157"/>
      <c r="VNM157"/>
      <c r="VNN157"/>
      <c r="VNO157"/>
      <c r="VNP157"/>
      <c r="VNQ157"/>
      <c r="VNR157"/>
      <c r="VNS157"/>
      <c r="VNT157"/>
      <c r="VNU157"/>
      <c r="VNV157"/>
      <c r="VNW157"/>
      <c r="VNX157"/>
      <c r="VNY157"/>
      <c r="VNZ157"/>
      <c r="VOA157"/>
      <c r="VOB157"/>
      <c r="VOC157"/>
      <c r="VOD157"/>
      <c r="VOE157"/>
      <c r="VOF157"/>
      <c r="VOG157"/>
      <c r="VOH157"/>
      <c r="VOI157"/>
      <c r="VOJ157"/>
      <c r="VOK157"/>
      <c r="VOL157"/>
      <c r="VOM157"/>
      <c r="VON157"/>
      <c r="VOO157"/>
      <c r="VOP157"/>
      <c r="VOQ157"/>
      <c r="VOR157"/>
      <c r="VOS157"/>
      <c r="VOT157"/>
      <c r="VOU157"/>
      <c r="VOV157"/>
      <c r="VOW157"/>
      <c r="VOX157"/>
      <c r="VOY157"/>
      <c r="VOZ157"/>
      <c r="VPA157"/>
      <c r="VPB157"/>
      <c r="VPC157"/>
      <c r="VPD157"/>
      <c r="VPE157"/>
      <c r="VPF157"/>
      <c r="VPG157"/>
      <c r="VPH157"/>
      <c r="VPI157"/>
      <c r="VPJ157"/>
      <c r="VPK157"/>
      <c r="VPL157"/>
      <c r="VPM157"/>
      <c r="VPN157"/>
      <c r="VPO157"/>
      <c r="VPP157"/>
      <c r="VPQ157"/>
      <c r="VPR157"/>
      <c r="VPS157"/>
      <c r="VPT157"/>
      <c r="VPU157"/>
      <c r="VPV157"/>
      <c r="VPW157"/>
      <c r="VPX157"/>
      <c r="VPY157"/>
      <c r="VPZ157"/>
      <c r="VQA157"/>
      <c r="VQB157"/>
      <c r="VQC157"/>
      <c r="VQD157"/>
      <c r="VQE157"/>
      <c r="VQF157"/>
      <c r="VQG157"/>
      <c r="VQH157"/>
      <c r="VQI157"/>
      <c r="VQJ157"/>
      <c r="VQK157"/>
      <c r="VQL157"/>
      <c r="VQM157"/>
      <c r="VQN157"/>
      <c r="VQO157"/>
      <c r="VQP157"/>
      <c r="VQQ157"/>
      <c r="VQR157"/>
      <c r="VQS157"/>
      <c r="VQT157"/>
      <c r="VQU157"/>
      <c r="VQV157"/>
      <c r="VQW157"/>
      <c r="VQX157"/>
      <c r="VQY157"/>
      <c r="VQZ157"/>
      <c r="VRA157"/>
      <c r="VRB157"/>
      <c r="VRC157"/>
      <c r="VRD157"/>
      <c r="VRE157"/>
      <c r="VRF157"/>
      <c r="VRG157"/>
      <c r="VRH157"/>
      <c r="VRI157"/>
      <c r="VRJ157"/>
      <c r="VRK157"/>
      <c r="VRL157"/>
      <c r="VRM157"/>
      <c r="VRN157"/>
      <c r="VRO157"/>
      <c r="VRP157"/>
      <c r="VRQ157"/>
      <c r="VRR157"/>
      <c r="VRS157"/>
      <c r="VRT157"/>
      <c r="VRU157"/>
      <c r="VRV157"/>
      <c r="VRW157"/>
      <c r="VRX157"/>
      <c r="VRY157"/>
      <c r="VRZ157"/>
      <c r="VSA157"/>
      <c r="VSB157"/>
      <c r="VSC157"/>
      <c r="VSD157"/>
      <c r="VSE157"/>
      <c r="VSF157"/>
      <c r="VSG157"/>
      <c r="VSH157"/>
      <c r="VSI157"/>
      <c r="VSJ157"/>
      <c r="VSK157"/>
      <c r="VSL157"/>
      <c r="VSM157"/>
      <c r="VSN157"/>
      <c r="VSO157"/>
      <c r="VSP157"/>
      <c r="VSQ157"/>
      <c r="VSR157"/>
      <c r="VSS157"/>
      <c r="VST157"/>
      <c r="VSU157"/>
      <c r="VSV157"/>
      <c r="VSW157"/>
      <c r="VSX157"/>
      <c r="VSY157"/>
      <c r="VSZ157"/>
      <c r="VTA157"/>
      <c r="VTB157"/>
      <c r="VTC157"/>
      <c r="VTD157"/>
      <c r="VTE157"/>
      <c r="VTF157"/>
      <c r="VTG157"/>
      <c r="VTH157"/>
      <c r="VTI157"/>
      <c r="VTJ157"/>
      <c r="VTK157"/>
      <c r="VTL157"/>
      <c r="VTM157"/>
      <c r="VTN157"/>
      <c r="VTO157"/>
      <c r="VTP157"/>
      <c r="VTQ157"/>
      <c r="VTR157"/>
      <c r="VTS157"/>
      <c r="VTT157"/>
      <c r="VTU157"/>
      <c r="VTV157"/>
      <c r="VTW157"/>
      <c r="VTX157"/>
      <c r="VTY157"/>
      <c r="VTZ157"/>
      <c r="VUA157"/>
      <c r="VUB157"/>
      <c r="VUC157"/>
      <c r="VUD157"/>
      <c r="VUE157"/>
      <c r="VUF157"/>
      <c r="VUG157"/>
      <c r="VUH157"/>
      <c r="VUI157"/>
      <c r="VUJ157"/>
      <c r="VUK157"/>
      <c r="VUL157"/>
      <c r="VUM157"/>
      <c r="VUN157"/>
      <c r="VUO157"/>
      <c r="VUP157"/>
      <c r="VUQ157"/>
      <c r="VUR157"/>
      <c r="VUS157"/>
      <c r="VUT157"/>
      <c r="VUU157"/>
      <c r="VUV157"/>
      <c r="VUW157"/>
      <c r="VUX157"/>
      <c r="VUY157"/>
      <c r="VUZ157"/>
      <c r="VVA157"/>
      <c r="VVB157"/>
      <c r="VVC157"/>
      <c r="VVD157"/>
      <c r="VVE157"/>
      <c r="VVF157"/>
      <c r="VVG157"/>
      <c r="VVH157"/>
      <c r="VVI157"/>
      <c r="VVJ157"/>
      <c r="VVK157"/>
      <c r="VVL157"/>
      <c r="VVM157"/>
      <c r="VVN157"/>
      <c r="VVO157"/>
      <c r="VVP157"/>
      <c r="VVQ157"/>
      <c r="VVR157"/>
      <c r="VVS157"/>
      <c r="VVT157"/>
      <c r="VVU157"/>
      <c r="VVV157"/>
      <c r="VVW157"/>
      <c r="VVX157"/>
      <c r="VVY157"/>
      <c r="VVZ157"/>
      <c r="VWA157"/>
      <c r="VWB157"/>
      <c r="VWC157"/>
      <c r="VWD157"/>
      <c r="VWE157"/>
      <c r="VWF157"/>
      <c r="VWG157"/>
      <c r="VWH157"/>
      <c r="VWI157"/>
      <c r="VWJ157"/>
      <c r="VWK157"/>
      <c r="VWL157"/>
      <c r="VWM157"/>
      <c r="VWN157"/>
      <c r="VWO157"/>
      <c r="VWP157"/>
      <c r="VWQ157"/>
      <c r="VWR157"/>
      <c r="VWS157"/>
      <c r="VWT157"/>
      <c r="VWU157"/>
      <c r="VWV157"/>
      <c r="VWW157"/>
      <c r="VWX157"/>
      <c r="VWY157"/>
      <c r="VWZ157"/>
      <c r="VXA157"/>
      <c r="VXB157"/>
      <c r="VXC157"/>
      <c r="VXD157"/>
      <c r="VXE157"/>
      <c r="VXF157"/>
      <c r="VXG157"/>
      <c r="VXH157"/>
      <c r="VXI157"/>
      <c r="VXJ157"/>
      <c r="VXK157"/>
      <c r="VXL157"/>
      <c r="VXM157"/>
      <c r="VXN157"/>
      <c r="VXO157"/>
      <c r="VXP157"/>
      <c r="VXQ157"/>
      <c r="VXR157"/>
      <c r="VXS157"/>
      <c r="VXT157"/>
      <c r="VXU157"/>
      <c r="VXV157"/>
      <c r="VXW157"/>
      <c r="VXX157"/>
      <c r="VXY157"/>
      <c r="VXZ157"/>
      <c r="VYA157"/>
      <c r="VYB157"/>
      <c r="VYC157"/>
      <c r="VYD157"/>
      <c r="VYE157"/>
      <c r="VYF157"/>
      <c r="VYG157"/>
      <c r="VYH157"/>
      <c r="VYI157"/>
      <c r="VYJ157"/>
      <c r="VYK157"/>
      <c r="VYL157"/>
      <c r="VYM157"/>
      <c r="VYN157"/>
      <c r="VYO157"/>
      <c r="VYP157"/>
      <c r="VYQ157"/>
      <c r="VYR157"/>
      <c r="VYS157"/>
      <c r="VYT157"/>
      <c r="VYU157"/>
      <c r="VYV157"/>
      <c r="VYW157"/>
      <c r="VYX157"/>
      <c r="VYY157"/>
      <c r="VYZ157"/>
      <c r="VZA157"/>
      <c r="VZB157"/>
      <c r="VZC157"/>
      <c r="VZD157"/>
      <c r="VZE157"/>
      <c r="VZF157"/>
      <c r="VZG157"/>
      <c r="VZH157"/>
      <c r="VZI157"/>
      <c r="VZJ157"/>
      <c r="VZK157"/>
      <c r="VZL157"/>
      <c r="VZM157"/>
      <c r="VZN157"/>
      <c r="VZO157"/>
      <c r="VZP157"/>
      <c r="VZQ157"/>
      <c r="VZR157"/>
      <c r="VZS157"/>
      <c r="VZT157"/>
      <c r="VZU157"/>
      <c r="VZV157"/>
      <c r="VZW157"/>
      <c r="VZX157"/>
      <c r="VZY157"/>
      <c r="VZZ157"/>
      <c r="WAA157"/>
      <c r="WAB157"/>
      <c r="WAC157"/>
      <c r="WAD157"/>
      <c r="WAE157"/>
      <c r="WAF157"/>
      <c r="WAG157"/>
      <c r="WAH157"/>
      <c r="WAI157"/>
      <c r="WAJ157"/>
      <c r="WAK157"/>
      <c r="WAL157"/>
      <c r="WAM157"/>
      <c r="WAN157"/>
      <c r="WAO157"/>
      <c r="WAP157"/>
      <c r="WAQ157"/>
      <c r="WAR157"/>
      <c r="WAS157"/>
      <c r="WAT157"/>
      <c r="WAU157"/>
      <c r="WAV157"/>
      <c r="WAW157"/>
      <c r="WAX157"/>
      <c r="WAY157"/>
      <c r="WAZ157"/>
      <c r="WBA157"/>
      <c r="WBB157"/>
      <c r="WBC157"/>
      <c r="WBD157"/>
      <c r="WBE157"/>
      <c r="WBF157"/>
      <c r="WBG157"/>
      <c r="WBH157"/>
      <c r="WBI157"/>
      <c r="WBJ157"/>
      <c r="WBK157"/>
      <c r="WBL157"/>
      <c r="WBM157"/>
      <c r="WBN157"/>
      <c r="WBO157"/>
      <c r="WBP157"/>
      <c r="WBQ157"/>
      <c r="WBR157"/>
      <c r="WBS157"/>
      <c r="WBT157"/>
      <c r="WBU157"/>
      <c r="WBV157"/>
      <c r="WBW157"/>
      <c r="WBX157"/>
      <c r="WBY157"/>
      <c r="WBZ157"/>
      <c r="WCA157"/>
      <c r="WCB157"/>
      <c r="WCC157"/>
      <c r="WCD157"/>
      <c r="WCE157"/>
      <c r="WCF157"/>
      <c r="WCG157"/>
      <c r="WCH157"/>
      <c r="WCI157"/>
      <c r="WCJ157"/>
      <c r="WCK157"/>
      <c r="WCL157"/>
      <c r="WCM157"/>
      <c r="WCN157"/>
      <c r="WCO157"/>
      <c r="WCP157"/>
      <c r="WCQ157"/>
      <c r="WCR157"/>
      <c r="WCS157"/>
      <c r="WCT157"/>
      <c r="WCU157"/>
      <c r="WCV157"/>
      <c r="WCW157"/>
      <c r="WCX157"/>
      <c r="WCY157"/>
      <c r="WCZ157"/>
      <c r="WDA157"/>
      <c r="WDB157"/>
      <c r="WDC157"/>
      <c r="WDD157"/>
      <c r="WDE157"/>
      <c r="WDF157"/>
      <c r="WDG157"/>
      <c r="WDH157"/>
      <c r="WDI157"/>
      <c r="WDJ157"/>
      <c r="WDK157"/>
      <c r="WDL157"/>
      <c r="WDM157"/>
      <c r="WDN157"/>
      <c r="WDO157"/>
      <c r="WDP157"/>
      <c r="WDQ157"/>
      <c r="WDR157"/>
      <c r="WDS157"/>
      <c r="WDT157"/>
      <c r="WDU157"/>
      <c r="WDV157"/>
      <c r="WDW157"/>
      <c r="WDX157"/>
      <c r="WDY157"/>
      <c r="WDZ157"/>
      <c r="WEA157"/>
      <c r="WEB157"/>
      <c r="WEC157"/>
      <c r="WED157"/>
      <c r="WEE157"/>
      <c r="WEF157"/>
      <c r="WEG157"/>
      <c r="WEH157"/>
      <c r="WEI157"/>
      <c r="WEJ157"/>
      <c r="WEK157"/>
      <c r="WEL157"/>
      <c r="WEM157"/>
      <c r="WEN157"/>
      <c r="WEO157"/>
      <c r="WEP157"/>
      <c r="WEQ157"/>
      <c r="WER157"/>
      <c r="WES157"/>
      <c r="WET157"/>
      <c r="WEU157"/>
      <c r="WEV157"/>
      <c r="WEW157"/>
      <c r="WEX157"/>
      <c r="WEY157"/>
      <c r="WEZ157"/>
      <c r="WFA157"/>
      <c r="WFB157"/>
      <c r="WFC157"/>
      <c r="WFD157"/>
      <c r="WFE157"/>
      <c r="WFF157"/>
      <c r="WFG157"/>
      <c r="WFH157"/>
      <c r="WFI157"/>
      <c r="WFJ157"/>
      <c r="WFK157"/>
      <c r="WFL157"/>
      <c r="WFM157"/>
      <c r="WFN157"/>
      <c r="WFO157"/>
      <c r="WFP157"/>
      <c r="WFQ157"/>
      <c r="WFR157"/>
      <c r="WFS157"/>
      <c r="WFT157"/>
      <c r="WFU157"/>
      <c r="WFV157"/>
      <c r="WFW157"/>
      <c r="WFX157"/>
      <c r="WFY157"/>
      <c r="WFZ157"/>
      <c r="WGA157"/>
      <c r="WGB157"/>
      <c r="WGC157"/>
      <c r="WGD157"/>
      <c r="WGE157"/>
      <c r="WGF157"/>
      <c r="WGG157"/>
      <c r="WGH157"/>
      <c r="WGI157"/>
      <c r="WGJ157"/>
      <c r="WGK157"/>
      <c r="WGL157"/>
      <c r="WGM157"/>
      <c r="WGN157"/>
      <c r="WGO157"/>
      <c r="WGP157"/>
      <c r="WGQ157"/>
      <c r="WGR157"/>
      <c r="WGS157"/>
      <c r="WGT157"/>
      <c r="WGU157"/>
      <c r="WGV157"/>
      <c r="WGW157"/>
      <c r="WGX157"/>
      <c r="WGY157"/>
      <c r="WGZ157"/>
      <c r="WHA157"/>
      <c r="WHB157"/>
      <c r="WHC157"/>
      <c r="WHD157"/>
      <c r="WHE157"/>
      <c r="WHF157"/>
      <c r="WHG157"/>
      <c r="WHH157"/>
      <c r="WHI157"/>
      <c r="WHJ157"/>
      <c r="WHK157"/>
      <c r="WHL157"/>
      <c r="WHM157"/>
      <c r="WHN157"/>
      <c r="WHO157"/>
      <c r="WHP157"/>
      <c r="WHQ157"/>
      <c r="WHR157"/>
      <c r="WHS157"/>
      <c r="WHT157"/>
      <c r="WHU157"/>
      <c r="WHV157"/>
      <c r="WHW157"/>
      <c r="WHX157"/>
      <c r="WHY157"/>
      <c r="WHZ157"/>
      <c r="WIA157"/>
      <c r="WIB157"/>
      <c r="WIC157"/>
      <c r="WID157"/>
      <c r="WIE157"/>
      <c r="WIF157"/>
      <c r="WIG157"/>
      <c r="WIH157"/>
      <c r="WII157"/>
      <c r="WIJ157"/>
      <c r="WIK157"/>
      <c r="WIL157"/>
      <c r="WIM157"/>
      <c r="WIN157"/>
      <c r="WIO157"/>
      <c r="WIP157"/>
      <c r="WIQ157"/>
      <c r="WIR157"/>
      <c r="WIS157"/>
      <c r="WIT157"/>
      <c r="WIU157"/>
      <c r="WIV157"/>
      <c r="WIW157"/>
      <c r="WIX157"/>
      <c r="WIY157"/>
      <c r="WIZ157"/>
      <c r="WJA157"/>
      <c r="WJB157"/>
      <c r="WJC157"/>
      <c r="WJD157"/>
      <c r="WJE157"/>
      <c r="WJF157"/>
      <c r="WJG157"/>
      <c r="WJH157"/>
      <c r="WJI157"/>
      <c r="WJJ157"/>
      <c r="WJK157"/>
      <c r="WJL157"/>
      <c r="WJM157"/>
      <c r="WJN157"/>
      <c r="WJO157"/>
      <c r="WJP157"/>
      <c r="WJQ157"/>
      <c r="WJR157"/>
      <c r="WJS157"/>
      <c r="WJT157"/>
      <c r="WJU157"/>
      <c r="WJV157"/>
      <c r="WJW157"/>
      <c r="WJX157"/>
      <c r="WJY157"/>
      <c r="WJZ157"/>
      <c r="WKA157"/>
      <c r="WKB157"/>
      <c r="WKC157"/>
      <c r="WKD157"/>
      <c r="WKE157"/>
      <c r="WKF157"/>
      <c r="WKG157"/>
      <c r="WKH157"/>
      <c r="WKI157"/>
      <c r="WKJ157"/>
      <c r="WKK157"/>
      <c r="WKL157"/>
      <c r="WKM157"/>
      <c r="WKN157"/>
      <c r="WKO157"/>
      <c r="WKP157"/>
      <c r="WKQ157"/>
      <c r="WKR157"/>
      <c r="WKS157"/>
      <c r="WKT157"/>
      <c r="WKU157"/>
      <c r="WKV157"/>
      <c r="WKW157"/>
      <c r="WKX157"/>
      <c r="WKY157"/>
      <c r="WKZ157"/>
      <c r="WLA157"/>
      <c r="WLB157"/>
      <c r="WLC157"/>
      <c r="WLD157"/>
      <c r="WLE157"/>
      <c r="WLF157"/>
      <c r="WLG157"/>
      <c r="WLH157"/>
      <c r="WLI157"/>
      <c r="WLJ157"/>
      <c r="WLK157"/>
      <c r="WLL157"/>
      <c r="WLM157"/>
      <c r="WLN157"/>
      <c r="WLO157"/>
      <c r="WLP157"/>
      <c r="WLQ157"/>
      <c r="WLR157"/>
      <c r="WLS157"/>
      <c r="WLT157"/>
      <c r="WLU157"/>
      <c r="WLV157"/>
      <c r="WLW157"/>
      <c r="WLX157"/>
      <c r="WLY157"/>
      <c r="WLZ157"/>
      <c r="WMA157"/>
      <c r="WMB157"/>
      <c r="WMC157"/>
      <c r="WMD157"/>
      <c r="WME157"/>
      <c r="WMF157"/>
      <c r="WMG157"/>
      <c r="WMH157"/>
      <c r="WMI157"/>
      <c r="WMJ157"/>
      <c r="WMK157"/>
      <c r="WML157"/>
      <c r="WMM157"/>
      <c r="WMN157"/>
      <c r="WMO157"/>
      <c r="WMP157"/>
      <c r="WMQ157"/>
      <c r="WMR157"/>
      <c r="WMS157"/>
      <c r="WMT157"/>
      <c r="WMU157"/>
      <c r="WMV157"/>
      <c r="WMW157"/>
      <c r="WMX157"/>
      <c r="WMY157"/>
      <c r="WMZ157"/>
      <c r="WNA157"/>
      <c r="WNB157"/>
      <c r="WNC157"/>
      <c r="WND157"/>
      <c r="WNE157"/>
      <c r="WNF157"/>
      <c r="WNG157"/>
      <c r="WNH157"/>
      <c r="WNI157"/>
      <c r="WNJ157"/>
      <c r="WNK157"/>
      <c r="WNL157"/>
      <c r="WNM157"/>
      <c r="WNN157"/>
      <c r="WNO157"/>
      <c r="WNP157"/>
      <c r="WNQ157"/>
      <c r="WNR157"/>
      <c r="WNS157"/>
      <c r="WNT157"/>
      <c r="WNU157"/>
      <c r="WNV157"/>
      <c r="WNW157"/>
      <c r="WNX157"/>
      <c r="WNY157"/>
      <c r="WNZ157"/>
      <c r="WOA157"/>
      <c r="WOB157"/>
      <c r="WOC157"/>
      <c r="WOD157"/>
      <c r="WOE157"/>
      <c r="WOF157"/>
      <c r="WOG157"/>
      <c r="WOH157"/>
      <c r="WOI157"/>
      <c r="WOJ157"/>
      <c r="WOK157"/>
      <c r="WOL157"/>
      <c r="WOM157"/>
      <c r="WON157"/>
      <c r="WOO157"/>
      <c r="WOP157"/>
      <c r="WOQ157"/>
      <c r="WOR157"/>
      <c r="WOS157"/>
      <c r="WOT157"/>
      <c r="WOU157"/>
      <c r="WOV157"/>
      <c r="WOW157"/>
      <c r="WOX157"/>
      <c r="WOY157"/>
      <c r="WOZ157"/>
      <c r="WPA157"/>
      <c r="WPB157"/>
      <c r="WPC157"/>
      <c r="WPD157"/>
      <c r="WPE157"/>
      <c r="WPF157"/>
      <c r="WPG157"/>
      <c r="WPH157"/>
      <c r="WPI157"/>
      <c r="WPJ157"/>
      <c r="WPK157"/>
      <c r="WPL157"/>
      <c r="WPM157"/>
      <c r="WPN157"/>
      <c r="WPO157"/>
      <c r="WPP157"/>
      <c r="WPQ157"/>
      <c r="WPR157"/>
      <c r="WPS157"/>
      <c r="WPT157"/>
      <c r="WPU157"/>
      <c r="WPV157"/>
      <c r="WPW157"/>
      <c r="WPX157"/>
      <c r="WPY157"/>
      <c r="WPZ157"/>
      <c r="WQA157"/>
      <c r="WQB157"/>
      <c r="WQC157"/>
      <c r="WQD157"/>
      <c r="WQE157"/>
      <c r="WQF157"/>
      <c r="WQG157"/>
      <c r="WQH157"/>
      <c r="WQI157"/>
      <c r="WQJ157"/>
      <c r="WQK157"/>
      <c r="WQL157"/>
      <c r="WQM157"/>
      <c r="WQN157"/>
      <c r="WQO157"/>
      <c r="WQP157"/>
      <c r="WQQ157"/>
      <c r="WQR157"/>
      <c r="WQS157"/>
      <c r="WQT157"/>
      <c r="WQU157"/>
      <c r="WQV157"/>
      <c r="WQW157"/>
      <c r="WQX157"/>
      <c r="WQY157"/>
      <c r="WQZ157"/>
      <c r="WRA157"/>
      <c r="WRB157"/>
      <c r="WRC157"/>
      <c r="WRD157"/>
      <c r="WRE157"/>
      <c r="WRF157"/>
      <c r="WRG157"/>
      <c r="WRH157"/>
      <c r="WRI157"/>
      <c r="WRJ157"/>
      <c r="WRK157"/>
      <c r="WRL157"/>
      <c r="WRM157"/>
      <c r="WRN157"/>
      <c r="WRO157"/>
      <c r="WRP157"/>
      <c r="WRQ157"/>
      <c r="WRR157"/>
      <c r="WRS157"/>
      <c r="WRT157"/>
      <c r="WRU157"/>
      <c r="WRV157"/>
      <c r="WRW157"/>
      <c r="WRX157"/>
      <c r="WRY157"/>
      <c r="WRZ157"/>
      <c r="WSA157"/>
      <c r="WSB157"/>
      <c r="WSC157"/>
      <c r="WSD157"/>
      <c r="WSE157"/>
      <c r="WSF157"/>
      <c r="WSG157"/>
      <c r="WSH157"/>
      <c r="WSI157"/>
      <c r="WSJ157"/>
      <c r="WSK157"/>
      <c r="WSL157"/>
      <c r="WSM157"/>
      <c r="WSN157"/>
      <c r="WSO157"/>
      <c r="WSP157"/>
      <c r="WSQ157"/>
      <c r="WSR157"/>
      <c r="WSS157"/>
      <c r="WST157"/>
      <c r="WSU157"/>
      <c r="WSV157"/>
      <c r="WSW157"/>
      <c r="WSX157"/>
      <c r="WSY157"/>
      <c r="WSZ157"/>
      <c r="WTA157"/>
      <c r="WTB157"/>
      <c r="WTC157"/>
      <c r="WTD157"/>
      <c r="WTE157"/>
      <c r="WTF157"/>
      <c r="WTG157"/>
      <c r="WTH157"/>
      <c r="WTI157"/>
      <c r="WTJ157"/>
      <c r="WTK157"/>
      <c r="WTL157"/>
      <c r="WTM157"/>
      <c r="WTN157"/>
      <c r="WTO157"/>
      <c r="WTP157"/>
      <c r="WTQ157"/>
      <c r="WTR157"/>
      <c r="WTS157"/>
      <c r="WTT157"/>
      <c r="WTU157"/>
      <c r="WTV157"/>
      <c r="WTW157"/>
      <c r="WTX157"/>
      <c r="WTY157"/>
      <c r="WTZ157"/>
      <c r="WUA157"/>
      <c r="WUB157"/>
      <c r="WUC157"/>
      <c r="WUD157"/>
      <c r="WUE157"/>
      <c r="WUF157"/>
      <c r="WUG157"/>
      <c r="WUH157"/>
      <c r="WUI157"/>
      <c r="WUJ157"/>
      <c r="WUK157"/>
      <c r="WUL157"/>
      <c r="WUM157"/>
      <c r="WUN157"/>
      <c r="WUO157"/>
      <c r="WUP157"/>
      <c r="WUQ157"/>
      <c r="WUR157"/>
      <c r="WUS157"/>
      <c r="WUT157"/>
      <c r="WUU157"/>
      <c r="WUV157"/>
      <c r="WUW157"/>
      <c r="WUX157"/>
      <c r="WUY157"/>
      <c r="WUZ157"/>
      <c r="WVA157"/>
      <c r="WVB157"/>
      <c r="WVC157"/>
      <c r="WVD157"/>
      <c r="WVE157"/>
      <c r="WVF157"/>
      <c r="WVG157"/>
      <c r="WVH157"/>
      <c r="WVI157"/>
      <c r="WVJ157"/>
      <c r="WVK157"/>
      <c r="WVL157"/>
      <c r="WVM157"/>
      <c r="WVN157"/>
      <c r="WVO157"/>
      <c r="WVP157"/>
      <c r="WVQ157"/>
      <c r="WVR157"/>
      <c r="WVS157"/>
      <c r="WVT157"/>
      <c r="WVU157"/>
      <c r="WVV157"/>
      <c r="WVW157"/>
      <c r="WVX157"/>
      <c r="WVY157"/>
      <c r="WVZ157"/>
      <c r="WWA157"/>
      <c r="WWB157"/>
      <c r="WWC157"/>
      <c r="WWD157"/>
      <c r="WWE157"/>
      <c r="WWF157"/>
      <c r="WWG157"/>
      <c r="WWH157"/>
      <c r="WWI157"/>
      <c r="WWJ157"/>
      <c r="WWK157"/>
      <c r="WWL157"/>
      <c r="WWM157"/>
      <c r="WWN157"/>
      <c r="WWO157"/>
      <c r="WWP157"/>
      <c r="WWQ157"/>
      <c r="WWR157"/>
      <c r="WWS157"/>
      <c r="WWT157"/>
      <c r="WWU157"/>
      <c r="WWV157"/>
      <c r="WWW157"/>
      <c r="WWX157"/>
      <c r="WWY157"/>
      <c r="WWZ157"/>
      <c r="WXA157"/>
      <c r="WXB157"/>
      <c r="WXC157"/>
      <c r="WXD157"/>
      <c r="WXE157"/>
      <c r="WXF157"/>
      <c r="WXG157"/>
      <c r="WXH157"/>
      <c r="WXI157"/>
      <c r="WXJ157"/>
      <c r="WXK157"/>
      <c r="WXL157"/>
      <c r="WXM157"/>
      <c r="WXN157"/>
      <c r="WXO157"/>
      <c r="WXP157"/>
      <c r="WXQ157"/>
      <c r="WXR157"/>
      <c r="WXS157"/>
      <c r="WXT157"/>
      <c r="WXU157"/>
      <c r="WXV157"/>
      <c r="WXW157"/>
      <c r="WXX157"/>
      <c r="WXY157"/>
      <c r="WXZ157"/>
      <c r="WYA157"/>
      <c r="WYB157"/>
      <c r="WYC157"/>
      <c r="WYD157"/>
      <c r="WYE157"/>
      <c r="WYF157"/>
      <c r="WYG157"/>
      <c r="WYH157"/>
      <c r="WYI157"/>
      <c r="WYJ157"/>
      <c r="WYK157"/>
      <c r="WYL157"/>
      <c r="WYM157"/>
      <c r="WYN157"/>
      <c r="WYO157"/>
      <c r="WYP157"/>
      <c r="WYQ157"/>
      <c r="WYR157"/>
      <c r="WYS157"/>
      <c r="WYT157"/>
      <c r="WYU157"/>
      <c r="WYV157"/>
      <c r="WYW157"/>
      <c r="WYX157"/>
      <c r="WYY157"/>
      <c r="WYZ157"/>
      <c r="WZA157"/>
      <c r="WZB157"/>
      <c r="WZC157"/>
      <c r="WZD157"/>
      <c r="WZE157"/>
      <c r="WZF157"/>
      <c r="WZG157"/>
      <c r="WZH157"/>
      <c r="WZI157"/>
      <c r="WZJ157"/>
      <c r="WZK157"/>
      <c r="WZL157"/>
      <c r="WZM157"/>
      <c r="WZN157"/>
      <c r="WZO157"/>
      <c r="WZP157"/>
      <c r="WZQ157"/>
      <c r="WZR157"/>
      <c r="WZS157"/>
      <c r="WZT157"/>
      <c r="WZU157"/>
      <c r="WZV157"/>
      <c r="WZW157"/>
      <c r="WZX157"/>
      <c r="WZY157"/>
      <c r="WZZ157"/>
      <c r="XAA157"/>
      <c r="XAB157"/>
      <c r="XAC157"/>
      <c r="XAD157"/>
      <c r="XAE157"/>
      <c r="XAF157"/>
      <c r="XAG157"/>
      <c r="XAH157"/>
      <c r="XAI157"/>
      <c r="XAJ157"/>
      <c r="XAK157"/>
      <c r="XAL157"/>
      <c r="XAM157"/>
      <c r="XAN157"/>
      <c r="XAO157"/>
      <c r="XAP157"/>
      <c r="XAQ157"/>
      <c r="XAR157"/>
      <c r="XAS157"/>
      <c r="XAT157"/>
      <c r="XAU157"/>
      <c r="XAV157"/>
      <c r="XAW157"/>
      <c r="XAX157"/>
      <c r="XAY157"/>
      <c r="XAZ157"/>
      <c r="XBA157"/>
      <c r="XBB157"/>
      <c r="XBC157"/>
      <c r="XBD157"/>
      <c r="XBE157"/>
      <c r="XBF157"/>
      <c r="XBG157"/>
      <c r="XBH157"/>
      <c r="XBI157"/>
      <c r="XBJ157"/>
      <c r="XBK157"/>
      <c r="XBL157"/>
      <c r="XBM157"/>
      <c r="XBN157"/>
      <c r="XBO157"/>
      <c r="XBP157"/>
      <c r="XBQ157"/>
      <c r="XBR157"/>
      <c r="XBS157"/>
      <c r="XBT157"/>
      <c r="XBU157"/>
      <c r="XBV157"/>
      <c r="XBW157"/>
      <c r="XBX157"/>
      <c r="XBY157"/>
      <c r="XBZ157"/>
      <c r="XCA157"/>
      <c r="XCB157"/>
      <c r="XCC157"/>
      <c r="XCD157"/>
      <c r="XCE157"/>
      <c r="XCF157"/>
      <c r="XCG157"/>
      <c r="XCH157"/>
      <c r="XCI157"/>
      <c r="XCJ157"/>
      <c r="XCK157"/>
      <c r="XCL157"/>
      <c r="XCM157"/>
      <c r="XCN157"/>
      <c r="XCO157"/>
      <c r="XCP157"/>
      <c r="XCQ157"/>
      <c r="XCR157"/>
      <c r="XCS157"/>
      <c r="XCT157"/>
      <c r="XCU157"/>
      <c r="XCV157"/>
      <c r="XCW157"/>
      <c r="XCX157"/>
      <c r="XCY157"/>
      <c r="XCZ157"/>
      <c r="XDA157"/>
      <c r="XDB157"/>
      <c r="XDC157"/>
      <c r="XDD157"/>
      <c r="XDE157"/>
      <c r="XDF157"/>
      <c r="XDG157"/>
      <c r="XDH157"/>
      <c r="XDI157"/>
      <c r="XDJ157"/>
      <c r="XDK157"/>
      <c r="XDL157"/>
      <c r="XDM157"/>
      <c r="XDN157"/>
      <c r="XDO157"/>
      <c r="XDP157"/>
      <c r="XDQ157"/>
      <c r="XDR157"/>
      <c r="XDS157"/>
      <c r="XDT157"/>
      <c r="XDU157"/>
      <c r="XDV157"/>
      <c r="XDW157"/>
      <c r="XDX157"/>
      <c r="XDY157"/>
      <c r="XDZ157"/>
      <c r="XEA157"/>
      <c r="XEB157"/>
      <c r="XEC157"/>
      <c r="XED157"/>
      <c r="XEE157"/>
      <c r="XEF157"/>
      <c r="XEG157"/>
      <c r="XEH157"/>
      <c r="XEI157"/>
      <c r="XEJ157"/>
      <c r="XEK157"/>
      <c r="XEL157"/>
      <c r="XEM157"/>
      <c r="XEN157"/>
      <c r="XEO157"/>
      <c r="XEP157"/>
      <c r="XEQ157"/>
      <c r="XER157"/>
      <c r="XES157"/>
      <c r="XET157"/>
      <c r="XEU157"/>
      <c r="XEV157"/>
      <c r="XEW157"/>
      <c r="XEX157"/>
      <c r="XEY157"/>
    </row>
    <row r="158" spans="1:16379" s="63" customFormat="1">
      <c r="A158" s="37" t="s">
        <v>3632</v>
      </c>
      <c r="B158" s="9"/>
      <c r="C158" s="54" t="s">
        <v>3613</v>
      </c>
      <c r="D158" s="40">
        <v>9772406</v>
      </c>
      <c r="E158" s="40"/>
      <c r="F158" s="55"/>
      <c r="G158" s="37"/>
      <c r="H158"/>
      <c r="I158"/>
      <c r="J158"/>
      <c r="K158"/>
      <c r="L158"/>
      <c r="M158"/>
      <c r="N158"/>
      <c r="O158"/>
      <c r="P158"/>
      <c r="Q158"/>
      <c r="R158"/>
      <c r="S158"/>
      <c r="T158"/>
      <c r="U158"/>
      <c r="V158"/>
      <c r="W158"/>
      <c r="X158"/>
      <c r="Y158"/>
      <c r="Z158"/>
      <c r="AA158"/>
      <c r="AB158"/>
      <c r="AC158"/>
      <c r="AD158"/>
      <c r="AE158"/>
      <c r="AF158"/>
      <c r="AG158"/>
      <c r="AH158"/>
      <c r="AI158"/>
      <c r="AJ158"/>
      <c r="AK158"/>
      <c r="AL158"/>
      <c r="AM158"/>
      <c r="AN158"/>
      <c r="AO158"/>
      <c r="AP158"/>
      <c r="AQ158"/>
      <c r="AR158"/>
      <c r="AS158"/>
      <c r="AT158"/>
      <c r="AU158"/>
      <c r="AV158"/>
      <c r="AW158"/>
      <c r="AX158"/>
      <c r="AY158"/>
      <c r="AZ158"/>
      <c r="BA158"/>
      <c r="BB158"/>
      <c r="BC158"/>
      <c r="BD158"/>
      <c r="BE158"/>
      <c r="BF158"/>
      <c r="BG158"/>
      <c r="BH158"/>
      <c r="BI158"/>
      <c r="BJ158"/>
      <c r="BK158"/>
      <c r="BL158"/>
      <c r="BM158"/>
      <c r="BN158"/>
      <c r="BO158"/>
      <c r="BP158"/>
      <c r="BQ158"/>
      <c r="BR158"/>
      <c r="BS158"/>
      <c r="BT158"/>
      <c r="BU158"/>
      <c r="BV158"/>
      <c r="BW158"/>
      <c r="BX158"/>
      <c r="BY158"/>
      <c r="BZ158"/>
      <c r="CA158"/>
      <c r="CB158"/>
      <c r="CC158"/>
      <c r="CD158"/>
      <c r="CE158"/>
      <c r="CF158"/>
      <c r="CG158"/>
      <c r="CH158"/>
      <c r="CI158"/>
      <c r="CJ158"/>
      <c r="CK158"/>
      <c r="CL158"/>
      <c r="CM158"/>
      <c r="CN158"/>
      <c r="CO158"/>
      <c r="CP158"/>
      <c r="CQ158"/>
      <c r="CR158"/>
      <c r="CS158"/>
      <c r="CT158"/>
      <c r="CU158"/>
      <c r="CV158"/>
      <c r="CW158"/>
      <c r="CX158"/>
      <c r="CY158"/>
      <c r="CZ158"/>
      <c r="DA158"/>
      <c r="DB158"/>
      <c r="DC158"/>
      <c r="DD158"/>
      <c r="DE158"/>
      <c r="DF158"/>
      <c r="DG158"/>
      <c r="DH158"/>
      <c r="DI158"/>
      <c r="DJ158"/>
      <c r="DK158"/>
      <c r="DL158"/>
      <c r="DM158"/>
      <c r="DN158"/>
      <c r="DO158"/>
      <c r="DP158"/>
      <c r="DQ158"/>
      <c r="DR158"/>
      <c r="DS158"/>
      <c r="DT158"/>
      <c r="DU158"/>
      <c r="DV158"/>
      <c r="DW158"/>
      <c r="DX158"/>
      <c r="DY158"/>
      <c r="DZ158"/>
      <c r="EA158"/>
      <c r="EB158"/>
      <c r="EC158"/>
      <c r="ED158"/>
      <c r="EE158"/>
      <c r="EF158"/>
      <c r="EG158"/>
      <c r="EH158"/>
      <c r="EI158"/>
      <c r="EJ158"/>
      <c r="EK158"/>
      <c r="EL158"/>
      <c r="EM158"/>
      <c r="EN158"/>
      <c r="EO158"/>
      <c r="EP158"/>
      <c r="EQ158"/>
      <c r="ER158"/>
      <c r="ES158"/>
      <c r="ET158"/>
      <c r="EU158"/>
      <c r="EV158"/>
      <c r="EW158"/>
      <c r="EX158"/>
      <c r="EY158"/>
      <c r="EZ158"/>
      <c r="FA158"/>
      <c r="FB158"/>
      <c r="FC158"/>
      <c r="FD158"/>
      <c r="FE158"/>
      <c r="FF158"/>
      <c r="FG158"/>
      <c r="FH158"/>
      <c r="FI158"/>
      <c r="FJ158"/>
      <c r="FK158"/>
      <c r="FL158"/>
      <c r="FM158"/>
      <c r="FN158"/>
      <c r="FO158"/>
      <c r="FP158"/>
      <c r="FQ158"/>
      <c r="FR158"/>
      <c r="FS158"/>
      <c r="FT158"/>
      <c r="FU158"/>
      <c r="FV158"/>
      <c r="FW158"/>
      <c r="FX158"/>
      <c r="FY158"/>
      <c r="FZ158"/>
      <c r="GA158"/>
      <c r="GB158"/>
      <c r="GC158"/>
      <c r="GD158"/>
      <c r="GE158"/>
      <c r="GF158"/>
      <c r="GG158"/>
      <c r="GH158"/>
      <c r="GI158"/>
      <c r="GJ158"/>
      <c r="GK158"/>
      <c r="GL158"/>
      <c r="GM158"/>
      <c r="GN158"/>
      <c r="GO158"/>
      <c r="GP158"/>
      <c r="GQ158"/>
      <c r="GR158"/>
      <c r="GS158"/>
      <c r="GT158"/>
      <c r="GU158"/>
      <c r="GV158"/>
      <c r="GW158"/>
      <c r="GX158"/>
      <c r="GY158"/>
      <c r="GZ158"/>
      <c r="HA158"/>
      <c r="HB158"/>
      <c r="HC158"/>
      <c r="HD158"/>
      <c r="HE158"/>
      <c r="HF158"/>
      <c r="HG158"/>
      <c r="HH158"/>
      <c r="HI158"/>
      <c r="HJ158"/>
      <c r="HK158"/>
      <c r="HL158"/>
      <c r="HM158"/>
      <c r="HN158"/>
      <c r="HO158"/>
      <c r="HP158"/>
      <c r="HQ158"/>
      <c r="HR158"/>
      <c r="HS158"/>
      <c r="HT158"/>
      <c r="HU158"/>
      <c r="HV158"/>
      <c r="HW158"/>
      <c r="HX158"/>
      <c r="HY158"/>
      <c r="HZ158"/>
      <c r="IA158"/>
      <c r="IB158"/>
      <c r="IC158"/>
      <c r="ID158"/>
      <c r="IE158"/>
      <c r="IF158"/>
      <c r="IG158"/>
      <c r="IH158"/>
      <c r="II158"/>
      <c r="IJ158"/>
      <c r="IK158"/>
      <c r="IL158"/>
      <c r="IM158"/>
      <c r="IN158"/>
      <c r="IO158"/>
      <c r="IP158"/>
      <c r="IQ158"/>
      <c r="IR158"/>
      <c r="IS158"/>
      <c r="IT158"/>
      <c r="IU158"/>
      <c r="IV158"/>
      <c r="IW158"/>
      <c r="IX158"/>
      <c r="IY158"/>
      <c r="IZ158"/>
      <c r="JA158"/>
      <c r="JB158"/>
      <c r="JC158"/>
      <c r="JD158"/>
      <c r="JE158"/>
      <c r="JF158"/>
      <c r="JG158"/>
      <c r="JH158"/>
      <c r="JI158"/>
      <c r="JJ158"/>
      <c r="JK158"/>
      <c r="JL158"/>
      <c r="JM158"/>
      <c r="JN158"/>
      <c r="JO158"/>
      <c r="JP158"/>
      <c r="JQ158"/>
      <c r="JR158"/>
      <c r="JS158"/>
      <c r="JT158"/>
      <c r="JU158"/>
      <c r="JV158"/>
      <c r="JW158"/>
      <c r="JX158"/>
      <c r="JY158"/>
      <c r="JZ158"/>
      <c r="KA158"/>
      <c r="KB158"/>
      <c r="KC158"/>
      <c r="KD158"/>
      <c r="KE158"/>
      <c r="KF158"/>
      <c r="KG158"/>
      <c r="KH158"/>
      <c r="KI158"/>
      <c r="KJ158"/>
      <c r="KK158"/>
      <c r="KL158"/>
      <c r="KM158"/>
      <c r="KN158"/>
      <c r="KO158"/>
      <c r="KP158"/>
      <c r="KQ158"/>
      <c r="KR158"/>
      <c r="KS158"/>
      <c r="KT158"/>
      <c r="KU158"/>
      <c r="KV158"/>
      <c r="KW158"/>
      <c r="KX158"/>
      <c r="KY158"/>
      <c r="KZ158"/>
      <c r="LA158"/>
      <c r="LB158"/>
      <c r="LC158"/>
      <c r="LD158"/>
      <c r="LE158"/>
      <c r="LF158"/>
      <c r="LG158"/>
      <c r="LH158"/>
      <c r="LI158"/>
      <c r="LJ158"/>
      <c r="LK158"/>
      <c r="LL158"/>
      <c r="LM158"/>
      <c r="LN158"/>
      <c r="LO158"/>
      <c r="LP158"/>
      <c r="LQ158"/>
      <c r="LR158"/>
      <c r="LS158"/>
      <c r="LT158"/>
      <c r="LU158"/>
      <c r="LV158"/>
      <c r="LW158"/>
      <c r="LX158"/>
      <c r="LY158"/>
      <c r="LZ158"/>
      <c r="MA158"/>
      <c r="MB158"/>
      <c r="MC158"/>
      <c r="MD158"/>
      <c r="ME158"/>
      <c r="MF158"/>
      <c r="MG158"/>
      <c r="MH158"/>
      <c r="MI158"/>
      <c r="MJ158"/>
      <c r="MK158"/>
      <c r="ML158"/>
      <c r="MM158"/>
      <c r="MN158"/>
      <c r="MO158"/>
      <c r="MP158"/>
      <c r="MQ158"/>
      <c r="MR158"/>
      <c r="MS158"/>
      <c r="MT158"/>
      <c r="MU158"/>
      <c r="MV158"/>
      <c r="MW158"/>
      <c r="MX158"/>
      <c r="MY158"/>
      <c r="MZ158"/>
      <c r="NA158"/>
      <c r="NB158"/>
      <c r="NC158"/>
      <c r="ND158"/>
      <c r="NE158"/>
      <c r="NF158"/>
      <c r="NG158"/>
      <c r="NH158"/>
      <c r="NI158"/>
      <c r="NJ158"/>
      <c r="NK158"/>
      <c r="NL158"/>
      <c r="NM158"/>
      <c r="NN158"/>
      <c r="NO158"/>
      <c r="NP158"/>
      <c r="NQ158"/>
      <c r="NR158"/>
      <c r="NS158"/>
      <c r="NT158"/>
      <c r="NU158"/>
      <c r="NV158"/>
      <c r="NW158"/>
      <c r="NX158"/>
      <c r="NY158"/>
      <c r="NZ158"/>
      <c r="OA158"/>
      <c r="OB158"/>
      <c r="OC158"/>
      <c r="OD158"/>
      <c r="OE158"/>
      <c r="OF158"/>
      <c r="OG158"/>
      <c r="OH158"/>
      <c r="OI158"/>
      <c r="OJ158"/>
      <c r="OK158"/>
      <c r="OL158"/>
      <c r="OM158"/>
      <c r="ON158"/>
      <c r="OO158"/>
      <c r="OP158"/>
      <c r="OQ158"/>
      <c r="OR158"/>
      <c r="OS158"/>
      <c r="OT158"/>
      <c r="OU158"/>
      <c r="OV158"/>
      <c r="OW158"/>
      <c r="OX158"/>
      <c r="OY158"/>
      <c r="OZ158"/>
      <c r="PA158"/>
      <c r="PB158"/>
      <c r="PC158"/>
      <c r="PD158"/>
      <c r="PE158"/>
      <c r="PF158"/>
      <c r="PG158"/>
      <c r="PH158"/>
      <c r="PI158"/>
      <c r="PJ158"/>
      <c r="PK158"/>
      <c r="PL158"/>
      <c r="PM158"/>
      <c r="PN158"/>
      <c r="PO158"/>
      <c r="PP158"/>
      <c r="PQ158"/>
      <c r="PR158"/>
      <c r="PS158"/>
      <c r="PT158"/>
      <c r="PU158"/>
      <c r="PV158"/>
      <c r="PW158"/>
      <c r="PX158"/>
      <c r="PY158"/>
      <c r="PZ158"/>
      <c r="QA158"/>
      <c r="QB158"/>
      <c r="QC158"/>
      <c r="QD158"/>
      <c r="QE158"/>
      <c r="QF158"/>
      <c r="QG158"/>
      <c r="QH158"/>
      <c r="QI158"/>
      <c r="QJ158"/>
      <c r="QK158"/>
      <c r="QL158"/>
      <c r="QM158"/>
      <c r="QN158"/>
      <c r="QO158"/>
      <c r="QP158"/>
      <c r="QQ158"/>
      <c r="QR158"/>
      <c r="QS158"/>
      <c r="QT158"/>
      <c r="QU158"/>
      <c r="QV158"/>
      <c r="QW158"/>
      <c r="QX158"/>
      <c r="QY158"/>
      <c r="QZ158"/>
      <c r="RA158"/>
      <c r="RB158"/>
      <c r="RC158"/>
      <c r="RD158"/>
      <c r="RE158"/>
      <c r="RF158"/>
      <c r="RG158"/>
      <c r="RH158"/>
      <c r="RI158"/>
      <c r="RJ158"/>
      <c r="RK158"/>
      <c r="RL158"/>
      <c r="RM158"/>
      <c r="RN158"/>
      <c r="RO158"/>
      <c r="RP158"/>
      <c r="RQ158"/>
      <c r="RR158"/>
      <c r="RS158"/>
      <c r="RT158"/>
      <c r="RU158"/>
      <c r="RV158"/>
      <c r="RW158"/>
      <c r="RX158"/>
      <c r="RY158"/>
      <c r="RZ158"/>
      <c r="SA158"/>
      <c r="SB158"/>
      <c r="SC158"/>
      <c r="SD158"/>
      <c r="SE158"/>
      <c r="SF158"/>
      <c r="SG158"/>
      <c r="SH158"/>
      <c r="SI158"/>
      <c r="SJ158"/>
      <c r="SK158"/>
      <c r="SL158"/>
      <c r="SM158"/>
      <c r="SN158"/>
      <c r="SO158"/>
      <c r="SP158"/>
      <c r="SQ158"/>
      <c r="SR158"/>
      <c r="SS158"/>
      <c r="ST158"/>
      <c r="SU158"/>
      <c r="SV158"/>
      <c r="SW158"/>
      <c r="SX158"/>
      <c r="SY158"/>
      <c r="SZ158"/>
      <c r="TA158"/>
      <c r="TB158"/>
      <c r="TC158"/>
      <c r="TD158"/>
      <c r="TE158"/>
      <c r="TF158"/>
      <c r="TG158"/>
      <c r="TH158"/>
      <c r="TI158"/>
      <c r="TJ158"/>
      <c r="TK158"/>
      <c r="TL158"/>
      <c r="TM158"/>
      <c r="TN158"/>
      <c r="TO158"/>
      <c r="TP158"/>
      <c r="TQ158"/>
      <c r="TR158"/>
      <c r="TS158"/>
      <c r="TT158"/>
      <c r="TU158"/>
      <c r="TV158"/>
      <c r="TW158"/>
      <c r="TX158"/>
      <c r="TY158"/>
      <c r="TZ158"/>
      <c r="UA158"/>
      <c r="UB158"/>
      <c r="UC158"/>
      <c r="UD158"/>
      <c r="UE158"/>
      <c r="UF158"/>
      <c r="UG158"/>
      <c r="UH158"/>
      <c r="UI158"/>
      <c r="UJ158"/>
      <c r="UK158"/>
      <c r="UL158"/>
      <c r="UM158"/>
      <c r="UN158"/>
      <c r="UO158"/>
      <c r="UP158"/>
      <c r="UQ158"/>
      <c r="UR158"/>
      <c r="US158"/>
      <c r="UT158"/>
      <c r="UU158"/>
      <c r="UV158"/>
      <c r="UW158"/>
      <c r="UX158"/>
      <c r="UY158"/>
      <c r="UZ158"/>
      <c r="VA158"/>
      <c r="VB158"/>
      <c r="VC158"/>
      <c r="VD158"/>
      <c r="VE158"/>
      <c r="VF158"/>
      <c r="VG158"/>
      <c r="VH158"/>
      <c r="VI158"/>
      <c r="VJ158"/>
      <c r="VK158"/>
      <c r="VL158"/>
      <c r="VM158"/>
      <c r="VN158"/>
      <c r="VO158"/>
      <c r="VP158"/>
      <c r="VQ158"/>
      <c r="VR158"/>
      <c r="VS158"/>
      <c r="VT158"/>
      <c r="VU158"/>
      <c r="VV158"/>
      <c r="VW158"/>
      <c r="VX158"/>
      <c r="VY158"/>
      <c r="VZ158"/>
      <c r="WA158"/>
      <c r="WB158"/>
      <c r="WC158"/>
      <c r="WD158"/>
      <c r="WE158"/>
      <c r="WF158"/>
      <c r="WG158"/>
      <c r="WH158"/>
      <c r="WI158"/>
      <c r="WJ158"/>
      <c r="WK158"/>
      <c r="WL158"/>
      <c r="WM158"/>
      <c r="WN158"/>
      <c r="WO158"/>
      <c r="WP158"/>
      <c r="WQ158"/>
      <c r="WR158"/>
      <c r="WS158"/>
      <c r="WT158"/>
      <c r="WU158"/>
      <c r="WV158"/>
      <c r="WW158"/>
      <c r="WX158"/>
      <c r="WY158"/>
      <c r="WZ158"/>
      <c r="XA158"/>
      <c r="XB158"/>
      <c r="XC158"/>
      <c r="XD158"/>
      <c r="XE158"/>
      <c r="XF158"/>
      <c r="XG158"/>
      <c r="XH158"/>
      <c r="XI158"/>
      <c r="XJ158"/>
      <c r="XK158"/>
      <c r="XL158"/>
      <c r="XM158"/>
      <c r="XN158"/>
      <c r="XO158"/>
      <c r="XP158"/>
      <c r="XQ158"/>
      <c r="XR158"/>
      <c r="XS158"/>
      <c r="XT158"/>
      <c r="XU158"/>
      <c r="XV158"/>
      <c r="XW158"/>
      <c r="XX158"/>
      <c r="XY158"/>
      <c r="XZ158"/>
      <c r="YA158"/>
      <c r="YB158"/>
      <c r="YC158"/>
      <c r="YD158"/>
      <c r="YE158"/>
      <c r="YF158"/>
      <c r="YG158"/>
      <c r="YH158"/>
      <c r="YI158"/>
      <c r="YJ158"/>
      <c r="YK158"/>
      <c r="YL158"/>
      <c r="YM158"/>
      <c r="YN158"/>
      <c r="YO158"/>
      <c r="YP158"/>
      <c r="YQ158"/>
      <c r="YR158"/>
      <c r="YS158"/>
      <c r="YT158"/>
      <c r="YU158"/>
      <c r="YV158"/>
      <c r="YW158"/>
      <c r="YX158"/>
      <c r="YY158"/>
      <c r="YZ158"/>
      <c r="ZA158"/>
      <c r="ZB158"/>
      <c r="ZC158"/>
      <c r="ZD158"/>
      <c r="ZE158"/>
      <c r="ZF158"/>
      <c r="ZG158"/>
      <c r="ZH158"/>
      <c r="ZI158"/>
      <c r="ZJ158"/>
      <c r="ZK158"/>
      <c r="ZL158"/>
      <c r="ZM158"/>
      <c r="ZN158"/>
      <c r="ZO158"/>
      <c r="ZP158"/>
      <c r="ZQ158"/>
      <c r="ZR158"/>
      <c r="ZS158"/>
      <c r="ZT158"/>
      <c r="ZU158"/>
      <c r="ZV158"/>
      <c r="ZW158"/>
      <c r="ZX158"/>
      <c r="ZY158"/>
      <c r="ZZ158"/>
      <c r="AAA158"/>
      <c r="AAB158"/>
      <c r="AAC158"/>
      <c r="AAD158"/>
      <c r="AAE158"/>
      <c r="AAF158"/>
      <c r="AAG158"/>
      <c r="AAH158"/>
      <c r="AAI158"/>
      <c r="AAJ158"/>
      <c r="AAK158"/>
      <c r="AAL158"/>
      <c r="AAM158"/>
      <c r="AAN158"/>
      <c r="AAO158"/>
      <c r="AAP158"/>
      <c r="AAQ158"/>
      <c r="AAR158"/>
      <c r="AAS158"/>
      <c r="AAT158"/>
      <c r="AAU158"/>
      <c r="AAV158"/>
      <c r="AAW158"/>
      <c r="AAX158"/>
      <c r="AAY158"/>
      <c r="AAZ158"/>
      <c r="ABA158"/>
      <c r="ABB158"/>
      <c r="ABC158"/>
      <c r="ABD158"/>
      <c r="ABE158"/>
      <c r="ABF158"/>
      <c r="ABG158"/>
      <c r="ABH158"/>
      <c r="ABI158"/>
      <c r="ABJ158"/>
      <c r="ABK158"/>
      <c r="ABL158"/>
      <c r="ABM158"/>
      <c r="ABN158"/>
      <c r="ABO158"/>
      <c r="ABP158"/>
      <c r="ABQ158"/>
      <c r="ABR158"/>
      <c r="ABS158"/>
      <c r="ABT158"/>
      <c r="ABU158"/>
      <c r="ABV158"/>
      <c r="ABW158"/>
      <c r="ABX158"/>
      <c r="ABY158"/>
      <c r="ABZ158"/>
      <c r="ACA158"/>
      <c r="ACB158"/>
      <c r="ACC158"/>
      <c r="ACD158"/>
      <c r="ACE158"/>
      <c r="ACF158"/>
      <c r="ACG158"/>
      <c r="ACH158"/>
      <c r="ACI158"/>
      <c r="ACJ158"/>
      <c r="ACK158"/>
      <c r="ACL158"/>
      <c r="ACM158"/>
      <c r="ACN158"/>
      <c r="ACO158"/>
      <c r="ACP158"/>
      <c r="ACQ158"/>
      <c r="ACR158"/>
      <c r="ACS158"/>
      <c r="ACT158"/>
      <c r="ACU158"/>
      <c r="ACV158"/>
      <c r="ACW158"/>
      <c r="ACX158"/>
      <c r="ACY158"/>
      <c r="ACZ158"/>
      <c r="ADA158"/>
      <c r="ADB158"/>
      <c r="ADC158"/>
      <c r="ADD158"/>
      <c r="ADE158"/>
      <c r="ADF158"/>
      <c r="ADG158"/>
      <c r="ADH158"/>
      <c r="ADI158"/>
      <c r="ADJ158"/>
      <c r="ADK158"/>
      <c r="ADL158"/>
      <c r="ADM158"/>
      <c r="ADN158"/>
      <c r="ADO158"/>
      <c r="ADP158"/>
      <c r="ADQ158"/>
      <c r="ADR158"/>
      <c r="ADS158"/>
      <c r="ADT158"/>
      <c r="ADU158"/>
      <c r="ADV158"/>
      <c r="ADW158"/>
      <c r="ADX158"/>
      <c r="ADY158"/>
      <c r="ADZ158"/>
      <c r="AEA158"/>
      <c r="AEB158"/>
      <c r="AEC158"/>
      <c r="AED158"/>
      <c r="AEE158"/>
      <c r="AEF158"/>
      <c r="AEG158"/>
      <c r="AEH158"/>
      <c r="AEI158"/>
      <c r="AEJ158"/>
      <c r="AEK158"/>
      <c r="AEL158"/>
      <c r="AEM158"/>
      <c r="AEN158"/>
      <c r="AEO158"/>
      <c r="AEP158"/>
      <c r="AEQ158"/>
      <c r="AER158"/>
      <c r="AES158"/>
      <c r="AET158"/>
      <c r="AEU158"/>
      <c r="AEV158"/>
      <c r="AEW158"/>
      <c r="AEX158"/>
      <c r="AEY158"/>
      <c r="AEZ158"/>
      <c r="AFA158"/>
      <c r="AFB158"/>
      <c r="AFC158"/>
      <c r="AFD158"/>
      <c r="AFE158"/>
      <c r="AFF158"/>
      <c r="AFG158"/>
      <c r="AFH158"/>
      <c r="AFI158"/>
      <c r="AFJ158"/>
      <c r="AFK158"/>
      <c r="AFL158"/>
      <c r="AFM158"/>
      <c r="AFN158"/>
      <c r="AFO158"/>
      <c r="AFP158"/>
      <c r="AFQ158"/>
      <c r="AFR158"/>
      <c r="AFS158"/>
      <c r="AFT158"/>
      <c r="AFU158"/>
      <c r="AFV158"/>
      <c r="AFW158"/>
      <c r="AFX158"/>
      <c r="AFY158"/>
      <c r="AFZ158"/>
      <c r="AGA158"/>
      <c r="AGB158"/>
      <c r="AGC158"/>
      <c r="AGD158"/>
      <c r="AGE158"/>
      <c r="AGF158"/>
      <c r="AGG158"/>
      <c r="AGH158"/>
      <c r="AGI158"/>
      <c r="AGJ158"/>
      <c r="AGK158"/>
      <c r="AGL158"/>
      <c r="AGM158"/>
      <c r="AGN158"/>
      <c r="AGO158"/>
      <c r="AGP158"/>
      <c r="AGQ158"/>
      <c r="AGR158"/>
      <c r="AGS158"/>
      <c r="AGT158"/>
      <c r="AGU158"/>
      <c r="AGV158"/>
      <c r="AGW158"/>
      <c r="AGX158"/>
      <c r="AGY158"/>
      <c r="AGZ158"/>
      <c r="AHA158"/>
      <c r="AHB158"/>
      <c r="AHC158"/>
      <c r="AHD158"/>
      <c r="AHE158"/>
      <c r="AHF158"/>
      <c r="AHG158"/>
      <c r="AHH158"/>
      <c r="AHI158"/>
      <c r="AHJ158"/>
      <c r="AHK158"/>
      <c r="AHL158"/>
      <c r="AHM158"/>
      <c r="AHN158"/>
      <c r="AHO158"/>
      <c r="AHP158"/>
      <c r="AHQ158"/>
      <c r="AHR158"/>
      <c r="AHS158"/>
      <c r="AHT158"/>
      <c r="AHU158"/>
      <c r="AHV158"/>
      <c r="AHW158"/>
      <c r="AHX158"/>
      <c r="AHY158"/>
      <c r="AHZ158"/>
      <c r="AIA158"/>
      <c r="AIB158"/>
      <c r="AIC158"/>
      <c r="AID158"/>
      <c r="AIE158"/>
      <c r="AIF158"/>
      <c r="AIG158"/>
      <c r="AIH158"/>
      <c r="AII158"/>
      <c r="AIJ158"/>
      <c r="AIK158"/>
      <c r="AIL158"/>
      <c r="AIM158"/>
      <c r="AIN158"/>
      <c r="AIO158"/>
      <c r="AIP158"/>
      <c r="AIQ158"/>
      <c r="AIR158"/>
      <c r="AIS158"/>
      <c r="AIT158"/>
      <c r="AIU158"/>
      <c r="AIV158"/>
      <c r="AIW158"/>
      <c r="AIX158"/>
      <c r="AIY158"/>
      <c r="AIZ158"/>
      <c r="AJA158"/>
      <c r="AJB158"/>
      <c r="AJC158"/>
      <c r="AJD158"/>
      <c r="AJE158"/>
      <c r="AJF158"/>
      <c r="AJG158"/>
      <c r="AJH158"/>
      <c r="AJI158"/>
      <c r="AJJ158"/>
      <c r="AJK158"/>
      <c r="AJL158"/>
      <c r="AJM158"/>
      <c r="AJN158"/>
      <c r="AJO158"/>
      <c r="AJP158"/>
      <c r="AJQ158"/>
      <c r="AJR158"/>
      <c r="AJS158"/>
      <c r="AJT158"/>
      <c r="AJU158"/>
      <c r="AJV158"/>
      <c r="AJW158"/>
      <c r="AJX158"/>
      <c r="AJY158"/>
      <c r="AJZ158"/>
      <c r="AKA158"/>
      <c r="AKB158"/>
      <c r="AKC158"/>
      <c r="AKD158"/>
      <c r="AKE158"/>
      <c r="AKF158"/>
      <c r="AKG158"/>
      <c r="AKH158"/>
      <c r="AKI158"/>
      <c r="AKJ158"/>
      <c r="AKK158"/>
      <c r="AKL158"/>
      <c r="AKM158"/>
      <c r="AKN158"/>
      <c r="AKO158"/>
      <c r="AKP158"/>
      <c r="AKQ158"/>
      <c r="AKR158"/>
      <c r="AKS158"/>
      <c r="AKT158"/>
      <c r="AKU158"/>
      <c r="AKV158"/>
      <c r="AKW158"/>
      <c r="AKX158"/>
      <c r="AKY158"/>
      <c r="AKZ158"/>
      <c r="ALA158"/>
      <c r="ALB158"/>
      <c r="ALC158"/>
      <c r="ALD158"/>
      <c r="ALE158"/>
      <c r="ALF158"/>
      <c r="ALG158"/>
      <c r="ALH158"/>
      <c r="ALI158"/>
      <c r="ALJ158"/>
      <c r="ALK158"/>
      <c r="ALL158"/>
      <c r="ALM158"/>
      <c r="ALN158"/>
      <c r="ALO158"/>
      <c r="ALP158"/>
      <c r="ALQ158"/>
      <c r="ALR158"/>
      <c r="ALS158"/>
      <c r="ALT158"/>
      <c r="ALU158"/>
      <c r="ALV158"/>
      <c r="ALW158"/>
      <c r="ALX158"/>
      <c r="ALY158"/>
      <c r="ALZ158"/>
      <c r="AMA158"/>
      <c r="AMB158"/>
      <c r="AMC158"/>
      <c r="AMD158"/>
      <c r="AME158"/>
      <c r="AMF158"/>
      <c r="AMG158"/>
      <c r="AMH158"/>
      <c r="AMI158"/>
      <c r="AMJ158"/>
      <c r="AMK158"/>
      <c r="AML158"/>
      <c r="AMM158"/>
      <c r="AMN158"/>
      <c r="AMO158"/>
      <c r="AMP158"/>
      <c r="AMQ158"/>
      <c r="AMR158"/>
      <c r="AMS158"/>
      <c r="AMT158"/>
      <c r="AMU158"/>
      <c r="AMV158"/>
      <c r="AMW158"/>
      <c r="AMX158"/>
      <c r="AMY158"/>
      <c r="AMZ158"/>
      <c r="ANA158"/>
      <c r="ANB158"/>
      <c r="ANC158"/>
      <c r="AND158"/>
      <c r="ANE158"/>
      <c r="ANF158"/>
      <c r="ANG158"/>
      <c r="ANH158"/>
      <c r="ANI158"/>
      <c r="ANJ158"/>
      <c r="ANK158"/>
      <c r="ANL158"/>
      <c r="ANM158"/>
      <c r="ANN158"/>
      <c r="ANO158"/>
      <c r="ANP158"/>
      <c r="ANQ158"/>
      <c r="ANR158"/>
      <c r="ANS158"/>
      <c r="ANT158"/>
      <c r="ANU158"/>
      <c r="ANV158"/>
      <c r="ANW158"/>
      <c r="ANX158"/>
      <c r="ANY158"/>
      <c r="ANZ158"/>
      <c r="AOA158"/>
      <c r="AOB158"/>
      <c r="AOC158"/>
      <c r="AOD158"/>
      <c r="AOE158"/>
      <c r="AOF158"/>
      <c r="AOG158"/>
      <c r="AOH158"/>
      <c r="AOI158"/>
      <c r="AOJ158"/>
      <c r="AOK158"/>
      <c r="AOL158"/>
      <c r="AOM158"/>
      <c r="AON158"/>
      <c r="AOO158"/>
      <c r="AOP158"/>
      <c r="AOQ158"/>
      <c r="AOR158"/>
      <c r="AOS158"/>
      <c r="AOT158"/>
      <c r="AOU158"/>
      <c r="AOV158"/>
      <c r="AOW158"/>
      <c r="AOX158"/>
      <c r="AOY158"/>
      <c r="AOZ158"/>
      <c r="APA158"/>
      <c r="APB158"/>
      <c r="APC158"/>
      <c r="APD158"/>
      <c r="APE158"/>
      <c r="APF158"/>
      <c r="APG158"/>
      <c r="APH158"/>
      <c r="API158"/>
      <c r="APJ158"/>
      <c r="APK158"/>
      <c r="APL158"/>
      <c r="APM158"/>
      <c r="APN158"/>
      <c r="APO158"/>
      <c r="APP158"/>
      <c r="APQ158"/>
      <c r="APR158"/>
      <c r="APS158"/>
      <c r="APT158"/>
      <c r="APU158"/>
      <c r="APV158"/>
      <c r="APW158"/>
      <c r="APX158"/>
      <c r="APY158"/>
      <c r="APZ158"/>
      <c r="AQA158"/>
      <c r="AQB158"/>
      <c r="AQC158"/>
      <c r="AQD158"/>
      <c r="AQE158"/>
      <c r="AQF158"/>
      <c r="AQG158"/>
      <c r="AQH158"/>
      <c r="AQI158"/>
      <c r="AQJ158"/>
      <c r="AQK158"/>
      <c r="AQL158"/>
      <c r="AQM158"/>
      <c r="AQN158"/>
      <c r="AQO158"/>
      <c r="AQP158"/>
      <c r="AQQ158"/>
      <c r="AQR158"/>
      <c r="AQS158"/>
      <c r="AQT158"/>
      <c r="AQU158"/>
      <c r="AQV158"/>
      <c r="AQW158"/>
      <c r="AQX158"/>
      <c r="AQY158"/>
      <c r="AQZ158"/>
      <c r="ARA158"/>
      <c r="ARB158"/>
      <c r="ARC158"/>
      <c r="ARD158"/>
      <c r="ARE158"/>
      <c r="ARF158"/>
      <c r="ARG158"/>
      <c r="ARH158"/>
      <c r="ARI158"/>
      <c r="ARJ158"/>
      <c r="ARK158"/>
      <c r="ARL158"/>
      <c r="ARM158"/>
      <c r="ARN158"/>
      <c r="ARO158"/>
      <c r="ARP158"/>
      <c r="ARQ158"/>
      <c r="ARR158"/>
      <c r="ARS158"/>
      <c r="ART158"/>
      <c r="ARU158"/>
      <c r="ARV158"/>
      <c r="ARW158"/>
      <c r="ARX158"/>
      <c r="ARY158"/>
      <c r="ARZ158"/>
      <c r="ASA158"/>
      <c r="ASB158"/>
      <c r="ASC158"/>
      <c r="ASD158"/>
      <c r="ASE158"/>
      <c r="ASF158"/>
      <c r="ASG158"/>
      <c r="ASH158"/>
      <c r="ASI158"/>
      <c r="ASJ158"/>
      <c r="ASK158"/>
      <c r="ASL158"/>
      <c r="ASM158"/>
      <c r="ASN158"/>
      <c r="ASO158"/>
      <c r="ASP158"/>
      <c r="ASQ158"/>
      <c r="ASR158"/>
      <c r="ASS158"/>
      <c r="AST158"/>
      <c r="ASU158"/>
      <c r="ASV158"/>
      <c r="ASW158"/>
      <c r="ASX158"/>
      <c r="ASY158"/>
      <c r="ASZ158"/>
      <c r="ATA158"/>
      <c r="ATB158"/>
      <c r="ATC158"/>
      <c r="ATD158"/>
      <c r="ATE158"/>
      <c r="ATF158"/>
      <c r="ATG158"/>
      <c r="ATH158"/>
      <c r="ATI158"/>
      <c r="ATJ158"/>
      <c r="ATK158"/>
      <c r="ATL158"/>
      <c r="ATM158"/>
      <c r="ATN158"/>
      <c r="ATO158"/>
      <c r="ATP158"/>
      <c r="ATQ158"/>
      <c r="ATR158"/>
      <c r="ATS158"/>
      <c r="ATT158"/>
      <c r="ATU158"/>
      <c r="ATV158"/>
      <c r="ATW158"/>
      <c r="ATX158"/>
      <c r="ATY158"/>
      <c r="ATZ158"/>
      <c r="AUA158"/>
      <c r="AUB158"/>
      <c r="AUC158"/>
      <c r="AUD158"/>
      <c r="AUE158"/>
      <c r="AUF158"/>
      <c r="AUG158"/>
      <c r="AUH158"/>
      <c r="AUI158"/>
      <c r="AUJ158"/>
      <c r="AUK158"/>
      <c r="AUL158"/>
      <c r="AUM158"/>
      <c r="AUN158"/>
      <c r="AUO158"/>
      <c r="AUP158"/>
      <c r="AUQ158"/>
      <c r="AUR158"/>
      <c r="AUS158"/>
      <c r="AUT158"/>
      <c r="AUU158"/>
      <c r="AUV158"/>
      <c r="AUW158"/>
      <c r="AUX158"/>
      <c r="AUY158"/>
      <c r="AUZ158"/>
      <c r="AVA158"/>
      <c r="AVB158"/>
      <c r="AVC158"/>
      <c r="AVD158"/>
      <c r="AVE158"/>
      <c r="AVF158"/>
      <c r="AVG158"/>
      <c r="AVH158"/>
      <c r="AVI158"/>
      <c r="AVJ158"/>
      <c r="AVK158"/>
      <c r="AVL158"/>
      <c r="AVM158"/>
      <c r="AVN158"/>
      <c r="AVO158"/>
      <c r="AVP158"/>
      <c r="AVQ158"/>
      <c r="AVR158"/>
      <c r="AVS158"/>
      <c r="AVT158"/>
      <c r="AVU158"/>
      <c r="AVV158"/>
      <c r="AVW158"/>
      <c r="AVX158"/>
      <c r="AVY158"/>
      <c r="AVZ158"/>
      <c r="AWA158"/>
      <c r="AWB158"/>
      <c r="AWC158"/>
      <c r="AWD158"/>
      <c r="AWE158"/>
      <c r="AWF158"/>
      <c r="AWG158"/>
      <c r="AWH158"/>
      <c r="AWI158"/>
      <c r="AWJ158"/>
      <c r="AWK158"/>
      <c r="AWL158"/>
      <c r="AWM158"/>
      <c r="AWN158"/>
      <c r="AWO158"/>
      <c r="AWP158"/>
      <c r="AWQ158"/>
      <c r="AWR158"/>
      <c r="AWS158"/>
      <c r="AWT158"/>
      <c r="AWU158"/>
      <c r="AWV158"/>
      <c r="AWW158"/>
      <c r="AWX158"/>
      <c r="AWY158"/>
      <c r="AWZ158"/>
      <c r="AXA158"/>
      <c r="AXB158"/>
      <c r="AXC158"/>
      <c r="AXD158"/>
      <c r="AXE158"/>
      <c r="AXF158"/>
      <c r="AXG158"/>
      <c r="AXH158"/>
      <c r="AXI158"/>
      <c r="AXJ158"/>
      <c r="AXK158"/>
      <c r="AXL158"/>
      <c r="AXM158"/>
      <c r="AXN158"/>
      <c r="AXO158"/>
      <c r="AXP158"/>
      <c r="AXQ158"/>
      <c r="AXR158"/>
      <c r="AXS158"/>
      <c r="AXT158"/>
      <c r="AXU158"/>
      <c r="AXV158"/>
      <c r="AXW158"/>
      <c r="AXX158"/>
      <c r="AXY158"/>
      <c r="AXZ158"/>
      <c r="AYA158"/>
      <c r="AYB158"/>
      <c r="AYC158"/>
      <c r="AYD158"/>
      <c r="AYE158"/>
      <c r="AYF158"/>
      <c r="AYG158"/>
      <c r="AYH158"/>
      <c r="AYI158"/>
      <c r="AYJ158"/>
      <c r="AYK158"/>
      <c r="AYL158"/>
      <c r="AYM158"/>
      <c r="AYN158"/>
      <c r="AYO158"/>
      <c r="AYP158"/>
      <c r="AYQ158"/>
      <c r="AYR158"/>
      <c r="AYS158"/>
      <c r="AYT158"/>
      <c r="AYU158"/>
      <c r="AYV158"/>
      <c r="AYW158"/>
      <c r="AYX158"/>
      <c r="AYY158"/>
      <c r="AYZ158"/>
      <c r="AZA158"/>
      <c r="AZB158"/>
      <c r="AZC158"/>
      <c r="AZD158"/>
      <c r="AZE158"/>
      <c r="AZF158"/>
      <c r="AZG158"/>
      <c r="AZH158"/>
      <c r="AZI158"/>
      <c r="AZJ158"/>
      <c r="AZK158"/>
      <c r="AZL158"/>
      <c r="AZM158"/>
      <c r="AZN158"/>
      <c r="AZO158"/>
      <c r="AZP158"/>
      <c r="AZQ158"/>
      <c r="AZR158"/>
      <c r="AZS158"/>
      <c r="AZT158"/>
      <c r="AZU158"/>
      <c r="AZV158"/>
      <c r="AZW158"/>
      <c r="AZX158"/>
      <c r="AZY158"/>
      <c r="AZZ158"/>
      <c r="BAA158"/>
      <c r="BAB158"/>
      <c r="BAC158"/>
      <c r="BAD158"/>
      <c r="BAE158"/>
      <c r="BAF158"/>
      <c r="BAG158"/>
      <c r="BAH158"/>
      <c r="BAI158"/>
      <c r="BAJ158"/>
      <c r="BAK158"/>
      <c r="BAL158"/>
      <c r="BAM158"/>
      <c r="BAN158"/>
      <c r="BAO158"/>
      <c r="BAP158"/>
      <c r="BAQ158"/>
      <c r="BAR158"/>
      <c r="BAS158"/>
      <c r="BAT158"/>
      <c r="BAU158"/>
      <c r="BAV158"/>
      <c r="BAW158"/>
      <c r="BAX158"/>
      <c r="BAY158"/>
      <c r="BAZ158"/>
      <c r="BBA158"/>
      <c r="BBB158"/>
      <c r="BBC158"/>
      <c r="BBD158"/>
      <c r="BBE158"/>
      <c r="BBF158"/>
      <c r="BBG158"/>
      <c r="BBH158"/>
      <c r="BBI158"/>
      <c r="BBJ158"/>
      <c r="BBK158"/>
      <c r="BBL158"/>
      <c r="BBM158"/>
      <c r="BBN158"/>
      <c r="BBO158"/>
      <c r="BBP158"/>
      <c r="BBQ158"/>
      <c r="BBR158"/>
      <c r="BBS158"/>
      <c r="BBT158"/>
      <c r="BBU158"/>
      <c r="BBV158"/>
      <c r="BBW158"/>
      <c r="BBX158"/>
      <c r="BBY158"/>
      <c r="BBZ158"/>
      <c r="BCA158"/>
      <c r="BCB158"/>
      <c r="BCC158"/>
      <c r="BCD158"/>
      <c r="BCE158"/>
      <c r="BCF158"/>
      <c r="BCG158"/>
      <c r="BCH158"/>
      <c r="BCI158"/>
      <c r="BCJ158"/>
      <c r="BCK158"/>
      <c r="BCL158"/>
      <c r="BCM158"/>
      <c r="BCN158"/>
      <c r="BCO158"/>
      <c r="BCP158"/>
      <c r="BCQ158"/>
      <c r="BCR158"/>
      <c r="BCS158"/>
      <c r="BCT158"/>
      <c r="BCU158"/>
      <c r="BCV158"/>
      <c r="BCW158"/>
      <c r="BCX158"/>
      <c r="BCY158"/>
      <c r="BCZ158"/>
      <c r="BDA158"/>
      <c r="BDB158"/>
      <c r="BDC158"/>
      <c r="BDD158"/>
      <c r="BDE158"/>
      <c r="BDF158"/>
      <c r="BDG158"/>
      <c r="BDH158"/>
      <c r="BDI158"/>
      <c r="BDJ158"/>
      <c r="BDK158"/>
      <c r="BDL158"/>
      <c r="BDM158"/>
      <c r="BDN158"/>
      <c r="BDO158"/>
      <c r="BDP158"/>
      <c r="BDQ158"/>
      <c r="BDR158"/>
      <c r="BDS158"/>
      <c r="BDT158"/>
      <c r="BDU158"/>
      <c r="BDV158"/>
      <c r="BDW158"/>
      <c r="BDX158"/>
      <c r="BDY158"/>
      <c r="BDZ158"/>
      <c r="BEA158"/>
      <c r="BEB158"/>
      <c r="BEC158"/>
      <c r="BED158"/>
      <c r="BEE158"/>
      <c r="BEF158"/>
      <c r="BEG158"/>
      <c r="BEH158"/>
      <c r="BEI158"/>
      <c r="BEJ158"/>
      <c r="BEK158"/>
      <c r="BEL158"/>
      <c r="BEM158"/>
      <c r="BEN158"/>
      <c r="BEO158"/>
      <c r="BEP158"/>
      <c r="BEQ158"/>
      <c r="BER158"/>
      <c r="BES158"/>
      <c r="BET158"/>
      <c r="BEU158"/>
      <c r="BEV158"/>
      <c r="BEW158"/>
      <c r="BEX158"/>
      <c r="BEY158"/>
      <c r="BEZ158"/>
      <c r="BFA158"/>
      <c r="BFB158"/>
      <c r="BFC158"/>
      <c r="BFD158"/>
      <c r="BFE158"/>
      <c r="BFF158"/>
      <c r="BFG158"/>
      <c r="BFH158"/>
      <c r="BFI158"/>
      <c r="BFJ158"/>
      <c r="BFK158"/>
      <c r="BFL158"/>
      <c r="BFM158"/>
      <c r="BFN158"/>
      <c r="BFO158"/>
      <c r="BFP158"/>
      <c r="BFQ158"/>
      <c r="BFR158"/>
      <c r="BFS158"/>
      <c r="BFT158"/>
      <c r="BFU158"/>
      <c r="BFV158"/>
      <c r="BFW158"/>
      <c r="BFX158"/>
      <c r="BFY158"/>
      <c r="BFZ158"/>
      <c r="BGA158"/>
      <c r="BGB158"/>
      <c r="BGC158"/>
      <c r="BGD158"/>
      <c r="BGE158"/>
      <c r="BGF158"/>
      <c r="BGG158"/>
      <c r="BGH158"/>
      <c r="BGI158"/>
      <c r="BGJ158"/>
      <c r="BGK158"/>
      <c r="BGL158"/>
      <c r="BGM158"/>
      <c r="BGN158"/>
      <c r="BGO158"/>
      <c r="BGP158"/>
      <c r="BGQ158"/>
      <c r="BGR158"/>
      <c r="BGS158"/>
      <c r="BGT158"/>
      <c r="BGU158"/>
      <c r="BGV158"/>
      <c r="BGW158"/>
      <c r="BGX158"/>
      <c r="BGY158"/>
      <c r="BGZ158"/>
      <c r="BHA158"/>
      <c r="BHB158"/>
      <c r="BHC158"/>
      <c r="BHD158"/>
      <c r="BHE158"/>
      <c r="BHF158"/>
      <c r="BHG158"/>
      <c r="BHH158"/>
      <c r="BHI158"/>
      <c r="BHJ158"/>
      <c r="BHK158"/>
      <c r="BHL158"/>
      <c r="BHM158"/>
      <c r="BHN158"/>
      <c r="BHO158"/>
      <c r="BHP158"/>
      <c r="BHQ158"/>
      <c r="BHR158"/>
      <c r="BHS158"/>
      <c r="BHT158"/>
      <c r="BHU158"/>
      <c r="BHV158"/>
      <c r="BHW158"/>
      <c r="BHX158"/>
      <c r="BHY158"/>
      <c r="BHZ158"/>
      <c r="BIA158"/>
      <c r="BIB158"/>
      <c r="BIC158"/>
      <c r="BID158"/>
      <c r="BIE158"/>
      <c r="BIF158"/>
      <c r="BIG158"/>
      <c r="BIH158"/>
      <c r="BII158"/>
      <c r="BIJ158"/>
      <c r="BIK158"/>
      <c r="BIL158"/>
      <c r="BIM158"/>
      <c r="BIN158"/>
      <c r="BIO158"/>
      <c r="BIP158"/>
      <c r="BIQ158"/>
      <c r="BIR158"/>
      <c r="BIS158"/>
      <c r="BIT158"/>
      <c r="BIU158"/>
      <c r="BIV158"/>
      <c r="BIW158"/>
      <c r="BIX158"/>
      <c r="BIY158"/>
      <c r="BIZ158"/>
      <c r="BJA158"/>
      <c r="BJB158"/>
      <c r="BJC158"/>
      <c r="BJD158"/>
      <c r="BJE158"/>
      <c r="BJF158"/>
      <c r="BJG158"/>
      <c r="BJH158"/>
      <c r="BJI158"/>
      <c r="BJJ158"/>
      <c r="BJK158"/>
      <c r="BJL158"/>
      <c r="BJM158"/>
      <c r="BJN158"/>
      <c r="BJO158"/>
      <c r="BJP158"/>
      <c r="BJQ158"/>
      <c r="BJR158"/>
      <c r="BJS158"/>
      <c r="BJT158"/>
      <c r="BJU158"/>
      <c r="BJV158"/>
      <c r="BJW158"/>
      <c r="BJX158"/>
      <c r="BJY158"/>
      <c r="BJZ158"/>
      <c r="BKA158"/>
      <c r="BKB158"/>
      <c r="BKC158"/>
      <c r="BKD158"/>
      <c r="BKE158"/>
      <c r="BKF158"/>
      <c r="BKG158"/>
      <c r="BKH158"/>
      <c r="BKI158"/>
      <c r="BKJ158"/>
      <c r="BKK158"/>
      <c r="BKL158"/>
      <c r="BKM158"/>
      <c r="BKN158"/>
      <c r="BKO158"/>
      <c r="BKP158"/>
      <c r="BKQ158"/>
      <c r="BKR158"/>
      <c r="BKS158"/>
      <c r="BKT158"/>
      <c r="BKU158"/>
      <c r="BKV158"/>
      <c r="BKW158"/>
      <c r="BKX158"/>
      <c r="BKY158"/>
      <c r="BKZ158"/>
      <c r="BLA158"/>
      <c r="BLB158"/>
      <c r="BLC158"/>
      <c r="BLD158"/>
      <c r="BLE158"/>
      <c r="BLF158"/>
      <c r="BLG158"/>
      <c r="BLH158"/>
      <c r="BLI158"/>
      <c r="BLJ158"/>
      <c r="BLK158"/>
      <c r="BLL158"/>
      <c r="BLM158"/>
      <c r="BLN158"/>
      <c r="BLO158"/>
      <c r="BLP158"/>
      <c r="BLQ158"/>
      <c r="BLR158"/>
      <c r="BLS158"/>
      <c r="BLT158"/>
      <c r="BLU158"/>
      <c r="BLV158"/>
      <c r="BLW158"/>
      <c r="BLX158"/>
      <c r="BLY158"/>
      <c r="BLZ158"/>
      <c r="BMA158"/>
      <c r="BMB158"/>
      <c r="BMC158"/>
      <c r="BMD158"/>
      <c r="BME158"/>
      <c r="BMF158"/>
      <c r="BMG158"/>
      <c r="BMH158"/>
      <c r="BMI158"/>
      <c r="BMJ158"/>
      <c r="BMK158"/>
      <c r="BML158"/>
      <c r="BMM158"/>
      <c r="BMN158"/>
      <c r="BMO158"/>
      <c r="BMP158"/>
      <c r="BMQ158"/>
      <c r="BMR158"/>
      <c r="BMS158"/>
      <c r="BMT158"/>
      <c r="BMU158"/>
      <c r="BMV158"/>
      <c r="BMW158"/>
      <c r="BMX158"/>
      <c r="BMY158"/>
      <c r="BMZ158"/>
      <c r="BNA158"/>
      <c r="BNB158"/>
      <c r="BNC158"/>
      <c r="BND158"/>
      <c r="BNE158"/>
      <c r="BNF158"/>
      <c r="BNG158"/>
      <c r="BNH158"/>
      <c r="BNI158"/>
      <c r="BNJ158"/>
      <c r="BNK158"/>
      <c r="BNL158"/>
      <c r="BNM158"/>
      <c r="BNN158"/>
      <c r="BNO158"/>
      <c r="BNP158"/>
      <c r="BNQ158"/>
      <c r="BNR158"/>
      <c r="BNS158"/>
      <c r="BNT158"/>
      <c r="BNU158"/>
      <c r="BNV158"/>
      <c r="BNW158"/>
      <c r="BNX158"/>
      <c r="BNY158"/>
      <c r="BNZ158"/>
      <c r="BOA158"/>
      <c r="BOB158"/>
      <c r="BOC158"/>
      <c r="BOD158"/>
      <c r="BOE158"/>
      <c r="BOF158"/>
      <c r="BOG158"/>
      <c r="BOH158"/>
      <c r="BOI158"/>
      <c r="BOJ158"/>
      <c r="BOK158"/>
      <c r="BOL158"/>
      <c r="BOM158"/>
      <c r="BON158"/>
      <c r="BOO158"/>
      <c r="BOP158"/>
      <c r="BOQ158"/>
      <c r="BOR158"/>
      <c r="BOS158"/>
      <c r="BOT158"/>
      <c r="BOU158"/>
      <c r="BOV158"/>
      <c r="BOW158"/>
      <c r="BOX158"/>
      <c r="BOY158"/>
      <c r="BOZ158"/>
      <c r="BPA158"/>
      <c r="BPB158"/>
      <c r="BPC158"/>
      <c r="BPD158"/>
      <c r="BPE158"/>
      <c r="BPF158"/>
      <c r="BPG158"/>
      <c r="BPH158"/>
      <c r="BPI158"/>
      <c r="BPJ158"/>
      <c r="BPK158"/>
      <c r="BPL158"/>
      <c r="BPM158"/>
      <c r="BPN158"/>
      <c r="BPO158"/>
      <c r="BPP158"/>
      <c r="BPQ158"/>
      <c r="BPR158"/>
      <c r="BPS158"/>
      <c r="BPT158"/>
      <c r="BPU158"/>
      <c r="BPV158"/>
      <c r="BPW158"/>
      <c r="BPX158"/>
      <c r="BPY158"/>
      <c r="BPZ158"/>
      <c r="BQA158"/>
      <c r="BQB158"/>
      <c r="BQC158"/>
      <c r="BQD158"/>
      <c r="BQE158"/>
      <c r="BQF158"/>
      <c r="BQG158"/>
      <c r="BQH158"/>
      <c r="BQI158"/>
      <c r="BQJ158"/>
      <c r="BQK158"/>
      <c r="BQL158"/>
      <c r="BQM158"/>
      <c r="BQN158"/>
      <c r="BQO158"/>
      <c r="BQP158"/>
      <c r="BQQ158"/>
      <c r="BQR158"/>
      <c r="BQS158"/>
      <c r="BQT158"/>
      <c r="BQU158"/>
      <c r="BQV158"/>
      <c r="BQW158"/>
      <c r="BQX158"/>
      <c r="BQY158"/>
      <c r="BQZ158"/>
      <c r="BRA158"/>
      <c r="BRB158"/>
      <c r="BRC158"/>
      <c r="BRD158"/>
      <c r="BRE158"/>
      <c r="BRF158"/>
      <c r="BRG158"/>
      <c r="BRH158"/>
      <c r="BRI158"/>
      <c r="BRJ158"/>
      <c r="BRK158"/>
      <c r="BRL158"/>
      <c r="BRM158"/>
      <c r="BRN158"/>
      <c r="BRO158"/>
      <c r="BRP158"/>
      <c r="BRQ158"/>
      <c r="BRR158"/>
      <c r="BRS158"/>
      <c r="BRT158"/>
      <c r="BRU158"/>
      <c r="BRV158"/>
      <c r="BRW158"/>
      <c r="BRX158"/>
      <c r="BRY158"/>
      <c r="BRZ158"/>
      <c r="BSA158"/>
      <c r="BSB158"/>
      <c r="BSC158"/>
      <c r="BSD158"/>
      <c r="BSE158"/>
      <c r="BSF158"/>
      <c r="BSG158"/>
      <c r="BSH158"/>
      <c r="BSI158"/>
      <c r="BSJ158"/>
      <c r="BSK158"/>
      <c r="BSL158"/>
      <c r="BSM158"/>
      <c r="BSN158"/>
      <c r="BSO158"/>
      <c r="BSP158"/>
      <c r="BSQ158"/>
      <c r="BSR158"/>
      <c r="BSS158"/>
      <c r="BST158"/>
      <c r="BSU158"/>
      <c r="BSV158"/>
      <c r="BSW158"/>
      <c r="BSX158"/>
      <c r="BSY158"/>
      <c r="BSZ158"/>
      <c r="BTA158"/>
      <c r="BTB158"/>
      <c r="BTC158"/>
      <c r="BTD158"/>
      <c r="BTE158"/>
      <c r="BTF158"/>
      <c r="BTG158"/>
      <c r="BTH158"/>
      <c r="BTI158"/>
      <c r="BTJ158"/>
      <c r="BTK158"/>
      <c r="BTL158"/>
      <c r="BTM158"/>
      <c r="BTN158"/>
      <c r="BTO158"/>
      <c r="BTP158"/>
      <c r="BTQ158"/>
      <c r="BTR158"/>
      <c r="BTS158"/>
      <c r="BTT158"/>
      <c r="BTU158"/>
      <c r="BTV158"/>
      <c r="BTW158"/>
      <c r="BTX158"/>
      <c r="BTY158"/>
      <c r="BTZ158"/>
      <c r="BUA158"/>
      <c r="BUB158"/>
      <c r="BUC158"/>
      <c r="BUD158"/>
      <c r="BUE158"/>
      <c r="BUF158"/>
      <c r="BUG158"/>
      <c r="BUH158"/>
      <c r="BUI158"/>
      <c r="BUJ158"/>
      <c r="BUK158"/>
      <c r="BUL158"/>
      <c r="BUM158"/>
      <c r="BUN158"/>
      <c r="BUO158"/>
      <c r="BUP158"/>
      <c r="BUQ158"/>
      <c r="BUR158"/>
      <c r="BUS158"/>
      <c r="BUT158"/>
      <c r="BUU158"/>
      <c r="BUV158"/>
      <c r="BUW158"/>
      <c r="BUX158"/>
      <c r="BUY158"/>
      <c r="BUZ158"/>
      <c r="BVA158"/>
      <c r="BVB158"/>
      <c r="BVC158"/>
      <c r="BVD158"/>
      <c r="BVE158"/>
      <c r="BVF158"/>
      <c r="BVG158"/>
      <c r="BVH158"/>
      <c r="BVI158"/>
      <c r="BVJ158"/>
      <c r="BVK158"/>
      <c r="BVL158"/>
      <c r="BVM158"/>
      <c r="BVN158"/>
      <c r="BVO158"/>
      <c r="BVP158"/>
      <c r="BVQ158"/>
      <c r="BVR158"/>
      <c r="BVS158"/>
      <c r="BVT158"/>
      <c r="BVU158"/>
      <c r="BVV158"/>
      <c r="BVW158"/>
      <c r="BVX158"/>
      <c r="BVY158"/>
      <c r="BVZ158"/>
      <c r="BWA158"/>
      <c r="BWB158"/>
      <c r="BWC158"/>
      <c r="BWD158"/>
      <c r="BWE158"/>
      <c r="BWF158"/>
      <c r="BWG158"/>
      <c r="BWH158"/>
      <c r="BWI158"/>
      <c r="BWJ158"/>
      <c r="BWK158"/>
      <c r="BWL158"/>
      <c r="BWM158"/>
      <c r="BWN158"/>
      <c r="BWO158"/>
      <c r="BWP158"/>
      <c r="BWQ158"/>
      <c r="BWR158"/>
      <c r="BWS158"/>
      <c r="BWT158"/>
      <c r="BWU158"/>
      <c r="BWV158"/>
      <c r="BWW158"/>
      <c r="BWX158"/>
      <c r="BWY158"/>
      <c r="BWZ158"/>
      <c r="BXA158"/>
      <c r="BXB158"/>
      <c r="BXC158"/>
      <c r="BXD158"/>
      <c r="BXE158"/>
      <c r="BXF158"/>
      <c r="BXG158"/>
      <c r="BXH158"/>
      <c r="BXI158"/>
      <c r="BXJ158"/>
      <c r="BXK158"/>
      <c r="BXL158"/>
      <c r="BXM158"/>
      <c r="BXN158"/>
      <c r="BXO158"/>
      <c r="BXP158"/>
      <c r="BXQ158"/>
      <c r="BXR158"/>
      <c r="BXS158"/>
      <c r="BXT158"/>
      <c r="BXU158"/>
      <c r="BXV158"/>
      <c r="BXW158"/>
      <c r="BXX158"/>
      <c r="BXY158"/>
      <c r="BXZ158"/>
      <c r="BYA158"/>
      <c r="BYB158"/>
      <c r="BYC158"/>
      <c r="BYD158"/>
      <c r="BYE158"/>
      <c r="BYF158"/>
      <c r="BYG158"/>
      <c r="BYH158"/>
      <c r="BYI158"/>
      <c r="BYJ158"/>
      <c r="BYK158"/>
      <c r="BYL158"/>
      <c r="BYM158"/>
      <c r="BYN158"/>
      <c r="BYO158"/>
      <c r="BYP158"/>
      <c r="BYQ158"/>
      <c r="BYR158"/>
      <c r="BYS158"/>
      <c r="BYT158"/>
      <c r="BYU158"/>
      <c r="BYV158"/>
      <c r="BYW158"/>
      <c r="BYX158"/>
      <c r="BYY158"/>
      <c r="BYZ158"/>
      <c r="BZA158"/>
      <c r="BZB158"/>
      <c r="BZC158"/>
      <c r="BZD158"/>
      <c r="BZE158"/>
      <c r="BZF158"/>
      <c r="BZG158"/>
      <c r="BZH158"/>
      <c r="BZI158"/>
      <c r="BZJ158"/>
      <c r="BZK158"/>
      <c r="BZL158"/>
      <c r="BZM158"/>
      <c r="BZN158"/>
      <c r="BZO158"/>
      <c r="BZP158"/>
      <c r="BZQ158"/>
      <c r="BZR158"/>
      <c r="BZS158"/>
      <c r="BZT158"/>
      <c r="BZU158"/>
      <c r="BZV158"/>
      <c r="BZW158"/>
      <c r="BZX158"/>
      <c r="BZY158"/>
      <c r="BZZ158"/>
      <c r="CAA158"/>
      <c r="CAB158"/>
      <c r="CAC158"/>
      <c r="CAD158"/>
      <c r="CAE158"/>
      <c r="CAF158"/>
      <c r="CAG158"/>
      <c r="CAH158"/>
      <c r="CAI158"/>
      <c r="CAJ158"/>
      <c r="CAK158"/>
      <c r="CAL158"/>
      <c r="CAM158"/>
      <c r="CAN158"/>
      <c r="CAO158"/>
      <c r="CAP158"/>
      <c r="CAQ158"/>
      <c r="CAR158"/>
      <c r="CAS158"/>
      <c r="CAT158"/>
      <c r="CAU158"/>
      <c r="CAV158"/>
      <c r="CAW158"/>
      <c r="CAX158"/>
      <c r="CAY158"/>
      <c r="CAZ158"/>
      <c r="CBA158"/>
      <c r="CBB158"/>
      <c r="CBC158"/>
      <c r="CBD158"/>
      <c r="CBE158"/>
      <c r="CBF158"/>
      <c r="CBG158"/>
      <c r="CBH158"/>
      <c r="CBI158"/>
      <c r="CBJ158"/>
      <c r="CBK158"/>
      <c r="CBL158"/>
      <c r="CBM158"/>
      <c r="CBN158"/>
      <c r="CBO158"/>
      <c r="CBP158"/>
      <c r="CBQ158"/>
      <c r="CBR158"/>
      <c r="CBS158"/>
      <c r="CBT158"/>
      <c r="CBU158"/>
      <c r="CBV158"/>
      <c r="CBW158"/>
      <c r="CBX158"/>
      <c r="CBY158"/>
      <c r="CBZ158"/>
      <c r="CCA158"/>
      <c r="CCB158"/>
      <c r="CCC158"/>
      <c r="CCD158"/>
      <c r="CCE158"/>
      <c r="CCF158"/>
      <c r="CCG158"/>
      <c r="CCH158"/>
      <c r="CCI158"/>
      <c r="CCJ158"/>
      <c r="CCK158"/>
      <c r="CCL158"/>
      <c r="CCM158"/>
      <c r="CCN158"/>
      <c r="CCO158"/>
      <c r="CCP158"/>
      <c r="CCQ158"/>
      <c r="CCR158"/>
      <c r="CCS158"/>
      <c r="CCT158"/>
      <c r="CCU158"/>
      <c r="CCV158"/>
      <c r="CCW158"/>
      <c r="CCX158"/>
      <c r="CCY158"/>
      <c r="CCZ158"/>
      <c r="CDA158"/>
      <c r="CDB158"/>
      <c r="CDC158"/>
      <c r="CDD158"/>
      <c r="CDE158"/>
      <c r="CDF158"/>
      <c r="CDG158"/>
      <c r="CDH158"/>
      <c r="CDI158"/>
      <c r="CDJ158"/>
      <c r="CDK158"/>
      <c r="CDL158"/>
      <c r="CDM158"/>
      <c r="CDN158"/>
      <c r="CDO158"/>
      <c r="CDP158"/>
      <c r="CDQ158"/>
      <c r="CDR158"/>
      <c r="CDS158"/>
      <c r="CDT158"/>
      <c r="CDU158"/>
      <c r="CDV158"/>
      <c r="CDW158"/>
      <c r="CDX158"/>
      <c r="CDY158"/>
      <c r="CDZ158"/>
      <c r="CEA158"/>
      <c r="CEB158"/>
      <c r="CEC158"/>
      <c r="CED158"/>
      <c r="CEE158"/>
      <c r="CEF158"/>
      <c r="CEG158"/>
      <c r="CEH158"/>
      <c r="CEI158"/>
      <c r="CEJ158"/>
      <c r="CEK158"/>
      <c r="CEL158"/>
      <c r="CEM158"/>
      <c r="CEN158"/>
      <c r="CEO158"/>
      <c r="CEP158"/>
      <c r="CEQ158"/>
      <c r="CER158"/>
      <c r="CES158"/>
      <c r="CET158"/>
      <c r="CEU158"/>
      <c r="CEV158"/>
      <c r="CEW158"/>
      <c r="CEX158"/>
      <c r="CEY158"/>
      <c r="CEZ158"/>
      <c r="CFA158"/>
      <c r="CFB158"/>
      <c r="CFC158"/>
      <c r="CFD158"/>
      <c r="CFE158"/>
      <c r="CFF158"/>
      <c r="CFG158"/>
      <c r="CFH158"/>
      <c r="CFI158"/>
      <c r="CFJ158"/>
      <c r="CFK158"/>
      <c r="CFL158"/>
      <c r="CFM158"/>
      <c r="CFN158"/>
      <c r="CFO158"/>
      <c r="CFP158"/>
      <c r="CFQ158"/>
      <c r="CFR158"/>
      <c r="CFS158"/>
      <c r="CFT158"/>
      <c r="CFU158"/>
      <c r="CFV158"/>
      <c r="CFW158"/>
      <c r="CFX158"/>
      <c r="CFY158"/>
      <c r="CFZ158"/>
      <c r="CGA158"/>
      <c r="CGB158"/>
      <c r="CGC158"/>
      <c r="CGD158"/>
      <c r="CGE158"/>
      <c r="CGF158"/>
      <c r="CGG158"/>
      <c r="CGH158"/>
      <c r="CGI158"/>
      <c r="CGJ158"/>
      <c r="CGK158"/>
      <c r="CGL158"/>
      <c r="CGM158"/>
      <c r="CGN158"/>
      <c r="CGO158"/>
      <c r="CGP158"/>
      <c r="CGQ158"/>
      <c r="CGR158"/>
      <c r="CGS158"/>
      <c r="CGT158"/>
      <c r="CGU158"/>
      <c r="CGV158"/>
      <c r="CGW158"/>
      <c r="CGX158"/>
      <c r="CGY158"/>
      <c r="CGZ158"/>
      <c r="CHA158"/>
      <c r="CHB158"/>
      <c r="CHC158"/>
      <c r="CHD158"/>
      <c r="CHE158"/>
      <c r="CHF158"/>
      <c r="CHG158"/>
      <c r="CHH158"/>
      <c r="CHI158"/>
      <c r="CHJ158"/>
      <c r="CHK158"/>
      <c r="CHL158"/>
      <c r="CHM158"/>
      <c r="CHN158"/>
      <c r="CHO158"/>
      <c r="CHP158"/>
      <c r="CHQ158"/>
      <c r="CHR158"/>
      <c r="CHS158"/>
      <c r="CHT158"/>
      <c r="CHU158"/>
      <c r="CHV158"/>
      <c r="CHW158"/>
      <c r="CHX158"/>
      <c r="CHY158"/>
      <c r="CHZ158"/>
      <c r="CIA158"/>
      <c r="CIB158"/>
      <c r="CIC158"/>
      <c r="CID158"/>
      <c r="CIE158"/>
      <c r="CIF158"/>
      <c r="CIG158"/>
      <c r="CIH158"/>
      <c r="CII158"/>
      <c r="CIJ158"/>
      <c r="CIK158"/>
      <c r="CIL158"/>
      <c r="CIM158"/>
      <c r="CIN158"/>
      <c r="CIO158"/>
      <c r="CIP158"/>
      <c r="CIQ158"/>
      <c r="CIR158"/>
      <c r="CIS158"/>
      <c r="CIT158"/>
      <c r="CIU158"/>
      <c r="CIV158"/>
      <c r="CIW158"/>
      <c r="CIX158"/>
      <c r="CIY158"/>
      <c r="CIZ158"/>
      <c r="CJA158"/>
      <c r="CJB158"/>
      <c r="CJC158"/>
      <c r="CJD158"/>
      <c r="CJE158"/>
      <c r="CJF158"/>
      <c r="CJG158"/>
      <c r="CJH158"/>
      <c r="CJI158"/>
      <c r="CJJ158"/>
      <c r="CJK158"/>
      <c r="CJL158"/>
      <c r="CJM158"/>
      <c r="CJN158"/>
      <c r="CJO158"/>
      <c r="CJP158"/>
      <c r="CJQ158"/>
      <c r="CJR158"/>
      <c r="CJS158"/>
      <c r="CJT158"/>
      <c r="CJU158"/>
      <c r="CJV158"/>
      <c r="CJW158"/>
      <c r="CJX158"/>
      <c r="CJY158"/>
      <c r="CJZ158"/>
      <c r="CKA158"/>
      <c r="CKB158"/>
      <c r="CKC158"/>
      <c r="CKD158"/>
      <c r="CKE158"/>
      <c r="CKF158"/>
      <c r="CKG158"/>
      <c r="CKH158"/>
      <c r="CKI158"/>
      <c r="CKJ158"/>
      <c r="CKK158"/>
      <c r="CKL158"/>
      <c r="CKM158"/>
      <c r="CKN158"/>
      <c r="CKO158"/>
      <c r="CKP158"/>
      <c r="CKQ158"/>
      <c r="CKR158"/>
      <c r="CKS158"/>
      <c r="CKT158"/>
      <c r="CKU158"/>
      <c r="CKV158"/>
      <c r="CKW158"/>
      <c r="CKX158"/>
      <c r="CKY158"/>
      <c r="CKZ158"/>
      <c r="CLA158"/>
      <c r="CLB158"/>
      <c r="CLC158"/>
      <c r="CLD158"/>
      <c r="CLE158"/>
      <c r="CLF158"/>
      <c r="CLG158"/>
      <c r="CLH158"/>
      <c r="CLI158"/>
      <c r="CLJ158"/>
      <c r="CLK158"/>
      <c r="CLL158"/>
      <c r="CLM158"/>
      <c r="CLN158"/>
      <c r="CLO158"/>
      <c r="CLP158"/>
      <c r="CLQ158"/>
      <c r="CLR158"/>
      <c r="CLS158"/>
      <c r="CLT158"/>
      <c r="CLU158"/>
      <c r="CLV158"/>
      <c r="CLW158"/>
      <c r="CLX158"/>
      <c r="CLY158"/>
      <c r="CLZ158"/>
      <c r="CMA158"/>
      <c r="CMB158"/>
      <c r="CMC158"/>
      <c r="CMD158"/>
      <c r="CME158"/>
      <c r="CMF158"/>
      <c r="CMG158"/>
      <c r="CMH158"/>
      <c r="CMI158"/>
      <c r="CMJ158"/>
      <c r="CMK158"/>
      <c r="CML158"/>
      <c r="CMM158"/>
      <c r="CMN158"/>
      <c r="CMO158"/>
      <c r="CMP158"/>
      <c r="CMQ158"/>
      <c r="CMR158"/>
      <c r="CMS158"/>
      <c r="CMT158"/>
      <c r="CMU158"/>
      <c r="CMV158"/>
      <c r="CMW158"/>
      <c r="CMX158"/>
      <c r="CMY158"/>
      <c r="CMZ158"/>
      <c r="CNA158"/>
      <c r="CNB158"/>
      <c r="CNC158"/>
      <c r="CND158"/>
      <c r="CNE158"/>
      <c r="CNF158"/>
      <c r="CNG158"/>
      <c r="CNH158"/>
      <c r="CNI158"/>
      <c r="CNJ158"/>
      <c r="CNK158"/>
      <c r="CNL158"/>
      <c r="CNM158"/>
      <c r="CNN158"/>
      <c r="CNO158"/>
      <c r="CNP158"/>
      <c r="CNQ158"/>
      <c r="CNR158"/>
      <c r="CNS158"/>
      <c r="CNT158"/>
      <c r="CNU158"/>
      <c r="CNV158"/>
      <c r="CNW158"/>
      <c r="CNX158"/>
      <c r="CNY158"/>
      <c r="CNZ158"/>
      <c r="COA158"/>
      <c r="COB158"/>
      <c r="COC158"/>
      <c r="COD158"/>
      <c r="COE158"/>
      <c r="COF158"/>
      <c r="COG158"/>
      <c r="COH158"/>
      <c r="COI158"/>
      <c r="COJ158"/>
      <c r="COK158"/>
      <c r="COL158"/>
      <c r="COM158"/>
      <c r="CON158"/>
      <c r="COO158"/>
      <c r="COP158"/>
      <c r="COQ158"/>
      <c r="COR158"/>
      <c r="COS158"/>
      <c r="COT158"/>
      <c r="COU158"/>
      <c r="COV158"/>
      <c r="COW158"/>
      <c r="COX158"/>
      <c r="COY158"/>
      <c r="COZ158"/>
      <c r="CPA158"/>
      <c r="CPB158"/>
      <c r="CPC158"/>
      <c r="CPD158"/>
      <c r="CPE158"/>
      <c r="CPF158"/>
      <c r="CPG158"/>
      <c r="CPH158"/>
      <c r="CPI158"/>
      <c r="CPJ158"/>
      <c r="CPK158"/>
      <c r="CPL158"/>
      <c r="CPM158"/>
      <c r="CPN158"/>
      <c r="CPO158"/>
      <c r="CPP158"/>
      <c r="CPQ158"/>
      <c r="CPR158"/>
      <c r="CPS158"/>
      <c r="CPT158"/>
      <c r="CPU158"/>
      <c r="CPV158"/>
      <c r="CPW158"/>
      <c r="CPX158"/>
      <c r="CPY158"/>
      <c r="CPZ158"/>
      <c r="CQA158"/>
      <c r="CQB158"/>
      <c r="CQC158"/>
      <c r="CQD158"/>
      <c r="CQE158"/>
      <c r="CQF158"/>
      <c r="CQG158"/>
      <c r="CQH158"/>
      <c r="CQI158"/>
      <c r="CQJ158"/>
      <c r="CQK158"/>
      <c r="CQL158"/>
      <c r="CQM158"/>
      <c r="CQN158"/>
      <c r="CQO158"/>
      <c r="CQP158"/>
      <c r="CQQ158"/>
      <c r="CQR158"/>
      <c r="CQS158"/>
      <c r="CQT158"/>
      <c r="CQU158"/>
      <c r="CQV158"/>
      <c r="CQW158"/>
      <c r="CQX158"/>
      <c r="CQY158"/>
      <c r="CQZ158"/>
      <c r="CRA158"/>
      <c r="CRB158"/>
      <c r="CRC158"/>
      <c r="CRD158"/>
      <c r="CRE158"/>
      <c r="CRF158"/>
      <c r="CRG158"/>
      <c r="CRH158"/>
      <c r="CRI158"/>
      <c r="CRJ158"/>
      <c r="CRK158"/>
      <c r="CRL158"/>
      <c r="CRM158"/>
      <c r="CRN158"/>
      <c r="CRO158"/>
      <c r="CRP158"/>
      <c r="CRQ158"/>
      <c r="CRR158"/>
      <c r="CRS158"/>
      <c r="CRT158"/>
      <c r="CRU158"/>
      <c r="CRV158"/>
      <c r="CRW158"/>
      <c r="CRX158"/>
      <c r="CRY158"/>
      <c r="CRZ158"/>
      <c r="CSA158"/>
      <c r="CSB158"/>
      <c r="CSC158"/>
      <c r="CSD158"/>
      <c r="CSE158"/>
      <c r="CSF158"/>
      <c r="CSG158"/>
      <c r="CSH158"/>
      <c r="CSI158"/>
      <c r="CSJ158"/>
      <c r="CSK158"/>
      <c r="CSL158"/>
      <c r="CSM158"/>
      <c r="CSN158"/>
      <c r="CSO158"/>
      <c r="CSP158"/>
      <c r="CSQ158"/>
      <c r="CSR158"/>
      <c r="CSS158"/>
      <c r="CST158"/>
      <c r="CSU158"/>
      <c r="CSV158"/>
      <c r="CSW158"/>
      <c r="CSX158"/>
      <c r="CSY158"/>
      <c r="CSZ158"/>
      <c r="CTA158"/>
      <c r="CTB158"/>
      <c r="CTC158"/>
      <c r="CTD158"/>
      <c r="CTE158"/>
      <c r="CTF158"/>
      <c r="CTG158"/>
      <c r="CTH158"/>
      <c r="CTI158"/>
      <c r="CTJ158"/>
      <c r="CTK158"/>
      <c r="CTL158"/>
      <c r="CTM158"/>
      <c r="CTN158"/>
      <c r="CTO158"/>
      <c r="CTP158"/>
      <c r="CTQ158"/>
      <c r="CTR158"/>
      <c r="CTS158"/>
      <c r="CTT158"/>
      <c r="CTU158"/>
      <c r="CTV158"/>
      <c r="CTW158"/>
      <c r="CTX158"/>
      <c r="CTY158"/>
      <c r="CTZ158"/>
      <c r="CUA158"/>
      <c r="CUB158"/>
      <c r="CUC158"/>
      <c r="CUD158"/>
      <c r="CUE158"/>
      <c r="CUF158"/>
      <c r="CUG158"/>
      <c r="CUH158"/>
      <c r="CUI158"/>
      <c r="CUJ158"/>
      <c r="CUK158"/>
      <c r="CUL158"/>
      <c r="CUM158"/>
      <c r="CUN158"/>
      <c r="CUO158"/>
      <c r="CUP158"/>
      <c r="CUQ158"/>
      <c r="CUR158"/>
      <c r="CUS158"/>
      <c r="CUT158"/>
      <c r="CUU158"/>
      <c r="CUV158"/>
      <c r="CUW158"/>
      <c r="CUX158"/>
      <c r="CUY158"/>
      <c r="CUZ158"/>
      <c r="CVA158"/>
      <c r="CVB158"/>
      <c r="CVC158"/>
      <c r="CVD158"/>
      <c r="CVE158"/>
      <c r="CVF158"/>
      <c r="CVG158"/>
      <c r="CVH158"/>
      <c r="CVI158"/>
      <c r="CVJ158"/>
      <c r="CVK158"/>
      <c r="CVL158"/>
      <c r="CVM158"/>
      <c r="CVN158"/>
      <c r="CVO158"/>
      <c r="CVP158"/>
      <c r="CVQ158"/>
      <c r="CVR158"/>
      <c r="CVS158"/>
      <c r="CVT158"/>
      <c r="CVU158"/>
      <c r="CVV158"/>
      <c r="CVW158"/>
      <c r="CVX158"/>
      <c r="CVY158"/>
      <c r="CVZ158"/>
      <c r="CWA158"/>
      <c r="CWB158"/>
      <c r="CWC158"/>
      <c r="CWD158"/>
      <c r="CWE158"/>
      <c r="CWF158"/>
      <c r="CWG158"/>
      <c r="CWH158"/>
      <c r="CWI158"/>
      <c r="CWJ158"/>
      <c r="CWK158"/>
      <c r="CWL158"/>
      <c r="CWM158"/>
      <c r="CWN158"/>
      <c r="CWO158"/>
      <c r="CWP158"/>
      <c r="CWQ158"/>
      <c r="CWR158"/>
      <c r="CWS158"/>
      <c r="CWT158"/>
      <c r="CWU158"/>
      <c r="CWV158"/>
      <c r="CWW158"/>
      <c r="CWX158"/>
      <c r="CWY158"/>
      <c r="CWZ158"/>
      <c r="CXA158"/>
      <c r="CXB158"/>
      <c r="CXC158"/>
      <c r="CXD158"/>
      <c r="CXE158"/>
      <c r="CXF158"/>
      <c r="CXG158"/>
      <c r="CXH158"/>
      <c r="CXI158"/>
      <c r="CXJ158"/>
      <c r="CXK158"/>
      <c r="CXL158"/>
      <c r="CXM158"/>
      <c r="CXN158"/>
      <c r="CXO158"/>
      <c r="CXP158"/>
      <c r="CXQ158"/>
      <c r="CXR158"/>
      <c r="CXS158"/>
      <c r="CXT158"/>
      <c r="CXU158"/>
      <c r="CXV158"/>
      <c r="CXW158"/>
      <c r="CXX158"/>
      <c r="CXY158"/>
      <c r="CXZ158"/>
      <c r="CYA158"/>
      <c r="CYB158"/>
      <c r="CYC158"/>
      <c r="CYD158"/>
      <c r="CYE158"/>
      <c r="CYF158"/>
      <c r="CYG158"/>
      <c r="CYH158"/>
      <c r="CYI158"/>
      <c r="CYJ158"/>
      <c r="CYK158"/>
      <c r="CYL158"/>
      <c r="CYM158"/>
      <c r="CYN158"/>
      <c r="CYO158"/>
      <c r="CYP158"/>
      <c r="CYQ158"/>
      <c r="CYR158"/>
      <c r="CYS158"/>
      <c r="CYT158"/>
      <c r="CYU158"/>
      <c r="CYV158"/>
      <c r="CYW158"/>
      <c r="CYX158"/>
      <c r="CYY158"/>
      <c r="CYZ158"/>
      <c r="CZA158"/>
      <c r="CZB158"/>
      <c r="CZC158"/>
      <c r="CZD158"/>
      <c r="CZE158"/>
      <c r="CZF158"/>
      <c r="CZG158"/>
      <c r="CZH158"/>
      <c r="CZI158"/>
      <c r="CZJ158"/>
      <c r="CZK158"/>
      <c r="CZL158"/>
      <c r="CZM158"/>
      <c r="CZN158"/>
      <c r="CZO158"/>
      <c r="CZP158"/>
      <c r="CZQ158"/>
      <c r="CZR158"/>
      <c r="CZS158"/>
      <c r="CZT158"/>
      <c r="CZU158"/>
      <c r="CZV158"/>
      <c r="CZW158"/>
      <c r="CZX158"/>
      <c r="CZY158"/>
      <c r="CZZ158"/>
      <c r="DAA158"/>
      <c r="DAB158"/>
      <c r="DAC158"/>
      <c r="DAD158"/>
      <c r="DAE158"/>
      <c r="DAF158"/>
      <c r="DAG158"/>
      <c r="DAH158"/>
      <c r="DAI158"/>
      <c r="DAJ158"/>
      <c r="DAK158"/>
      <c r="DAL158"/>
      <c r="DAM158"/>
      <c r="DAN158"/>
      <c r="DAO158"/>
      <c r="DAP158"/>
      <c r="DAQ158"/>
      <c r="DAR158"/>
      <c r="DAS158"/>
      <c r="DAT158"/>
      <c r="DAU158"/>
      <c r="DAV158"/>
      <c r="DAW158"/>
      <c r="DAX158"/>
      <c r="DAY158"/>
      <c r="DAZ158"/>
      <c r="DBA158"/>
      <c r="DBB158"/>
      <c r="DBC158"/>
      <c r="DBD158"/>
      <c r="DBE158"/>
      <c r="DBF158"/>
      <c r="DBG158"/>
      <c r="DBH158"/>
      <c r="DBI158"/>
      <c r="DBJ158"/>
      <c r="DBK158"/>
      <c r="DBL158"/>
      <c r="DBM158"/>
      <c r="DBN158"/>
      <c r="DBO158"/>
      <c r="DBP158"/>
      <c r="DBQ158"/>
      <c r="DBR158"/>
      <c r="DBS158"/>
      <c r="DBT158"/>
      <c r="DBU158"/>
      <c r="DBV158"/>
      <c r="DBW158"/>
      <c r="DBX158"/>
      <c r="DBY158"/>
      <c r="DBZ158"/>
      <c r="DCA158"/>
      <c r="DCB158"/>
      <c r="DCC158"/>
      <c r="DCD158"/>
      <c r="DCE158"/>
      <c r="DCF158"/>
      <c r="DCG158"/>
      <c r="DCH158"/>
      <c r="DCI158"/>
      <c r="DCJ158"/>
      <c r="DCK158"/>
      <c r="DCL158"/>
      <c r="DCM158"/>
      <c r="DCN158"/>
      <c r="DCO158"/>
      <c r="DCP158"/>
      <c r="DCQ158"/>
      <c r="DCR158"/>
      <c r="DCS158"/>
      <c r="DCT158"/>
      <c r="DCU158"/>
      <c r="DCV158"/>
      <c r="DCW158"/>
      <c r="DCX158"/>
      <c r="DCY158"/>
      <c r="DCZ158"/>
      <c r="DDA158"/>
      <c r="DDB158"/>
      <c r="DDC158"/>
      <c r="DDD158"/>
      <c r="DDE158"/>
      <c r="DDF158"/>
      <c r="DDG158"/>
      <c r="DDH158"/>
      <c r="DDI158"/>
      <c r="DDJ158"/>
      <c r="DDK158"/>
      <c r="DDL158"/>
      <c r="DDM158"/>
      <c r="DDN158"/>
      <c r="DDO158"/>
      <c r="DDP158"/>
      <c r="DDQ158"/>
      <c r="DDR158"/>
      <c r="DDS158"/>
      <c r="DDT158"/>
      <c r="DDU158"/>
      <c r="DDV158"/>
      <c r="DDW158"/>
      <c r="DDX158"/>
      <c r="DDY158"/>
      <c r="DDZ158"/>
      <c r="DEA158"/>
      <c r="DEB158"/>
      <c r="DEC158"/>
      <c r="DED158"/>
      <c r="DEE158"/>
      <c r="DEF158"/>
      <c r="DEG158"/>
      <c r="DEH158"/>
      <c r="DEI158"/>
      <c r="DEJ158"/>
      <c r="DEK158"/>
      <c r="DEL158"/>
      <c r="DEM158"/>
      <c r="DEN158"/>
      <c r="DEO158"/>
      <c r="DEP158"/>
      <c r="DEQ158"/>
      <c r="DER158"/>
      <c r="DES158"/>
      <c r="DET158"/>
      <c r="DEU158"/>
      <c r="DEV158"/>
      <c r="DEW158"/>
      <c r="DEX158"/>
      <c r="DEY158"/>
      <c r="DEZ158"/>
      <c r="DFA158"/>
      <c r="DFB158"/>
      <c r="DFC158"/>
      <c r="DFD158"/>
      <c r="DFE158"/>
      <c r="DFF158"/>
      <c r="DFG158"/>
      <c r="DFH158"/>
      <c r="DFI158"/>
      <c r="DFJ158"/>
      <c r="DFK158"/>
      <c r="DFL158"/>
      <c r="DFM158"/>
      <c r="DFN158"/>
      <c r="DFO158"/>
      <c r="DFP158"/>
      <c r="DFQ158"/>
      <c r="DFR158"/>
      <c r="DFS158"/>
      <c r="DFT158"/>
      <c r="DFU158"/>
      <c r="DFV158"/>
      <c r="DFW158"/>
      <c r="DFX158"/>
      <c r="DFY158"/>
      <c r="DFZ158"/>
      <c r="DGA158"/>
      <c r="DGB158"/>
      <c r="DGC158"/>
      <c r="DGD158"/>
      <c r="DGE158"/>
      <c r="DGF158"/>
      <c r="DGG158"/>
      <c r="DGH158"/>
      <c r="DGI158"/>
      <c r="DGJ158"/>
      <c r="DGK158"/>
      <c r="DGL158"/>
      <c r="DGM158"/>
      <c r="DGN158"/>
      <c r="DGO158"/>
      <c r="DGP158"/>
      <c r="DGQ158"/>
      <c r="DGR158"/>
      <c r="DGS158"/>
      <c r="DGT158"/>
      <c r="DGU158"/>
      <c r="DGV158"/>
      <c r="DGW158"/>
      <c r="DGX158"/>
      <c r="DGY158"/>
      <c r="DGZ158"/>
      <c r="DHA158"/>
      <c r="DHB158"/>
      <c r="DHC158"/>
      <c r="DHD158"/>
      <c r="DHE158"/>
      <c r="DHF158"/>
      <c r="DHG158"/>
      <c r="DHH158"/>
      <c r="DHI158"/>
      <c r="DHJ158"/>
      <c r="DHK158"/>
      <c r="DHL158"/>
      <c r="DHM158"/>
      <c r="DHN158"/>
      <c r="DHO158"/>
      <c r="DHP158"/>
      <c r="DHQ158"/>
      <c r="DHR158"/>
      <c r="DHS158"/>
      <c r="DHT158"/>
      <c r="DHU158"/>
      <c r="DHV158"/>
      <c r="DHW158"/>
      <c r="DHX158"/>
      <c r="DHY158"/>
      <c r="DHZ158"/>
      <c r="DIA158"/>
      <c r="DIB158"/>
      <c r="DIC158"/>
      <c r="DID158"/>
      <c r="DIE158"/>
      <c r="DIF158"/>
      <c r="DIG158"/>
      <c r="DIH158"/>
      <c r="DII158"/>
      <c r="DIJ158"/>
      <c r="DIK158"/>
      <c r="DIL158"/>
      <c r="DIM158"/>
      <c r="DIN158"/>
      <c r="DIO158"/>
      <c r="DIP158"/>
      <c r="DIQ158"/>
      <c r="DIR158"/>
      <c r="DIS158"/>
      <c r="DIT158"/>
      <c r="DIU158"/>
      <c r="DIV158"/>
      <c r="DIW158"/>
      <c r="DIX158"/>
      <c r="DIY158"/>
      <c r="DIZ158"/>
      <c r="DJA158"/>
      <c r="DJB158"/>
      <c r="DJC158"/>
      <c r="DJD158"/>
      <c r="DJE158"/>
      <c r="DJF158"/>
      <c r="DJG158"/>
      <c r="DJH158"/>
      <c r="DJI158"/>
      <c r="DJJ158"/>
      <c r="DJK158"/>
      <c r="DJL158"/>
      <c r="DJM158"/>
      <c r="DJN158"/>
      <c r="DJO158"/>
      <c r="DJP158"/>
      <c r="DJQ158"/>
      <c r="DJR158"/>
      <c r="DJS158"/>
      <c r="DJT158"/>
      <c r="DJU158"/>
      <c r="DJV158"/>
      <c r="DJW158"/>
      <c r="DJX158"/>
      <c r="DJY158"/>
      <c r="DJZ158"/>
      <c r="DKA158"/>
      <c r="DKB158"/>
      <c r="DKC158"/>
      <c r="DKD158"/>
      <c r="DKE158"/>
      <c r="DKF158"/>
      <c r="DKG158"/>
      <c r="DKH158"/>
      <c r="DKI158"/>
      <c r="DKJ158"/>
      <c r="DKK158"/>
      <c r="DKL158"/>
      <c r="DKM158"/>
      <c r="DKN158"/>
      <c r="DKO158"/>
      <c r="DKP158"/>
      <c r="DKQ158"/>
      <c r="DKR158"/>
      <c r="DKS158"/>
      <c r="DKT158"/>
      <c r="DKU158"/>
      <c r="DKV158"/>
      <c r="DKW158"/>
      <c r="DKX158"/>
      <c r="DKY158"/>
      <c r="DKZ158"/>
      <c r="DLA158"/>
      <c r="DLB158"/>
      <c r="DLC158"/>
      <c r="DLD158"/>
      <c r="DLE158"/>
      <c r="DLF158"/>
      <c r="DLG158"/>
      <c r="DLH158"/>
      <c r="DLI158"/>
      <c r="DLJ158"/>
      <c r="DLK158"/>
      <c r="DLL158"/>
      <c r="DLM158"/>
      <c r="DLN158"/>
      <c r="DLO158"/>
      <c r="DLP158"/>
      <c r="DLQ158"/>
      <c r="DLR158"/>
      <c r="DLS158"/>
      <c r="DLT158"/>
      <c r="DLU158"/>
      <c r="DLV158"/>
      <c r="DLW158"/>
      <c r="DLX158"/>
      <c r="DLY158"/>
      <c r="DLZ158"/>
      <c r="DMA158"/>
      <c r="DMB158"/>
      <c r="DMC158"/>
      <c r="DMD158"/>
      <c r="DME158"/>
      <c r="DMF158"/>
      <c r="DMG158"/>
      <c r="DMH158"/>
      <c r="DMI158"/>
      <c r="DMJ158"/>
      <c r="DMK158"/>
      <c r="DML158"/>
      <c r="DMM158"/>
      <c r="DMN158"/>
      <c r="DMO158"/>
      <c r="DMP158"/>
      <c r="DMQ158"/>
      <c r="DMR158"/>
      <c r="DMS158"/>
      <c r="DMT158"/>
      <c r="DMU158"/>
      <c r="DMV158"/>
      <c r="DMW158"/>
      <c r="DMX158"/>
      <c r="DMY158"/>
      <c r="DMZ158"/>
      <c r="DNA158"/>
      <c r="DNB158"/>
      <c r="DNC158"/>
      <c r="DND158"/>
      <c r="DNE158"/>
      <c r="DNF158"/>
      <c r="DNG158"/>
      <c r="DNH158"/>
      <c r="DNI158"/>
      <c r="DNJ158"/>
      <c r="DNK158"/>
      <c r="DNL158"/>
      <c r="DNM158"/>
      <c r="DNN158"/>
      <c r="DNO158"/>
      <c r="DNP158"/>
      <c r="DNQ158"/>
      <c r="DNR158"/>
      <c r="DNS158"/>
      <c r="DNT158"/>
      <c r="DNU158"/>
      <c r="DNV158"/>
      <c r="DNW158"/>
      <c r="DNX158"/>
      <c r="DNY158"/>
      <c r="DNZ158"/>
      <c r="DOA158"/>
      <c r="DOB158"/>
      <c r="DOC158"/>
      <c r="DOD158"/>
      <c r="DOE158"/>
      <c r="DOF158"/>
      <c r="DOG158"/>
      <c r="DOH158"/>
      <c r="DOI158"/>
      <c r="DOJ158"/>
      <c r="DOK158"/>
      <c r="DOL158"/>
      <c r="DOM158"/>
      <c r="DON158"/>
      <c r="DOO158"/>
      <c r="DOP158"/>
      <c r="DOQ158"/>
      <c r="DOR158"/>
      <c r="DOS158"/>
      <c r="DOT158"/>
      <c r="DOU158"/>
      <c r="DOV158"/>
      <c r="DOW158"/>
      <c r="DOX158"/>
      <c r="DOY158"/>
      <c r="DOZ158"/>
      <c r="DPA158"/>
      <c r="DPB158"/>
      <c r="DPC158"/>
      <c r="DPD158"/>
      <c r="DPE158"/>
      <c r="DPF158"/>
      <c r="DPG158"/>
      <c r="DPH158"/>
      <c r="DPI158"/>
      <c r="DPJ158"/>
      <c r="DPK158"/>
      <c r="DPL158"/>
      <c r="DPM158"/>
      <c r="DPN158"/>
      <c r="DPO158"/>
      <c r="DPP158"/>
      <c r="DPQ158"/>
      <c r="DPR158"/>
      <c r="DPS158"/>
      <c r="DPT158"/>
      <c r="DPU158"/>
      <c r="DPV158"/>
      <c r="DPW158"/>
      <c r="DPX158"/>
      <c r="DPY158"/>
      <c r="DPZ158"/>
      <c r="DQA158"/>
      <c r="DQB158"/>
      <c r="DQC158"/>
      <c r="DQD158"/>
      <c r="DQE158"/>
      <c r="DQF158"/>
      <c r="DQG158"/>
      <c r="DQH158"/>
      <c r="DQI158"/>
      <c r="DQJ158"/>
      <c r="DQK158"/>
      <c r="DQL158"/>
      <c r="DQM158"/>
      <c r="DQN158"/>
      <c r="DQO158"/>
      <c r="DQP158"/>
      <c r="DQQ158"/>
      <c r="DQR158"/>
      <c r="DQS158"/>
      <c r="DQT158"/>
      <c r="DQU158"/>
      <c r="DQV158"/>
      <c r="DQW158"/>
      <c r="DQX158"/>
      <c r="DQY158"/>
      <c r="DQZ158"/>
      <c r="DRA158"/>
      <c r="DRB158"/>
      <c r="DRC158"/>
      <c r="DRD158"/>
      <c r="DRE158"/>
      <c r="DRF158"/>
      <c r="DRG158"/>
      <c r="DRH158"/>
      <c r="DRI158"/>
      <c r="DRJ158"/>
      <c r="DRK158"/>
      <c r="DRL158"/>
      <c r="DRM158"/>
      <c r="DRN158"/>
      <c r="DRO158"/>
      <c r="DRP158"/>
      <c r="DRQ158"/>
      <c r="DRR158"/>
      <c r="DRS158"/>
      <c r="DRT158"/>
      <c r="DRU158"/>
      <c r="DRV158"/>
      <c r="DRW158"/>
      <c r="DRX158"/>
      <c r="DRY158"/>
      <c r="DRZ158"/>
      <c r="DSA158"/>
      <c r="DSB158"/>
      <c r="DSC158"/>
      <c r="DSD158"/>
      <c r="DSE158"/>
      <c r="DSF158"/>
      <c r="DSG158"/>
      <c r="DSH158"/>
      <c r="DSI158"/>
      <c r="DSJ158"/>
      <c r="DSK158"/>
      <c r="DSL158"/>
      <c r="DSM158"/>
      <c r="DSN158"/>
      <c r="DSO158"/>
      <c r="DSP158"/>
      <c r="DSQ158"/>
      <c r="DSR158"/>
      <c r="DSS158"/>
      <c r="DST158"/>
      <c r="DSU158"/>
      <c r="DSV158"/>
      <c r="DSW158"/>
      <c r="DSX158"/>
      <c r="DSY158"/>
      <c r="DSZ158"/>
      <c r="DTA158"/>
      <c r="DTB158"/>
      <c r="DTC158"/>
      <c r="DTD158"/>
      <c r="DTE158"/>
      <c r="DTF158"/>
      <c r="DTG158"/>
      <c r="DTH158"/>
      <c r="DTI158"/>
      <c r="DTJ158"/>
      <c r="DTK158"/>
      <c r="DTL158"/>
      <c r="DTM158"/>
      <c r="DTN158"/>
      <c r="DTO158"/>
      <c r="DTP158"/>
      <c r="DTQ158"/>
      <c r="DTR158"/>
      <c r="DTS158"/>
      <c r="DTT158"/>
      <c r="DTU158"/>
      <c r="DTV158"/>
      <c r="DTW158"/>
      <c r="DTX158"/>
      <c r="DTY158"/>
      <c r="DTZ158"/>
      <c r="DUA158"/>
      <c r="DUB158"/>
      <c r="DUC158"/>
      <c r="DUD158"/>
      <c r="DUE158"/>
      <c r="DUF158"/>
      <c r="DUG158"/>
      <c r="DUH158"/>
      <c r="DUI158"/>
      <c r="DUJ158"/>
      <c r="DUK158"/>
      <c r="DUL158"/>
      <c r="DUM158"/>
      <c r="DUN158"/>
      <c r="DUO158"/>
      <c r="DUP158"/>
      <c r="DUQ158"/>
      <c r="DUR158"/>
      <c r="DUS158"/>
      <c r="DUT158"/>
      <c r="DUU158"/>
      <c r="DUV158"/>
      <c r="DUW158"/>
      <c r="DUX158"/>
      <c r="DUY158"/>
      <c r="DUZ158"/>
      <c r="DVA158"/>
      <c r="DVB158"/>
      <c r="DVC158"/>
      <c r="DVD158"/>
      <c r="DVE158"/>
      <c r="DVF158"/>
      <c r="DVG158"/>
      <c r="DVH158"/>
      <c r="DVI158"/>
      <c r="DVJ158"/>
      <c r="DVK158"/>
      <c r="DVL158"/>
      <c r="DVM158"/>
      <c r="DVN158"/>
      <c r="DVO158"/>
      <c r="DVP158"/>
      <c r="DVQ158"/>
      <c r="DVR158"/>
      <c r="DVS158"/>
      <c r="DVT158"/>
      <c r="DVU158"/>
      <c r="DVV158"/>
      <c r="DVW158"/>
      <c r="DVX158"/>
      <c r="DVY158"/>
      <c r="DVZ158"/>
      <c r="DWA158"/>
      <c r="DWB158"/>
      <c r="DWC158"/>
      <c r="DWD158"/>
      <c r="DWE158"/>
      <c r="DWF158"/>
      <c r="DWG158"/>
      <c r="DWH158"/>
      <c r="DWI158"/>
      <c r="DWJ158"/>
      <c r="DWK158"/>
      <c r="DWL158"/>
      <c r="DWM158"/>
      <c r="DWN158"/>
      <c r="DWO158"/>
      <c r="DWP158"/>
      <c r="DWQ158"/>
      <c r="DWR158"/>
      <c r="DWS158"/>
      <c r="DWT158"/>
      <c r="DWU158"/>
      <c r="DWV158"/>
      <c r="DWW158"/>
      <c r="DWX158"/>
      <c r="DWY158"/>
      <c r="DWZ158"/>
      <c r="DXA158"/>
      <c r="DXB158"/>
      <c r="DXC158"/>
      <c r="DXD158"/>
      <c r="DXE158"/>
      <c r="DXF158"/>
      <c r="DXG158"/>
      <c r="DXH158"/>
      <c r="DXI158"/>
      <c r="DXJ158"/>
      <c r="DXK158"/>
      <c r="DXL158"/>
      <c r="DXM158"/>
      <c r="DXN158"/>
      <c r="DXO158"/>
      <c r="DXP158"/>
      <c r="DXQ158"/>
      <c r="DXR158"/>
      <c r="DXS158"/>
      <c r="DXT158"/>
      <c r="DXU158"/>
      <c r="DXV158"/>
      <c r="DXW158"/>
      <c r="DXX158"/>
      <c r="DXY158"/>
      <c r="DXZ158"/>
      <c r="DYA158"/>
      <c r="DYB158"/>
      <c r="DYC158"/>
      <c r="DYD158"/>
      <c r="DYE158"/>
      <c r="DYF158"/>
      <c r="DYG158"/>
      <c r="DYH158"/>
      <c r="DYI158"/>
      <c r="DYJ158"/>
      <c r="DYK158"/>
      <c r="DYL158"/>
      <c r="DYM158"/>
      <c r="DYN158"/>
      <c r="DYO158"/>
      <c r="DYP158"/>
      <c r="DYQ158"/>
      <c r="DYR158"/>
      <c r="DYS158"/>
      <c r="DYT158"/>
      <c r="DYU158"/>
      <c r="DYV158"/>
      <c r="DYW158"/>
      <c r="DYX158"/>
      <c r="DYY158"/>
      <c r="DYZ158"/>
      <c r="DZA158"/>
      <c r="DZB158"/>
      <c r="DZC158"/>
      <c r="DZD158"/>
      <c r="DZE158"/>
      <c r="DZF158"/>
      <c r="DZG158"/>
      <c r="DZH158"/>
      <c r="DZI158"/>
      <c r="DZJ158"/>
      <c r="DZK158"/>
      <c r="DZL158"/>
      <c r="DZM158"/>
      <c r="DZN158"/>
      <c r="DZO158"/>
      <c r="DZP158"/>
      <c r="DZQ158"/>
      <c r="DZR158"/>
      <c r="DZS158"/>
      <c r="DZT158"/>
      <c r="DZU158"/>
      <c r="DZV158"/>
      <c r="DZW158"/>
      <c r="DZX158"/>
      <c r="DZY158"/>
      <c r="DZZ158"/>
      <c r="EAA158"/>
      <c r="EAB158"/>
      <c r="EAC158"/>
      <c r="EAD158"/>
      <c r="EAE158"/>
      <c r="EAF158"/>
      <c r="EAG158"/>
      <c r="EAH158"/>
      <c r="EAI158"/>
      <c r="EAJ158"/>
      <c r="EAK158"/>
      <c r="EAL158"/>
      <c r="EAM158"/>
      <c r="EAN158"/>
      <c r="EAO158"/>
      <c r="EAP158"/>
      <c r="EAQ158"/>
      <c r="EAR158"/>
      <c r="EAS158"/>
      <c r="EAT158"/>
      <c r="EAU158"/>
      <c r="EAV158"/>
      <c r="EAW158"/>
      <c r="EAX158"/>
      <c r="EAY158"/>
      <c r="EAZ158"/>
      <c r="EBA158"/>
      <c r="EBB158"/>
      <c r="EBC158"/>
      <c r="EBD158"/>
      <c r="EBE158"/>
      <c r="EBF158"/>
      <c r="EBG158"/>
      <c r="EBH158"/>
      <c r="EBI158"/>
      <c r="EBJ158"/>
      <c r="EBK158"/>
      <c r="EBL158"/>
      <c r="EBM158"/>
      <c r="EBN158"/>
      <c r="EBO158"/>
      <c r="EBP158"/>
      <c r="EBQ158"/>
      <c r="EBR158"/>
      <c r="EBS158"/>
      <c r="EBT158"/>
      <c r="EBU158"/>
      <c r="EBV158"/>
      <c r="EBW158"/>
      <c r="EBX158"/>
      <c r="EBY158"/>
      <c r="EBZ158"/>
      <c r="ECA158"/>
      <c r="ECB158"/>
      <c r="ECC158"/>
      <c r="ECD158"/>
      <c r="ECE158"/>
      <c r="ECF158"/>
      <c r="ECG158"/>
      <c r="ECH158"/>
      <c r="ECI158"/>
      <c r="ECJ158"/>
      <c r="ECK158"/>
      <c r="ECL158"/>
      <c r="ECM158"/>
      <c r="ECN158"/>
      <c r="ECO158"/>
      <c r="ECP158"/>
      <c r="ECQ158"/>
      <c r="ECR158"/>
      <c r="ECS158"/>
      <c r="ECT158"/>
      <c r="ECU158"/>
      <c r="ECV158"/>
      <c r="ECW158"/>
      <c r="ECX158"/>
      <c r="ECY158"/>
      <c r="ECZ158"/>
      <c r="EDA158"/>
      <c r="EDB158"/>
      <c r="EDC158"/>
      <c r="EDD158"/>
      <c r="EDE158"/>
      <c r="EDF158"/>
      <c r="EDG158"/>
      <c r="EDH158"/>
      <c r="EDI158"/>
      <c r="EDJ158"/>
      <c r="EDK158"/>
      <c r="EDL158"/>
      <c r="EDM158"/>
      <c r="EDN158"/>
      <c r="EDO158"/>
      <c r="EDP158"/>
      <c r="EDQ158"/>
      <c r="EDR158"/>
      <c r="EDS158"/>
      <c r="EDT158"/>
      <c r="EDU158"/>
      <c r="EDV158"/>
      <c r="EDW158"/>
      <c r="EDX158"/>
      <c r="EDY158"/>
      <c r="EDZ158"/>
      <c r="EEA158"/>
      <c r="EEB158"/>
      <c r="EEC158"/>
      <c r="EED158"/>
      <c r="EEE158"/>
      <c r="EEF158"/>
      <c r="EEG158"/>
      <c r="EEH158"/>
      <c r="EEI158"/>
      <c r="EEJ158"/>
      <c r="EEK158"/>
      <c r="EEL158"/>
      <c r="EEM158"/>
      <c r="EEN158"/>
      <c r="EEO158"/>
      <c r="EEP158"/>
      <c r="EEQ158"/>
      <c r="EER158"/>
      <c r="EES158"/>
      <c r="EET158"/>
      <c r="EEU158"/>
      <c r="EEV158"/>
      <c r="EEW158"/>
      <c r="EEX158"/>
      <c r="EEY158"/>
      <c r="EEZ158"/>
      <c r="EFA158"/>
      <c r="EFB158"/>
      <c r="EFC158"/>
      <c r="EFD158"/>
      <c r="EFE158"/>
      <c r="EFF158"/>
      <c r="EFG158"/>
      <c r="EFH158"/>
      <c r="EFI158"/>
      <c r="EFJ158"/>
      <c r="EFK158"/>
      <c r="EFL158"/>
      <c r="EFM158"/>
      <c r="EFN158"/>
      <c r="EFO158"/>
      <c r="EFP158"/>
      <c r="EFQ158"/>
      <c r="EFR158"/>
      <c r="EFS158"/>
      <c r="EFT158"/>
      <c r="EFU158"/>
      <c r="EFV158"/>
      <c r="EFW158"/>
      <c r="EFX158"/>
      <c r="EFY158"/>
      <c r="EFZ158"/>
      <c r="EGA158"/>
      <c r="EGB158"/>
      <c r="EGC158"/>
      <c r="EGD158"/>
      <c r="EGE158"/>
      <c r="EGF158"/>
      <c r="EGG158"/>
      <c r="EGH158"/>
      <c r="EGI158"/>
      <c r="EGJ158"/>
      <c r="EGK158"/>
      <c r="EGL158"/>
      <c r="EGM158"/>
      <c r="EGN158"/>
      <c r="EGO158"/>
      <c r="EGP158"/>
      <c r="EGQ158"/>
      <c r="EGR158"/>
      <c r="EGS158"/>
      <c r="EGT158"/>
      <c r="EGU158"/>
      <c r="EGV158"/>
      <c r="EGW158"/>
      <c r="EGX158"/>
      <c r="EGY158"/>
      <c r="EGZ158"/>
      <c r="EHA158"/>
      <c r="EHB158"/>
      <c r="EHC158"/>
      <c r="EHD158"/>
      <c r="EHE158"/>
      <c r="EHF158"/>
      <c r="EHG158"/>
      <c r="EHH158"/>
      <c r="EHI158"/>
      <c r="EHJ158"/>
      <c r="EHK158"/>
      <c r="EHL158"/>
      <c r="EHM158"/>
      <c r="EHN158"/>
      <c r="EHO158"/>
      <c r="EHP158"/>
      <c r="EHQ158"/>
      <c r="EHR158"/>
      <c r="EHS158"/>
      <c r="EHT158"/>
      <c r="EHU158"/>
      <c r="EHV158"/>
      <c r="EHW158"/>
      <c r="EHX158"/>
      <c r="EHY158"/>
      <c r="EHZ158"/>
      <c r="EIA158"/>
      <c r="EIB158"/>
      <c r="EIC158"/>
      <c r="EID158"/>
      <c r="EIE158"/>
      <c r="EIF158"/>
      <c r="EIG158"/>
      <c r="EIH158"/>
      <c r="EII158"/>
      <c r="EIJ158"/>
      <c r="EIK158"/>
      <c r="EIL158"/>
      <c r="EIM158"/>
      <c r="EIN158"/>
      <c r="EIO158"/>
      <c r="EIP158"/>
      <c r="EIQ158"/>
      <c r="EIR158"/>
      <c r="EIS158"/>
      <c r="EIT158"/>
      <c r="EIU158"/>
      <c r="EIV158"/>
      <c r="EIW158"/>
      <c r="EIX158"/>
      <c r="EIY158"/>
      <c r="EIZ158"/>
      <c r="EJA158"/>
      <c r="EJB158"/>
      <c r="EJC158"/>
      <c r="EJD158"/>
      <c r="EJE158"/>
      <c r="EJF158"/>
      <c r="EJG158"/>
      <c r="EJH158"/>
      <c r="EJI158"/>
      <c r="EJJ158"/>
      <c r="EJK158"/>
      <c r="EJL158"/>
      <c r="EJM158"/>
      <c r="EJN158"/>
      <c r="EJO158"/>
      <c r="EJP158"/>
      <c r="EJQ158"/>
      <c r="EJR158"/>
      <c r="EJS158"/>
      <c r="EJT158"/>
      <c r="EJU158"/>
      <c r="EJV158"/>
      <c r="EJW158"/>
      <c r="EJX158"/>
      <c r="EJY158"/>
      <c r="EJZ158"/>
      <c r="EKA158"/>
      <c r="EKB158"/>
      <c r="EKC158"/>
      <c r="EKD158"/>
      <c r="EKE158"/>
      <c r="EKF158"/>
      <c r="EKG158"/>
      <c r="EKH158"/>
      <c r="EKI158"/>
      <c r="EKJ158"/>
      <c r="EKK158"/>
      <c r="EKL158"/>
      <c r="EKM158"/>
      <c r="EKN158"/>
      <c r="EKO158"/>
      <c r="EKP158"/>
      <c r="EKQ158"/>
      <c r="EKR158"/>
      <c r="EKS158"/>
      <c r="EKT158"/>
      <c r="EKU158"/>
      <c r="EKV158"/>
      <c r="EKW158"/>
      <c r="EKX158"/>
      <c r="EKY158"/>
      <c r="EKZ158"/>
      <c r="ELA158"/>
      <c r="ELB158"/>
      <c r="ELC158"/>
      <c r="ELD158"/>
      <c r="ELE158"/>
      <c r="ELF158"/>
      <c r="ELG158"/>
      <c r="ELH158"/>
      <c r="ELI158"/>
      <c r="ELJ158"/>
      <c r="ELK158"/>
      <c r="ELL158"/>
      <c r="ELM158"/>
      <c r="ELN158"/>
      <c r="ELO158"/>
      <c r="ELP158"/>
      <c r="ELQ158"/>
      <c r="ELR158"/>
      <c r="ELS158"/>
      <c r="ELT158"/>
      <c r="ELU158"/>
      <c r="ELV158"/>
      <c r="ELW158"/>
      <c r="ELX158"/>
      <c r="ELY158"/>
      <c r="ELZ158"/>
      <c r="EMA158"/>
      <c r="EMB158"/>
      <c r="EMC158"/>
      <c r="EMD158"/>
      <c r="EME158"/>
      <c r="EMF158"/>
      <c r="EMG158"/>
      <c r="EMH158"/>
      <c r="EMI158"/>
      <c r="EMJ158"/>
      <c r="EMK158"/>
      <c r="EML158"/>
      <c r="EMM158"/>
      <c r="EMN158"/>
      <c r="EMO158"/>
      <c r="EMP158"/>
      <c r="EMQ158"/>
      <c r="EMR158"/>
      <c r="EMS158"/>
      <c r="EMT158"/>
      <c r="EMU158"/>
      <c r="EMV158"/>
      <c r="EMW158"/>
      <c r="EMX158"/>
      <c r="EMY158"/>
      <c r="EMZ158"/>
      <c r="ENA158"/>
      <c r="ENB158"/>
      <c r="ENC158"/>
      <c r="END158"/>
      <c r="ENE158"/>
      <c r="ENF158"/>
      <c r="ENG158"/>
      <c r="ENH158"/>
      <c r="ENI158"/>
      <c r="ENJ158"/>
      <c r="ENK158"/>
      <c r="ENL158"/>
      <c r="ENM158"/>
      <c r="ENN158"/>
      <c r="ENO158"/>
      <c r="ENP158"/>
      <c r="ENQ158"/>
      <c r="ENR158"/>
      <c r="ENS158"/>
      <c r="ENT158"/>
      <c r="ENU158"/>
      <c r="ENV158"/>
      <c r="ENW158"/>
      <c r="ENX158"/>
      <c r="ENY158"/>
      <c r="ENZ158"/>
      <c r="EOA158"/>
      <c r="EOB158"/>
      <c r="EOC158"/>
      <c r="EOD158"/>
      <c r="EOE158"/>
      <c r="EOF158"/>
      <c r="EOG158"/>
      <c r="EOH158"/>
      <c r="EOI158"/>
      <c r="EOJ158"/>
      <c r="EOK158"/>
      <c r="EOL158"/>
      <c r="EOM158"/>
      <c r="EON158"/>
      <c r="EOO158"/>
      <c r="EOP158"/>
      <c r="EOQ158"/>
      <c r="EOR158"/>
      <c r="EOS158"/>
      <c r="EOT158"/>
      <c r="EOU158"/>
      <c r="EOV158"/>
      <c r="EOW158"/>
      <c r="EOX158"/>
      <c r="EOY158"/>
      <c r="EOZ158"/>
      <c r="EPA158"/>
      <c r="EPB158"/>
      <c r="EPC158"/>
      <c r="EPD158"/>
      <c r="EPE158"/>
      <c r="EPF158"/>
      <c r="EPG158"/>
      <c r="EPH158"/>
      <c r="EPI158"/>
      <c r="EPJ158"/>
      <c r="EPK158"/>
      <c r="EPL158"/>
      <c r="EPM158"/>
      <c r="EPN158"/>
      <c r="EPO158"/>
      <c r="EPP158"/>
      <c r="EPQ158"/>
      <c r="EPR158"/>
      <c r="EPS158"/>
      <c r="EPT158"/>
      <c r="EPU158"/>
      <c r="EPV158"/>
      <c r="EPW158"/>
      <c r="EPX158"/>
      <c r="EPY158"/>
      <c r="EPZ158"/>
      <c r="EQA158"/>
      <c r="EQB158"/>
      <c r="EQC158"/>
      <c r="EQD158"/>
      <c r="EQE158"/>
      <c r="EQF158"/>
      <c r="EQG158"/>
      <c r="EQH158"/>
      <c r="EQI158"/>
      <c r="EQJ158"/>
      <c r="EQK158"/>
      <c r="EQL158"/>
      <c r="EQM158"/>
      <c r="EQN158"/>
      <c r="EQO158"/>
      <c r="EQP158"/>
      <c r="EQQ158"/>
      <c r="EQR158"/>
      <c r="EQS158"/>
      <c r="EQT158"/>
      <c r="EQU158"/>
      <c r="EQV158"/>
      <c r="EQW158"/>
      <c r="EQX158"/>
      <c r="EQY158"/>
      <c r="EQZ158"/>
      <c r="ERA158"/>
      <c r="ERB158"/>
      <c r="ERC158"/>
      <c r="ERD158"/>
      <c r="ERE158"/>
      <c r="ERF158"/>
      <c r="ERG158"/>
      <c r="ERH158"/>
      <c r="ERI158"/>
      <c r="ERJ158"/>
      <c r="ERK158"/>
      <c r="ERL158"/>
      <c r="ERM158"/>
      <c r="ERN158"/>
      <c r="ERO158"/>
      <c r="ERP158"/>
      <c r="ERQ158"/>
      <c r="ERR158"/>
      <c r="ERS158"/>
      <c r="ERT158"/>
      <c r="ERU158"/>
      <c r="ERV158"/>
      <c r="ERW158"/>
      <c r="ERX158"/>
      <c r="ERY158"/>
      <c r="ERZ158"/>
      <c r="ESA158"/>
      <c r="ESB158"/>
      <c r="ESC158"/>
      <c r="ESD158"/>
      <c r="ESE158"/>
      <c r="ESF158"/>
      <c r="ESG158"/>
      <c r="ESH158"/>
      <c r="ESI158"/>
      <c r="ESJ158"/>
      <c r="ESK158"/>
      <c r="ESL158"/>
      <c r="ESM158"/>
      <c r="ESN158"/>
      <c r="ESO158"/>
      <c r="ESP158"/>
      <c r="ESQ158"/>
      <c r="ESR158"/>
      <c r="ESS158"/>
      <c r="EST158"/>
      <c r="ESU158"/>
      <c r="ESV158"/>
      <c r="ESW158"/>
      <c r="ESX158"/>
      <c r="ESY158"/>
      <c r="ESZ158"/>
      <c r="ETA158"/>
      <c r="ETB158"/>
      <c r="ETC158"/>
      <c r="ETD158"/>
      <c r="ETE158"/>
      <c r="ETF158"/>
      <c r="ETG158"/>
      <c r="ETH158"/>
      <c r="ETI158"/>
      <c r="ETJ158"/>
      <c r="ETK158"/>
      <c r="ETL158"/>
      <c r="ETM158"/>
      <c r="ETN158"/>
      <c r="ETO158"/>
      <c r="ETP158"/>
      <c r="ETQ158"/>
      <c r="ETR158"/>
      <c r="ETS158"/>
      <c r="ETT158"/>
      <c r="ETU158"/>
      <c r="ETV158"/>
      <c r="ETW158"/>
      <c r="ETX158"/>
      <c r="ETY158"/>
      <c r="ETZ158"/>
      <c r="EUA158"/>
      <c r="EUB158"/>
      <c r="EUC158"/>
      <c r="EUD158"/>
      <c r="EUE158"/>
      <c r="EUF158"/>
      <c r="EUG158"/>
      <c r="EUH158"/>
      <c r="EUI158"/>
      <c r="EUJ158"/>
      <c r="EUK158"/>
      <c r="EUL158"/>
      <c r="EUM158"/>
      <c r="EUN158"/>
      <c r="EUO158"/>
      <c r="EUP158"/>
      <c r="EUQ158"/>
      <c r="EUR158"/>
      <c r="EUS158"/>
      <c r="EUT158"/>
      <c r="EUU158"/>
      <c r="EUV158"/>
      <c r="EUW158"/>
      <c r="EUX158"/>
      <c r="EUY158"/>
      <c r="EUZ158"/>
      <c r="EVA158"/>
      <c r="EVB158"/>
      <c r="EVC158"/>
      <c r="EVD158"/>
      <c r="EVE158"/>
      <c r="EVF158"/>
      <c r="EVG158"/>
      <c r="EVH158"/>
      <c r="EVI158"/>
      <c r="EVJ158"/>
      <c r="EVK158"/>
      <c r="EVL158"/>
      <c r="EVM158"/>
      <c r="EVN158"/>
      <c r="EVO158"/>
      <c r="EVP158"/>
      <c r="EVQ158"/>
      <c r="EVR158"/>
      <c r="EVS158"/>
      <c r="EVT158"/>
      <c r="EVU158"/>
      <c r="EVV158"/>
      <c r="EVW158"/>
      <c r="EVX158"/>
      <c r="EVY158"/>
      <c r="EVZ158"/>
      <c r="EWA158"/>
      <c r="EWB158"/>
      <c r="EWC158"/>
      <c r="EWD158"/>
      <c r="EWE158"/>
      <c r="EWF158"/>
      <c r="EWG158"/>
      <c r="EWH158"/>
      <c r="EWI158"/>
      <c r="EWJ158"/>
      <c r="EWK158"/>
      <c r="EWL158"/>
      <c r="EWM158"/>
      <c r="EWN158"/>
      <c r="EWO158"/>
      <c r="EWP158"/>
      <c r="EWQ158"/>
      <c r="EWR158"/>
      <c r="EWS158"/>
      <c r="EWT158"/>
      <c r="EWU158"/>
      <c r="EWV158"/>
      <c r="EWW158"/>
      <c r="EWX158"/>
      <c r="EWY158"/>
      <c r="EWZ158"/>
      <c r="EXA158"/>
      <c r="EXB158"/>
      <c r="EXC158"/>
      <c r="EXD158"/>
      <c r="EXE158"/>
      <c r="EXF158"/>
      <c r="EXG158"/>
      <c r="EXH158"/>
      <c r="EXI158"/>
      <c r="EXJ158"/>
      <c r="EXK158"/>
      <c r="EXL158"/>
      <c r="EXM158"/>
      <c r="EXN158"/>
      <c r="EXO158"/>
      <c r="EXP158"/>
      <c r="EXQ158"/>
      <c r="EXR158"/>
      <c r="EXS158"/>
      <c r="EXT158"/>
      <c r="EXU158"/>
      <c r="EXV158"/>
      <c r="EXW158"/>
      <c r="EXX158"/>
      <c r="EXY158"/>
      <c r="EXZ158"/>
      <c r="EYA158"/>
      <c r="EYB158"/>
      <c r="EYC158"/>
      <c r="EYD158"/>
      <c r="EYE158"/>
      <c r="EYF158"/>
      <c r="EYG158"/>
      <c r="EYH158"/>
      <c r="EYI158"/>
      <c r="EYJ158"/>
      <c r="EYK158"/>
      <c r="EYL158"/>
      <c r="EYM158"/>
      <c r="EYN158"/>
      <c r="EYO158"/>
      <c r="EYP158"/>
      <c r="EYQ158"/>
      <c r="EYR158"/>
      <c r="EYS158"/>
      <c r="EYT158"/>
      <c r="EYU158"/>
      <c r="EYV158"/>
      <c r="EYW158"/>
      <c r="EYX158"/>
      <c r="EYY158"/>
      <c r="EYZ158"/>
      <c r="EZA158"/>
      <c r="EZB158"/>
      <c r="EZC158"/>
      <c r="EZD158"/>
      <c r="EZE158"/>
      <c r="EZF158"/>
      <c r="EZG158"/>
      <c r="EZH158"/>
      <c r="EZI158"/>
      <c r="EZJ158"/>
      <c r="EZK158"/>
      <c r="EZL158"/>
      <c r="EZM158"/>
      <c r="EZN158"/>
      <c r="EZO158"/>
      <c r="EZP158"/>
      <c r="EZQ158"/>
      <c r="EZR158"/>
      <c r="EZS158"/>
      <c r="EZT158"/>
      <c r="EZU158"/>
      <c r="EZV158"/>
      <c r="EZW158"/>
      <c r="EZX158"/>
      <c r="EZY158"/>
      <c r="EZZ158"/>
      <c r="FAA158"/>
      <c r="FAB158"/>
      <c r="FAC158"/>
      <c r="FAD158"/>
      <c r="FAE158"/>
      <c r="FAF158"/>
      <c r="FAG158"/>
      <c r="FAH158"/>
      <c r="FAI158"/>
      <c r="FAJ158"/>
      <c r="FAK158"/>
      <c r="FAL158"/>
      <c r="FAM158"/>
      <c r="FAN158"/>
      <c r="FAO158"/>
      <c r="FAP158"/>
      <c r="FAQ158"/>
      <c r="FAR158"/>
      <c r="FAS158"/>
      <c r="FAT158"/>
      <c r="FAU158"/>
      <c r="FAV158"/>
      <c r="FAW158"/>
      <c r="FAX158"/>
      <c r="FAY158"/>
      <c r="FAZ158"/>
      <c r="FBA158"/>
      <c r="FBB158"/>
      <c r="FBC158"/>
      <c r="FBD158"/>
      <c r="FBE158"/>
      <c r="FBF158"/>
      <c r="FBG158"/>
      <c r="FBH158"/>
      <c r="FBI158"/>
      <c r="FBJ158"/>
      <c r="FBK158"/>
      <c r="FBL158"/>
      <c r="FBM158"/>
      <c r="FBN158"/>
      <c r="FBO158"/>
      <c r="FBP158"/>
      <c r="FBQ158"/>
      <c r="FBR158"/>
      <c r="FBS158"/>
      <c r="FBT158"/>
      <c r="FBU158"/>
      <c r="FBV158"/>
      <c r="FBW158"/>
      <c r="FBX158"/>
      <c r="FBY158"/>
      <c r="FBZ158"/>
      <c r="FCA158"/>
      <c r="FCB158"/>
      <c r="FCC158"/>
      <c r="FCD158"/>
      <c r="FCE158"/>
      <c r="FCF158"/>
      <c r="FCG158"/>
      <c r="FCH158"/>
      <c r="FCI158"/>
      <c r="FCJ158"/>
      <c r="FCK158"/>
      <c r="FCL158"/>
      <c r="FCM158"/>
      <c r="FCN158"/>
      <c r="FCO158"/>
      <c r="FCP158"/>
      <c r="FCQ158"/>
      <c r="FCR158"/>
      <c r="FCS158"/>
      <c r="FCT158"/>
      <c r="FCU158"/>
      <c r="FCV158"/>
      <c r="FCW158"/>
      <c r="FCX158"/>
      <c r="FCY158"/>
      <c r="FCZ158"/>
      <c r="FDA158"/>
      <c r="FDB158"/>
      <c r="FDC158"/>
      <c r="FDD158"/>
      <c r="FDE158"/>
      <c r="FDF158"/>
      <c r="FDG158"/>
      <c r="FDH158"/>
      <c r="FDI158"/>
      <c r="FDJ158"/>
      <c r="FDK158"/>
      <c r="FDL158"/>
      <c r="FDM158"/>
      <c r="FDN158"/>
      <c r="FDO158"/>
      <c r="FDP158"/>
      <c r="FDQ158"/>
      <c r="FDR158"/>
      <c r="FDS158"/>
      <c r="FDT158"/>
      <c r="FDU158"/>
      <c r="FDV158"/>
      <c r="FDW158"/>
      <c r="FDX158"/>
      <c r="FDY158"/>
      <c r="FDZ158"/>
      <c r="FEA158"/>
      <c r="FEB158"/>
      <c r="FEC158"/>
      <c r="FED158"/>
      <c r="FEE158"/>
      <c r="FEF158"/>
      <c r="FEG158"/>
      <c r="FEH158"/>
      <c r="FEI158"/>
      <c r="FEJ158"/>
      <c r="FEK158"/>
      <c r="FEL158"/>
      <c r="FEM158"/>
      <c r="FEN158"/>
      <c r="FEO158"/>
      <c r="FEP158"/>
      <c r="FEQ158"/>
      <c r="FER158"/>
      <c r="FES158"/>
      <c r="FET158"/>
      <c r="FEU158"/>
      <c r="FEV158"/>
      <c r="FEW158"/>
      <c r="FEX158"/>
      <c r="FEY158"/>
      <c r="FEZ158"/>
      <c r="FFA158"/>
      <c r="FFB158"/>
      <c r="FFC158"/>
      <c r="FFD158"/>
      <c r="FFE158"/>
      <c r="FFF158"/>
      <c r="FFG158"/>
      <c r="FFH158"/>
      <c r="FFI158"/>
      <c r="FFJ158"/>
      <c r="FFK158"/>
      <c r="FFL158"/>
      <c r="FFM158"/>
      <c r="FFN158"/>
      <c r="FFO158"/>
      <c r="FFP158"/>
      <c r="FFQ158"/>
      <c r="FFR158"/>
      <c r="FFS158"/>
      <c r="FFT158"/>
      <c r="FFU158"/>
      <c r="FFV158"/>
      <c r="FFW158"/>
      <c r="FFX158"/>
      <c r="FFY158"/>
      <c r="FFZ158"/>
      <c r="FGA158"/>
      <c r="FGB158"/>
      <c r="FGC158"/>
      <c r="FGD158"/>
      <c r="FGE158"/>
      <c r="FGF158"/>
      <c r="FGG158"/>
      <c r="FGH158"/>
      <c r="FGI158"/>
      <c r="FGJ158"/>
      <c r="FGK158"/>
      <c r="FGL158"/>
      <c r="FGM158"/>
      <c r="FGN158"/>
      <c r="FGO158"/>
      <c r="FGP158"/>
      <c r="FGQ158"/>
      <c r="FGR158"/>
      <c r="FGS158"/>
      <c r="FGT158"/>
      <c r="FGU158"/>
      <c r="FGV158"/>
      <c r="FGW158"/>
      <c r="FGX158"/>
      <c r="FGY158"/>
      <c r="FGZ158"/>
      <c r="FHA158"/>
      <c r="FHB158"/>
      <c r="FHC158"/>
      <c r="FHD158"/>
      <c r="FHE158"/>
      <c r="FHF158"/>
      <c r="FHG158"/>
      <c r="FHH158"/>
      <c r="FHI158"/>
      <c r="FHJ158"/>
      <c r="FHK158"/>
      <c r="FHL158"/>
      <c r="FHM158"/>
      <c r="FHN158"/>
      <c r="FHO158"/>
      <c r="FHP158"/>
      <c r="FHQ158"/>
      <c r="FHR158"/>
      <c r="FHS158"/>
      <c r="FHT158"/>
      <c r="FHU158"/>
      <c r="FHV158"/>
      <c r="FHW158"/>
      <c r="FHX158"/>
      <c r="FHY158"/>
      <c r="FHZ158"/>
      <c r="FIA158"/>
      <c r="FIB158"/>
      <c r="FIC158"/>
      <c r="FID158"/>
      <c r="FIE158"/>
      <c r="FIF158"/>
      <c r="FIG158"/>
      <c r="FIH158"/>
      <c r="FII158"/>
      <c r="FIJ158"/>
      <c r="FIK158"/>
      <c r="FIL158"/>
      <c r="FIM158"/>
      <c r="FIN158"/>
      <c r="FIO158"/>
      <c r="FIP158"/>
      <c r="FIQ158"/>
      <c r="FIR158"/>
      <c r="FIS158"/>
      <c r="FIT158"/>
      <c r="FIU158"/>
      <c r="FIV158"/>
      <c r="FIW158"/>
      <c r="FIX158"/>
      <c r="FIY158"/>
      <c r="FIZ158"/>
      <c r="FJA158"/>
      <c r="FJB158"/>
      <c r="FJC158"/>
      <c r="FJD158"/>
      <c r="FJE158"/>
      <c r="FJF158"/>
      <c r="FJG158"/>
      <c r="FJH158"/>
      <c r="FJI158"/>
      <c r="FJJ158"/>
      <c r="FJK158"/>
      <c r="FJL158"/>
      <c r="FJM158"/>
      <c r="FJN158"/>
      <c r="FJO158"/>
      <c r="FJP158"/>
      <c r="FJQ158"/>
      <c r="FJR158"/>
      <c r="FJS158"/>
      <c r="FJT158"/>
      <c r="FJU158"/>
      <c r="FJV158"/>
      <c r="FJW158"/>
      <c r="FJX158"/>
      <c r="FJY158"/>
      <c r="FJZ158"/>
      <c r="FKA158"/>
      <c r="FKB158"/>
      <c r="FKC158"/>
      <c r="FKD158"/>
      <c r="FKE158"/>
      <c r="FKF158"/>
      <c r="FKG158"/>
      <c r="FKH158"/>
      <c r="FKI158"/>
      <c r="FKJ158"/>
      <c r="FKK158"/>
      <c r="FKL158"/>
      <c r="FKM158"/>
      <c r="FKN158"/>
      <c r="FKO158"/>
      <c r="FKP158"/>
      <c r="FKQ158"/>
      <c r="FKR158"/>
      <c r="FKS158"/>
      <c r="FKT158"/>
      <c r="FKU158"/>
      <c r="FKV158"/>
      <c r="FKW158"/>
      <c r="FKX158"/>
      <c r="FKY158"/>
      <c r="FKZ158"/>
      <c r="FLA158"/>
      <c r="FLB158"/>
      <c r="FLC158"/>
      <c r="FLD158"/>
      <c r="FLE158"/>
      <c r="FLF158"/>
      <c r="FLG158"/>
      <c r="FLH158"/>
      <c r="FLI158"/>
      <c r="FLJ158"/>
      <c r="FLK158"/>
      <c r="FLL158"/>
      <c r="FLM158"/>
      <c r="FLN158"/>
      <c r="FLO158"/>
      <c r="FLP158"/>
      <c r="FLQ158"/>
      <c r="FLR158"/>
      <c r="FLS158"/>
      <c r="FLT158"/>
      <c r="FLU158"/>
      <c r="FLV158"/>
      <c r="FLW158"/>
      <c r="FLX158"/>
      <c r="FLY158"/>
      <c r="FLZ158"/>
      <c r="FMA158"/>
      <c r="FMB158"/>
      <c r="FMC158"/>
      <c r="FMD158"/>
      <c r="FME158"/>
      <c r="FMF158"/>
      <c r="FMG158"/>
      <c r="FMH158"/>
      <c r="FMI158"/>
      <c r="FMJ158"/>
      <c r="FMK158"/>
      <c r="FML158"/>
      <c r="FMM158"/>
      <c r="FMN158"/>
      <c r="FMO158"/>
      <c r="FMP158"/>
      <c r="FMQ158"/>
      <c r="FMR158"/>
      <c r="FMS158"/>
      <c r="FMT158"/>
      <c r="FMU158"/>
      <c r="FMV158"/>
      <c r="FMW158"/>
      <c r="FMX158"/>
      <c r="FMY158"/>
      <c r="FMZ158"/>
      <c r="FNA158"/>
      <c r="FNB158"/>
      <c r="FNC158"/>
      <c r="FND158"/>
      <c r="FNE158"/>
      <c r="FNF158"/>
      <c r="FNG158"/>
      <c r="FNH158"/>
      <c r="FNI158"/>
      <c r="FNJ158"/>
      <c r="FNK158"/>
      <c r="FNL158"/>
      <c r="FNM158"/>
      <c r="FNN158"/>
      <c r="FNO158"/>
      <c r="FNP158"/>
      <c r="FNQ158"/>
      <c r="FNR158"/>
      <c r="FNS158"/>
      <c r="FNT158"/>
      <c r="FNU158"/>
      <c r="FNV158"/>
      <c r="FNW158"/>
      <c r="FNX158"/>
      <c r="FNY158"/>
      <c r="FNZ158"/>
      <c r="FOA158"/>
      <c r="FOB158"/>
      <c r="FOC158"/>
      <c r="FOD158"/>
      <c r="FOE158"/>
      <c r="FOF158"/>
      <c r="FOG158"/>
      <c r="FOH158"/>
      <c r="FOI158"/>
      <c r="FOJ158"/>
      <c r="FOK158"/>
      <c r="FOL158"/>
      <c r="FOM158"/>
      <c r="FON158"/>
      <c r="FOO158"/>
      <c r="FOP158"/>
      <c r="FOQ158"/>
      <c r="FOR158"/>
      <c r="FOS158"/>
      <c r="FOT158"/>
      <c r="FOU158"/>
      <c r="FOV158"/>
      <c r="FOW158"/>
      <c r="FOX158"/>
      <c r="FOY158"/>
      <c r="FOZ158"/>
      <c r="FPA158"/>
      <c r="FPB158"/>
      <c r="FPC158"/>
      <c r="FPD158"/>
      <c r="FPE158"/>
      <c r="FPF158"/>
      <c r="FPG158"/>
      <c r="FPH158"/>
      <c r="FPI158"/>
      <c r="FPJ158"/>
      <c r="FPK158"/>
      <c r="FPL158"/>
      <c r="FPM158"/>
      <c r="FPN158"/>
      <c r="FPO158"/>
      <c r="FPP158"/>
      <c r="FPQ158"/>
      <c r="FPR158"/>
      <c r="FPS158"/>
      <c r="FPT158"/>
      <c r="FPU158"/>
      <c r="FPV158"/>
      <c r="FPW158"/>
      <c r="FPX158"/>
      <c r="FPY158"/>
      <c r="FPZ158"/>
      <c r="FQA158"/>
      <c r="FQB158"/>
      <c r="FQC158"/>
      <c r="FQD158"/>
      <c r="FQE158"/>
      <c r="FQF158"/>
      <c r="FQG158"/>
      <c r="FQH158"/>
      <c r="FQI158"/>
      <c r="FQJ158"/>
      <c r="FQK158"/>
      <c r="FQL158"/>
      <c r="FQM158"/>
      <c r="FQN158"/>
      <c r="FQO158"/>
      <c r="FQP158"/>
      <c r="FQQ158"/>
      <c r="FQR158"/>
      <c r="FQS158"/>
      <c r="FQT158"/>
      <c r="FQU158"/>
      <c r="FQV158"/>
      <c r="FQW158"/>
      <c r="FQX158"/>
      <c r="FQY158"/>
      <c r="FQZ158"/>
      <c r="FRA158"/>
      <c r="FRB158"/>
      <c r="FRC158"/>
      <c r="FRD158"/>
      <c r="FRE158"/>
      <c r="FRF158"/>
      <c r="FRG158"/>
      <c r="FRH158"/>
      <c r="FRI158"/>
      <c r="FRJ158"/>
      <c r="FRK158"/>
      <c r="FRL158"/>
      <c r="FRM158"/>
      <c r="FRN158"/>
      <c r="FRO158"/>
      <c r="FRP158"/>
      <c r="FRQ158"/>
      <c r="FRR158"/>
      <c r="FRS158"/>
      <c r="FRT158"/>
      <c r="FRU158"/>
      <c r="FRV158"/>
      <c r="FRW158"/>
      <c r="FRX158"/>
      <c r="FRY158"/>
      <c r="FRZ158"/>
      <c r="FSA158"/>
      <c r="FSB158"/>
      <c r="FSC158"/>
      <c r="FSD158"/>
      <c r="FSE158"/>
      <c r="FSF158"/>
      <c r="FSG158"/>
      <c r="FSH158"/>
      <c r="FSI158"/>
      <c r="FSJ158"/>
      <c r="FSK158"/>
      <c r="FSL158"/>
      <c r="FSM158"/>
      <c r="FSN158"/>
      <c r="FSO158"/>
      <c r="FSP158"/>
      <c r="FSQ158"/>
      <c r="FSR158"/>
      <c r="FSS158"/>
      <c r="FST158"/>
      <c r="FSU158"/>
      <c r="FSV158"/>
      <c r="FSW158"/>
      <c r="FSX158"/>
      <c r="FSY158"/>
      <c r="FSZ158"/>
      <c r="FTA158"/>
      <c r="FTB158"/>
      <c r="FTC158"/>
      <c r="FTD158"/>
      <c r="FTE158"/>
      <c r="FTF158"/>
      <c r="FTG158"/>
      <c r="FTH158"/>
      <c r="FTI158"/>
      <c r="FTJ158"/>
      <c r="FTK158"/>
      <c r="FTL158"/>
      <c r="FTM158"/>
      <c r="FTN158"/>
      <c r="FTO158"/>
      <c r="FTP158"/>
      <c r="FTQ158"/>
      <c r="FTR158"/>
      <c r="FTS158"/>
      <c r="FTT158"/>
      <c r="FTU158"/>
      <c r="FTV158"/>
      <c r="FTW158"/>
      <c r="FTX158"/>
      <c r="FTY158"/>
      <c r="FTZ158"/>
      <c r="FUA158"/>
      <c r="FUB158"/>
      <c r="FUC158"/>
      <c r="FUD158"/>
      <c r="FUE158"/>
      <c r="FUF158"/>
      <c r="FUG158"/>
      <c r="FUH158"/>
      <c r="FUI158"/>
      <c r="FUJ158"/>
      <c r="FUK158"/>
      <c r="FUL158"/>
      <c r="FUM158"/>
      <c r="FUN158"/>
      <c r="FUO158"/>
      <c r="FUP158"/>
      <c r="FUQ158"/>
      <c r="FUR158"/>
      <c r="FUS158"/>
      <c r="FUT158"/>
      <c r="FUU158"/>
      <c r="FUV158"/>
      <c r="FUW158"/>
      <c r="FUX158"/>
      <c r="FUY158"/>
      <c r="FUZ158"/>
      <c r="FVA158"/>
      <c r="FVB158"/>
      <c r="FVC158"/>
      <c r="FVD158"/>
      <c r="FVE158"/>
      <c r="FVF158"/>
      <c r="FVG158"/>
      <c r="FVH158"/>
      <c r="FVI158"/>
      <c r="FVJ158"/>
      <c r="FVK158"/>
      <c r="FVL158"/>
      <c r="FVM158"/>
      <c r="FVN158"/>
      <c r="FVO158"/>
      <c r="FVP158"/>
      <c r="FVQ158"/>
      <c r="FVR158"/>
      <c r="FVS158"/>
      <c r="FVT158"/>
      <c r="FVU158"/>
      <c r="FVV158"/>
      <c r="FVW158"/>
      <c r="FVX158"/>
      <c r="FVY158"/>
      <c r="FVZ158"/>
      <c r="FWA158"/>
      <c r="FWB158"/>
      <c r="FWC158"/>
      <c r="FWD158"/>
      <c r="FWE158"/>
      <c r="FWF158"/>
      <c r="FWG158"/>
      <c r="FWH158"/>
      <c r="FWI158"/>
      <c r="FWJ158"/>
      <c r="FWK158"/>
      <c r="FWL158"/>
      <c r="FWM158"/>
      <c r="FWN158"/>
      <c r="FWO158"/>
      <c r="FWP158"/>
      <c r="FWQ158"/>
      <c r="FWR158"/>
      <c r="FWS158"/>
      <c r="FWT158"/>
      <c r="FWU158"/>
      <c r="FWV158"/>
      <c r="FWW158"/>
      <c r="FWX158"/>
      <c r="FWY158"/>
      <c r="FWZ158"/>
      <c r="FXA158"/>
      <c r="FXB158"/>
      <c r="FXC158"/>
      <c r="FXD158"/>
      <c r="FXE158"/>
      <c r="FXF158"/>
      <c r="FXG158"/>
      <c r="FXH158"/>
      <c r="FXI158"/>
      <c r="FXJ158"/>
      <c r="FXK158"/>
      <c r="FXL158"/>
      <c r="FXM158"/>
      <c r="FXN158"/>
      <c r="FXO158"/>
      <c r="FXP158"/>
      <c r="FXQ158"/>
      <c r="FXR158"/>
      <c r="FXS158"/>
      <c r="FXT158"/>
      <c r="FXU158"/>
      <c r="FXV158"/>
      <c r="FXW158"/>
      <c r="FXX158"/>
      <c r="FXY158"/>
      <c r="FXZ158"/>
      <c r="FYA158"/>
      <c r="FYB158"/>
      <c r="FYC158"/>
      <c r="FYD158"/>
      <c r="FYE158"/>
      <c r="FYF158"/>
      <c r="FYG158"/>
      <c r="FYH158"/>
      <c r="FYI158"/>
      <c r="FYJ158"/>
      <c r="FYK158"/>
      <c r="FYL158"/>
      <c r="FYM158"/>
      <c r="FYN158"/>
      <c r="FYO158"/>
      <c r="FYP158"/>
      <c r="FYQ158"/>
      <c r="FYR158"/>
      <c r="FYS158"/>
      <c r="FYT158"/>
      <c r="FYU158"/>
      <c r="FYV158"/>
      <c r="FYW158"/>
      <c r="FYX158"/>
      <c r="FYY158"/>
      <c r="FYZ158"/>
      <c r="FZA158"/>
      <c r="FZB158"/>
      <c r="FZC158"/>
      <c r="FZD158"/>
      <c r="FZE158"/>
      <c r="FZF158"/>
      <c r="FZG158"/>
      <c r="FZH158"/>
      <c r="FZI158"/>
      <c r="FZJ158"/>
      <c r="FZK158"/>
      <c r="FZL158"/>
      <c r="FZM158"/>
      <c r="FZN158"/>
      <c r="FZO158"/>
      <c r="FZP158"/>
      <c r="FZQ158"/>
      <c r="FZR158"/>
      <c r="FZS158"/>
      <c r="FZT158"/>
      <c r="FZU158"/>
      <c r="FZV158"/>
      <c r="FZW158"/>
      <c r="FZX158"/>
      <c r="FZY158"/>
      <c r="FZZ158"/>
      <c r="GAA158"/>
      <c r="GAB158"/>
      <c r="GAC158"/>
      <c r="GAD158"/>
      <c r="GAE158"/>
      <c r="GAF158"/>
      <c r="GAG158"/>
      <c r="GAH158"/>
      <c r="GAI158"/>
      <c r="GAJ158"/>
      <c r="GAK158"/>
      <c r="GAL158"/>
      <c r="GAM158"/>
      <c r="GAN158"/>
      <c r="GAO158"/>
      <c r="GAP158"/>
      <c r="GAQ158"/>
      <c r="GAR158"/>
      <c r="GAS158"/>
      <c r="GAT158"/>
      <c r="GAU158"/>
      <c r="GAV158"/>
      <c r="GAW158"/>
      <c r="GAX158"/>
      <c r="GAY158"/>
      <c r="GAZ158"/>
      <c r="GBA158"/>
      <c r="GBB158"/>
      <c r="GBC158"/>
      <c r="GBD158"/>
      <c r="GBE158"/>
      <c r="GBF158"/>
      <c r="GBG158"/>
      <c r="GBH158"/>
      <c r="GBI158"/>
      <c r="GBJ158"/>
      <c r="GBK158"/>
      <c r="GBL158"/>
      <c r="GBM158"/>
      <c r="GBN158"/>
      <c r="GBO158"/>
      <c r="GBP158"/>
      <c r="GBQ158"/>
      <c r="GBR158"/>
      <c r="GBS158"/>
      <c r="GBT158"/>
      <c r="GBU158"/>
      <c r="GBV158"/>
      <c r="GBW158"/>
      <c r="GBX158"/>
      <c r="GBY158"/>
      <c r="GBZ158"/>
      <c r="GCA158"/>
      <c r="GCB158"/>
      <c r="GCC158"/>
      <c r="GCD158"/>
      <c r="GCE158"/>
      <c r="GCF158"/>
      <c r="GCG158"/>
      <c r="GCH158"/>
      <c r="GCI158"/>
      <c r="GCJ158"/>
      <c r="GCK158"/>
      <c r="GCL158"/>
      <c r="GCM158"/>
      <c r="GCN158"/>
      <c r="GCO158"/>
      <c r="GCP158"/>
      <c r="GCQ158"/>
      <c r="GCR158"/>
      <c r="GCS158"/>
      <c r="GCT158"/>
      <c r="GCU158"/>
      <c r="GCV158"/>
      <c r="GCW158"/>
      <c r="GCX158"/>
      <c r="GCY158"/>
      <c r="GCZ158"/>
      <c r="GDA158"/>
      <c r="GDB158"/>
      <c r="GDC158"/>
      <c r="GDD158"/>
      <c r="GDE158"/>
      <c r="GDF158"/>
      <c r="GDG158"/>
      <c r="GDH158"/>
      <c r="GDI158"/>
      <c r="GDJ158"/>
      <c r="GDK158"/>
      <c r="GDL158"/>
      <c r="GDM158"/>
      <c r="GDN158"/>
      <c r="GDO158"/>
      <c r="GDP158"/>
      <c r="GDQ158"/>
      <c r="GDR158"/>
      <c r="GDS158"/>
      <c r="GDT158"/>
      <c r="GDU158"/>
      <c r="GDV158"/>
      <c r="GDW158"/>
      <c r="GDX158"/>
      <c r="GDY158"/>
      <c r="GDZ158"/>
      <c r="GEA158"/>
      <c r="GEB158"/>
      <c r="GEC158"/>
      <c r="GED158"/>
      <c r="GEE158"/>
      <c r="GEF158"/>
      <c r="GEG158"/>
      <c r="GEH158"/>
      <c r="GEI158"/>
      <c r="GEJ158"/>
      <c r="GEK158"/>
      <c r="GEL158"/>
      <c r="GEM158"/>
      <c r="GEN158"/>
      <c r="GEO158"/>
      <c r="GEP158"/>
      <c r="GEQ158"/>
      <c r="GER158"/>
      <c r="GES158"/>
      <c r="GET158"/>
      <c r="GEU158"/>
      <c r="GEV158"/>
      <c r="GEW158"/>
      <c r="GEX158"/>
      <c r="GEY158"/>
      <c r="GEZ158"/>
      <c r="GFA158"/>
      <c r="GFB158"/>
      <c r="GFC158"/>
      <c r="GFD158"/>
      <c r="GFE158"/>
      <c r="GFF158"/>
      <c r="GFG158"/>
      <c r="GFH158"/>
      <c r="GFI158"/>
      <c r="GFJ158"/>
      <c r="GFK158"/>
      <c r="GFL158"/>
      <c r="GFM158"/>
      <c r="GFN158"/>
      <c r="GFO158"/>
      <c r="GFP158"/>
      <c r="GFQ158"/>
      <c r="GFR158"/>
      <c r="GFS158"/>
      <c r="GFT158"/>
      <c r="GFU158"/>
      <c r="GFV158"/>
      <c r="GFW158"/>
      <c r="GFX158"/>
      <c r="GFY158"/>
      <c r="GFZ158"/>
      <c r="GGA158"/>
      <c r="GGB158"/>
      <c r="GGC158"/>
      <c r="GGD158"/>
      <c r="GGE158"/>
      <c r="GGF158"/>
      <c r="GGG158"/>
      <c r="GGH158"/>
      <c r="GGI158"/>
      <c r="GGJ158"/>
      <c r="GGK158"/>
      <c r="GGL158"/>
      <c r="GGM158"/>
      <c r="GGN158"/>
      <c r="GGO158"/>
      <c r="GGP158"/>
      <c r="GGQ158"/>
      <c r="GGR158"/>
      <c r="GGS158"/>
      <c r="GGT158"/>
      <c r="GGU158"/>
      <c r="GGV158"/>
      <c r="GGW158"/>
      <c r="GGX158"/>
      <c r="GGY158"/>
      <c r="GGZ158"/>
      <c r="GHA158"/>
      <c r="GHB158"/>
      <c r="GHC158"/>
      <c r="GHD158"/>
      <c r="GHE158"/>
      <c r="GHF158"/>
      <c r="GHG158"/>
      <c r="GHH158"/>
      <c r="GHI158"/>
      <c r="GHJ158"/>
      <c r="GHK158"/>
      <c r="GHL158"/>
      <c r="GHM158"/>
      <c r="GHN158"/>
      <c r="GHO158"/>
      <c r="GHP158"/>
      <c r="GHQ158"/>
      <c r="GHR158"/>
      <c r="GHS158"/>
      <c r="GHT158"/>
      <c r="GHU158"/>
      <c r="GHV158"/>
      <c r="GHW158"/>
      <c r="GHX158"/>
      <c r="GHY158"/>
      <c r="GHZ158"/>
      <c r="GIA158"/>
      <c r="GIB158"/>
      <c r="GIC158"/>
      <c r="GID158"/>
      <c r="GIE158"/>
      <c r="GIF158"/>
      <c r="GIG158"/>
      <c r="GIH158"/>
      <c r="GII158"/>
      <c r="GIJ158"/>
      <c r="GIK158"/>
      <c r="GIL158"/>
      <c r="GIM158"/>
      <c r="GIN158"/>
      <c r="GIO158"/>
      <c r="GIP158"/>
      <c r="GIQ158"/>
      <c r="GIR158"/>
      <c r="GIS158"/>
      <c r="GIT158"/>
      <c r="GIU158"/>
      <c r="GIV158"/>
      <c r="GIW158"/>
      <c r="GIX158"/>
      <c r="GIY158"/>
      <c r="GIZ158"/>
      <c r="GJA158"/>
      <c r="GJB158"/>
      <c r="GJC158"/>
      <c r="GJD158"/>
      <c r="GJE158"/>
      <c r="GJF158"/>
      <c r="GJG158"/>
      <c r="GJH158"/>
      <c r="GJI158"/>
      <c r="GJJ158"/>
      <c r="GJK158"/>
      <c r="GJL158"/>
      <c r="GJM158"/>
      <c r="GJN158"/>
      <c r="GJO158"/>
      <c r="GJP158"/>
      <c r="GJQ158"/>
      <c r="GJR158"/>
      <c r="GJS158"/>
      <c r="GJT158"/>
      <c r="GJU158"/>
      <c r="GJV158"/>
      <c r="GJW158"/>
      <c r="GJX158"/>
      <c r="GJY158"/>
      <c r="GJZ158"/>
      <c r="GKA158"/>
      <c r="GKB158"/>
      <c r="GKC158"/>
      <c r="GKD158"/>
      <c r="GKE158"/>
      <c r="GKF158"/>
      <c r="GKG158"/>
      <c r="GKH158"/>
      <c r="GKI158"/>
      <c r="GKJ158"/>
      <c r="GKK158"/>
      <c r="GKL158"/>
      <c r="GKM158"/>
      <c r="GKN158"/>
      <c r="GKO158"/>
      <c r="GKP158"/>
      <c r="GKQ158"/>
      <c r="GKR158"/>
      <c r="GKS158"/>
      <c r="GKT158"/>
      <c r="GKU158"/>
      <c r="GKV158"/>
      <c r="GKW158"/>
      <c r="GKX158"/>
      <c r="GKY158"/>
      <c r="GKZ158"/>
      <c r="GLA158"/>
      <c r="GLB158"/>
      <c r="GLC158"/>
      <c r="GLD158"/>
      <c r="GLE158"/>
      <c r="GLF158"/>
      <c r="GLG158"/>
      <c r="GLH158"/>
      <c r="GLI158"/>
      <c r="GLJ158"/>
      <c r="GLK158"/>
      <c r="GLL158"/>
      <c r="GLM158"/>
      <c r="GLN158"/>
      <c r="GLO158"/>
      <c r="GLP158"/>
      <c r="GLQ158"/>
      <c r="GLR158"/>
      <c r="GLS158"/>
      <c r="GLT158"/>
      <c r="GLU158"/>
      <c r="GLV158"/>
      <c r="GLW158"/>
      <c r="GLX158"/>
      <c r="GLY158"/>
      <c r="GLZ158"/>
      <c r="GMA158"/>
      <c r="GMB158"/>
      <c r="GMC158"/>
      <c r="GMD158"/>
      <c r="GME158"/>
      <c r="GMF158"/>
      <c r="GMG158"/>
      <c r="GMH158"/>
      <c r="GMI158"/>
      <c r="GMJ158"/>
      <c r="GMK158"/>
      <c r="GML158"/>
      <c r="GMM158"/>
      <c r="GMN158"/>
      <c r="GMO158"/>
      <c r="GMP158"/>
      <c r="GMQ158"/>
      <c r="GMR158"/>
      <c r="GMS158"/>
      <c r="GMT158"/>
      <c r="GMU158"/>
      <c r="GMV158"/>
      <c r="GMW158"/>
      <c r="GMX158"/>
      <c r="GMY158"/>
      <c r="GMZ158"/>
      <c r="GNA158"/>
      <c r="GNB158"/>
      <c r="GNC158"/>
      <c r="GND158"/>
      <c r="GNE158"/>
      <c r="GNF158"/>
      <c r="GNG158"/>
      <c r="GNH158"/>
      <c r="GNI158"/>
      <c r="GNJ158"/>
      <c r="GNK158"/>
      <c r="GNL158"/>
      <c r="GNM158"/>
      <c r="GNN158"/>
      <c r="GNO158"/>
      <c r="GNP158"/>
      <c r="GNQ158"/>
      <c r="GNR158"/>
      <c r="GNS158"/>
      <c r="GNT158"/>
      <c r="GNU158"/>
      <c r="GNV158"/>
      <c r="GNW158"/>
      <c r="GNX158"/>
      <c r="GNY158"/>
      <c r="GNZ158"/>
      <c r="GOA158"/>
      <c r="GOB158"/>
      <c r="GOC158"/>
      <c r="GOD158"/>
      <c r="GOE158"/>
      <c r="GOF158"/>
      <c r="GOG158"/>
      <c r="GOH158"/>
      <c r="GOI158"/>
      <c r="GOJ158"/>
      <c r="GOK158"/>
      <c r="GOL158"/>
      <c r="GOM158"/>
      <c r="GON158"/>
      <c r="GOO158"/>
      <c r="GOP158"/>
      <c r="GOQ158"/>
      <c r="GOR158"/>
      <c r="GOS158"/>
      <c r="GOT158"/>
      <c r="GOU158"/>
      <c r="GOV158"/>
      <c r="GOW158"/>
      <c r="GOX158"/>
      <c r="GOY158"/>
      <c r="GOZ158"/>
      <c r="GPA158"/>
      <c r="GPB158"/>
      <c r="GPC158"/>
      <c r="GPD158"/>
      <c r="GPE158"/>
      <c r="GPF158"/>
      <c r="GPG158"/>
      <c r="GPH158"/>
      <c r="GPI158"/>
      <c r="GPJ158"/>
      <c r="GPK158"/>
      <c r="GPL158"/>
      <c r="GPM158"/>
      <c r="GPN158"/>
      <c r="GPO158"/>
      <c r="GPP158"/>
      <c r="GPQ158"/>
      <c r="GPR158"/>
      <c r="GPS158"/>
      <c r="GPT158"/>
      <c r="GPU158"/>
      <c r="GPV158"/>
      <c r="GPW158"/>
      <c r="GPX158"/>
      <c r="GPY158"/>
      <c r="GPZ158"/>
      <c r="GQA158"/>
      <c r="GQB158"/>
      <c r="GQC158"/>
      <c r="GQD158"/>
      <c r="GQE158"/>
      <c r="GQF158"/>
      <c r="GQG158"/>
      <c r="GQH158"/>
      <c r="GQI158"/>
      <c r="GQJ158"/>
      <c r="GQK158"/>
      <c r="GQL158"/>
      <c r="GQM158"/>
      <c r="GQN158"/>
      <c r="GQO158"/>
      <c r="GQP158"/>
      <c r="GQQ158"/>
      <c r="GQR158"/>
      <c r="GQS158"/>
      <c r="GQT158"/>
      <c r="GQU158"/>
      <c r="GQV158"/>
      <c r="GQW158"/>
      <c r="GQX158"/>
      <c r="GQY158"/>
      <c r="GQZ158"/>
      <c r="GRA158"/>
      <c r="GRB158"/>
      <c r="GRC158"/>
      <c r="GRD158"/>
      <c r="GRE158"/>
      <c r="GRF158"/>
      <c r="GRG158"/>
      <c r="GRH158"/>
      <c r="GRI158"/>
      <c r="GRJ158"/>
      <c r="GRK158"/>
      <c r="GRL158"/>
      <c r="GRM158"/>
      <c r="GRN158"/>
      <c r="GRO158"/>
      <c r="GRP158"/>
      <c r="GRQ158"/>
      <c r="GRR158"/>
      <c r="GRS158"/>
      <c r="GRT158"/>
      <c r="GRU158"/>
      <c r="GRV158"/>
      <c r="GRW158"/>
      <c r="GRX158"/>
      <c r="GRY158"/>
      <c r="GRZ158"/>
      <c r="GSA158"/>
      <c r="GSB158"/>
      <c r="GSC158"/>
      <c r="GSD158"/>
      <c r="GSE158"/>
      <c r="GSF158"/>
      <c r="GSG158"/>
      <c r="GSH158"/>
      <c r="GSI158"/>
      <c r="GSJ158"/>
      <c r="GSK158"/>
      <c r="GSL158"/>
      <c r="GSM158"/>
      <c r="GSN158"/>
      <c r="GSO158"/>
      <c r="GSP158"/>
      <c r="GSQ158"/>
      <c r="GSR158"/>
      <c r="GSS158"/>
      <c r="GST158"/>
      <c r="GSU158"/>
      <c r="GSV158"/>
      <c r="GSW158"/>
      <c r="GSX158"/>
      <c r="GSY158"/>
      <c r="GSZ158"/>
      <c r="GTA158"/>
      <c r="GTB158"/>
      <c r="GTC158"/>
      <c r="GTD158"/>
      <c r="GTE158"/>
      <c r="GTF158"/>
      <c r="GTG158"/>
      <c r="GTH158"/>
      <c r="GTI158"/>
      <c r="GTJ158"/>
      <c r="GTK158"/>
      <c r="GTL158"/>
      <c r="GTM158"/>
      <c r="GTN158"/>
      <c r="GTO158"/>
      <c r="GTP158"/>
      <c r="GTQ158"/>
      <c r="GTR158"/>
      <c r="GTS158"/>
      <c r="GTT158"/>
      <c r="GTU158"/>
      <c r="GTV158"/>
      <c r="GTW158"/>
      <c r="GTX158"/>
      <c r="GTY158"/>
      <c r="GTZ158"/>
      <c r="GUA158"/>
      <c r="GUB158"/>
      <c r="GUC158"/>
      <c r="GUD158"/>
      <c r="GUE158"/>
      <c r="GUF158"/>
      <c r="GUG158"/>
      <c r="GUH158"/>
      <c r="GUI158"/>
      <c r="GUJ158"/>
      <c r="GUK158"/>
      <c r="GUL158"/>
      <c r="GUM158"/>
      <c r="GUN158"/>
      <c r="GUO158"/>
      <c r="GUP158"/>
      <c r="GUQ158"/>
      <c r="GUR158"/>
      <c r="GUS158"/>
      <c r="GUT158"/>
      <c r="GUU158"/>
      <c r="GUV158"/>
      <c r="GUW158"/>
      <c r="GUX158"/>
      <c r="GUY158"/>
      <c r="GUZ158"/>
      <c r="GVA158"/>
      <c r="GVB158"/>
      <c r="GVC158"/>
      <c r="GVD158"/>
      <c r="GVE158"/>
      <c r="GVF158"/>
      <c r="GVG158"/>
      <c r="GVH158"/>
      <c r="GVI158"/>
      <c r="GVJ158"/>
      <c r="GVK158"/>
      <c r="GVL158"/>
      <c r="GVM158"/>
      <c r="GVN158"/>
      <c r="GVO158"/>
      <c r="GVP158"/>
      <c r="GVQ158"/>
      <c r="GVR158"/>
      <c r="GVS158"/>
      <c r="GVT158"/>
      <c r="GVU158"/>
      <c r="GVV158"/>
      <c r="GVW158"/>
      <c r="GVX158"/>
      <c r="GVY158"/>
      <c r="GVZ158"/>
      <c r="GWA158"/>
      <c r="GWB158"/>
      <c r="GWC158"/>
      <c r="GWD158"/>
      <c r="GWE158"/>
      <c r="GWF158"/>
      <c r="GWG158"/>
      <c r="GWH158"/>
      <c r="GWI158"/>
      <c r="GWJ158"/>
      <c r="GWK158"/>
      <c r="GWL158"/>
      <c r="GWM158"/>
      <c r="GWN158"/>
      <c r="GWO158"/>
      <c r="GWP158"/>
      <c r="GWQ158"/>
      <c r="GWR158"/>
      <c r="GWS158"/>
      <c r="GWT158"/>
      <c r="GWU158"/>
      <c r="GWV158"/>
      <c r="GWW158"/>
      <c r="GWX158"/>
      <c r="GWY158"/>
      <c r="GWZ158"/>
      <c r="GXA158"/>
      <c r="GXB158"/>
      <c r="GXC158"/>
      <c r="GXD158"/>
      <c r="GXE158"/>
      <c r="GXF158"/>
      <c r="GXG158"/>
      <c r="GXH158"/>
      <c r="GXI158"/>
      <c r="GXJ158"/>
      <c r="GXK158"/>
      <c r="GXL158"/>
      <c r="GXM158"/>
      <c r="GXN158"/>
      <c r="GXO158"/>
      <c r="GXP158"/>
      <c r="GXQ158"/>
      <c r="GXR158"/>
      <c r="GXS158"/>
      <c r="GXT158"/>
      <c r="GXU158"/>
      <c r="GXV158"/>
      <c r="GXW158"/>
      <c r="GXX158"/>
      <c r="GXY158"/>
      <c r="GXZ158"/>
      <c r="GYA158"/>
      <c r="GYB158"/>
      <c r="GYC158"/>
      <c r="GYD158"/>
      <c r="GYE158"/>
      <c r="GYF158"/>
      <c r="GYG158"/>
      <c r="GYH158"/>
      <c r="GYI158"/>
      <c r="GYJ158"/>
      <c r="GYK158"/>
      <c r="GYL158"/>
      <c r="GYM158"/>
      <c r="GYN158"/>
      <c r="GYO158"/>
      <c r="GYP158"/>
      <c r="GYQ158"/>
      <c r="GYR158"/>
      <c r="GYS158"/>
      <c r="GYT158"/>
      <c r="GYU158"/>
      <c r="GYV158"/>
      <c r="GYW158"/>
      <c r="GYX158"/>
      <c r="GYY158"/>
      <c r="GYZ158"/>
      <c r="GZA158"/>
      <c r="GZB158"/>
      <c r="GZC158"/>
      <c r="GZD158"/>
      <c r="GZE158"/>
      <c r="GZF158"/>
      <c r="GZG158"/>
      <c r="GZH158"/>
      <c r="GZI158"/>
      <c r="GZJ158"/>
      <c r="GZK158"/>
      <c r="GZL158"/>
      <c r="GZM158"/>
      <c r="GZN158"/>
      <c r="GZO158"/>
      <c r="GZP158"/>
      <c r="GZQ158"/>
      <c r="GZR158"/>
      <c r="GZS158"/>
      <c r="GZT158"/>
      <c r="GZU158"/>
      <c r="GZV158"/>
      <c r="GZW158"/>
      <c r="GZX158"/>
      <c r="GZY158"/>
      <c r="GZZ158"/>
      <c r="HAA158"/>
      <c r="HAB158"/>
      <c r="HAC158"/>
      <c r="HAD158"/>
      <c r="HAE158"/>
      <c r="HAF158"/>
      <c r="HAG158"/>
      <c r="HAH158"/>
      <c r="HAI158"/>
      <c r="HAJ158"/>
      <c r="HAK158"/>
      <c r="HAL158"/>
      <c r="HAM158"/>
      <c r="HAN158"/>
      <c r="HAO158"/>
      <c r="HAP158"/>
      <c r="HAQ158"/>
      <c r="HAR158"/>
      <c r="HAS158"/>
      <c r="HAT158"/>
      <c r="HAU158"/>
      <c r="HAV158"/>
      <c r="HAW158"/>
      <c r="HAX158"/>
      <c r="HAY158"/>
      <c r="HAZ158"/>
      <c r="HBA158"/>
      <c r="HBB158"/>
      <c r="HBC158"/>
      <c r="HBD158"/>
      <c r="HBE158"/>
      <c r="HBF158"/>
      <c r="HBG158"/>
      <c r="HBH158"/>
      <c r="HBI158"/>
      <c r="HBJ158"/>
      <c r="HBK158"/>
      <c r="HBL158"/>
      <c r="HBM158"/>
      <c r="HBN158"/>
      <c r="HBO158"/>
      <c r="HBP158"/>
      <c r="HBQ158"/>
      <c r="HBR158"/>
      <c r="HBS158"/>
      <c r="HBT158"/>
      <c r="HBU158"/>
      <c r="HBV158"/>
      <c r="HBW158"/>
      <c r="HBX158"/>
      <c r="HBY158"/>
      <c r="HBZ158"/>
      <c r="HCA158"/>
      <c r="HCB158"/>
      <c r="HCC158"/>
      <c r="HCD158"/>
      <c r="HCE158"/>
      <c r="HCF158"/>
      <c r="HCG158"/>
      <c r="HCH158"/>
      <c r="HCI158"/>
      <c r="HCJ158"/>
      <c r="HCK158"/>
      <c r="HCL158"/>
      <c r="HCM158"/>
      <c r="HCN158"/>
      <c r="HCO158"/>
      <c r="HCP158"/>
      <c r="HCQ158"/>
      <c r="HCR158"/>
      <c r="HCS158"/>
      <c r="HCT158"/>
      <c r="HCU158"/>
      <c r="HCV158"/>
      <c r="HCW158"/>
      <c r="HCX158"/>
      <c r="HCY158"/>
      <c r="HCZ158"/>
      <c r="HDA158"/>
      <c r="HDB158"/>
      <c r="HDC158"/>
      <c r="HDD158"/>
      <c r="HDE158"/>
      <c r="HDF158"/>
      <c r="HDG158"/>
      <c r="HDH158"/>
      <c r="HDI158"/>
      <c r="HDJ158"/>
      <c r="HDK158"/>
      <c r="HDL158"/>
      <c r="HDM158"/>
      <c r="HDN158"/>
      <c r="HDO158"/>
      <c r="HDP158"/>
      <c r="HDQ158"/>
      <c r="HDR158"/>
      <c r="HDS158"/>
      <c r="HDT158"/>
      <c r="HDU158"/>
      <c r="HDV158"/>
      <c r="HDW158"/>
      <c r="HDX158"/>
      <c r="HDY158"/>
      <c r="HDZ158"/>
      <c r="HEA158"/>
      <c r="HEB158"/>
      <c r="HEC158"/>
      <c r="HED158"/>
      <c r="HEE158"/>
      <c r="HEF158"/>
      <c r="HEG158"/>
      <c r="HEH158"/>
      <c r="HEI158"/>
      <c r="HEJ158"/>
      <c r="HEK158"/>
      <c r="HEL158"/>
      <c r="HEM158"/>
      <c r="HEN158"/>
      <c r="HEO158"/>
      <c r="HEP158"/>
      <c r="HEQ158"/>
      <c r="HER158"/>
      <c r="HES158"/>
      <c r="HET158"/>
      <c r="HEU158"/>
      <c r="HEV158"/>
      <c r="HEW158"/>
      <c r="HEX158"/>
      <c r="HEY158"/>
      <c r="HEZ158"/>
      <c r="HFA158"/>
      <c r="HFB158"/>
      <c r="HFC158"/>
      <c r="HFD158"/>
      <c r="HFE158"/>
      <c r="HFF158"/>
      <c r="HFG158"/>
      <c r="HFH158"/>
      <c r="HFI158"/>
      <c r="HFJ158"/>
      <c r="HFK158"/>
      <c r="HFL158"/>
      <c r="HFM158"/>
      <c r="HFN158"/>
      <c r="HFO158"/>
      <c r="HFP158"/>
      <c r="HFQ158"/>
      <c r="HFR158"/>
      <c r="HFS158"/>
      <c r="HFT158"/>
      <c r="HFU158"/>
      <c r="HFV158"/>
      <c r="HFW158"/>
      <c r="HFX158"/>
      <c r="HFY158"/>
      <c r="HFZ158"/>
      <c r="HGA158"/>
      <c r="HGB158"/>
      <c r="HGC158"/>
      <c r="HGD158"/>
      <c r="HGE158"/>
      <c r="HGF158"/>
      <c r="HGG158"/>
      <c r="HGH158"/>
      <c r="HGI158"/>
      <c r="HGJ158"/>
      <c r="HGK158"/>
      <c r="HGL158"/>
      <c r="HGM158"/>
      <c r="HGN158"/>
      <c r="HGO158"/>
      <c r="HGP158"/>
      <c r="HGQ158"/>
      <c r="HGR158"/>
      <c r="HGS158"/>
      <c r="HGT158"/>
      <c r="HGU158"/>
      <c r="HGV158"/>
      <c r="HGW158"/>
      <c r="HGX158"/>
      <c r="HGY158"/>
      <c r="HGZ158"/>
      <c r="HHA158"/>
      <c r="HHB158"/>
      <c r="HHC158"/>
      <c r="HHD158"/>
      <c r="HHE158"/>
      <c r="HHF158"/>
      <c r="HHG158"/>
      <c r="HHH158"/>
      <c r="HHI158"/>
      <c r="HHJ158"/>
      <c r="HHK158"/>
      <c r="HHL158"/>
      <c r="HHM158"/>
      <c r="HHN158"/>
      <c r="HHO158"/>
      <c r="HHP158"/>
      <c r="HHQ158"/>
      <c r="HHR158"/>
      <c r="HHS158"/>
      <c r="HHT158"/>
      <c r="HHU158"/>
      <c r="HHV158"/>
      <c r="HHW158"/>
      <c r="HHX158"/>
      <c r="HHY158"/>
      <c r="HHZ158"/>
      <c r="HIA158"/>
      <c r="HIB158"/>
      <c r="HIC158"/>
      <c r="HID158"/>
      <c r="HIE158"/>
      <c r="HIF158"/>
      <c r="HIG158"/>
      <c r="HIH158"/>
      <c r="HII158"/>
      <c r="HIJ158"/>
      <c r="HIK158"/>
      <c r="HIL158"/>
      <c r="HIM158"/>
      <c r="HIN158"/>
      <c r="HIO158"/>
      <c r="HIP158"/>
      <c r="HIQ158"/>
      <c r="HIR158"/>
      <c r="HIS158"/>
      <c r="HIT158"/>
      <c r="HIU158"/>
      <c r="HIV158"/>
      <c r="HIW158"/>
      <c r="HIX158"/>
      <c r="HIY158"/>
      <c r="HIZ158"/>
      <c r="HJA158"/>
      <c r="HJB158"/>
      <c r="HJC158"/>
      <c r="HJD158"/>
      <c r="HJE158"/>
      <c r="HJF158"/>
      <c r="HJG158"/>
      <c r="HJH158"/>
      <c r="HJI158"/>
      <c r="HJJ158"/>
      <c r="HJK158"/>
      <c r="HJL158"/>
      <c r="HJM158"/>
      <c r="HJN158"/>
      <c r="HJO158"/>
      <c r="HJP158"/>
      <c r="HJQ158"/>
      <c r="HJR158"/>
      <c r="HJS158"/>
      <c r="HJT158"/>
      <c r="HJU158"/>
      <c r="HJV158"/>
      <c r="HJW158"/>
      <c r="HJX158"/>
      <c r="HJY158"/>
      <c r="HJZ158"/>
      <c r="HKA158"/>
      <c r="HKB158"/>
      <c r="HKC158"/>
      <c r="HKD158"/>
      <c r="HKE158"/>
      <c r="HKF158"/>
      <c r="HKG158"/>
      <c r="HKH158"/>
      <c r="HKI158"/>
      <c r="HKJ158"/>
      <c r="HKK158"/>
      <c r="HKL158"/>
      <c r="HKM158"/>
      <c r="HKN158"/>
      <c r="HKO158"/>
      <c r="HKP158"/>
      <c r="HKQ158"/>
      <c r="HKR158"/>
      <c r="HKS158"/>
      <c r="HKT158"/>
      <c r="HKU158"/>
      <c r="HKV158"/>
      <c r="HKW158"/>
      <c r="HKX158"/>
      <c r="HKY158"/>
      <c r="HKZ158"/>
      <c r="HLA158"/>
      <c r="HLB158"/>
      <c r="HLC158"/>
      <c r="HLD158"/>
      <c r="HLE158"/>
      <c r="HLF158"/>
      <c r="HLG158"/>
      <c r="HLH158"/>
      <c r="HLI158"/>
      <c r="HLJ158"/>
      <c r="HLK158"/>
      <c r="HLL158"/>
      <c r="HLM158"/>
      <c r="HLN158"/>
      <c r="HLO158"/>
      <c r="HLP158"/>
      <c r="HLQ158"/>
      <c r="HLR158"/>
      <c r="HLS158"/>
      <c r="HLT158"/>
      <c r="HLU158"/>
      <c r="HLV158"/>
      <c r="HLW158"/>
      <c r="HLX158"/>
      <c r="HLY158"/>
      <c r="HLZ158"/>
      <c r="HMA158"/>
      <c r="HMB158"/>
      <c r="HMC158"/>
      <c r="HMD158"/>
      <c r="HME158"/>
      <c r="HMF158"/>
      <c r="HMG158"/>
      <c r="HMH158"/>
      <c r="HMI158"/>
      <c r="HMJ158"/>
      <c r="HMK158"/>
      <c r="HML158"/>
      <c r="HMM158"/>
      <c r="HMN158"/>
      <c r="HMO158"/>
      <c r="HMP158"/>
      <c r="HMQ158"/>
      <c r="HMR158"/>
      <c r="HMS158"/>
      <c r="HMT158"/>
      <c r="HMU158"/>
      <c r="HMV158"/>
      <c r="HMW158"/>
      <c r="HMX158"/>
      <c r="HMY158"/>
      <c r="HMZ158"/>
      <c r="HNA158"/>
      <c r="HNB158"/>
      <c r="HNC158"/>
      <c r="HND158"/>
      <c r="HNE158"/>
      <c r="HNF158"/>
      <c r="HNG158"/>
      <c r="HNH158"/>
      <c r="HNI158"/>
      <c r="HNJ158"/>
      <c r="HNK158"/>
      <c r="HNL158"/>
      <c r="HNM158"/>
      <c r="HNN158"/>
      <c r="HNO158"/>
      <c r="HNP158"/>
      <c r="HNQ158"/>
      <c r="HNR158"/>
      <c r="HNS158"/>
      <c r="HNT158"/>
      <c r="HNU158"/>
      <c r="HNV158"/>
      <c r="HNW158"/>
      <c r="HNX158"/>
      <c r="HNY158"/>
      <c r="HNZ158"/>
      <c r="HOA158"/>
      <c r="HOB158"/>
      <c r="HOC158"/>
      <c r="HOD158"/>
      <c r="HOE158"/>
      <c r="HOF158"/>
      <c r="HOG158"/>
      <c r="HOH158"/>
      <c r="HOI158"/>
      <c r="HOJ158"/>
      <c r="HOK158"/>
      <c r="HOL158"/>
      <c r="HOM158"/>
      <c r="HON158"/>
      <c r="HOO158"/>
      <c r="HOP158"/>
      <c r="HOQ158"/>
      <c r="HOR158"/>
      <c r="HOS158"/>
      <c r="HOT158"/>
      <c r="HOU158"/>
      <c r="HOV158"/>
      <c r="HOW158"/>
      <c r="HOX158"/>
      <c r="HOY158"/>
      <c r="HOZ158"/>
      <c r="HPA158"/>
      <c r="HPB158"/>
      <c r="HPC158"/>
      <c r="HPD158"/>
      <c r="HPE158"/>
      <c r="HPF158"/>
      <c r="HPG158"/>
      <c r="HPH158"/>
      <c r="HPI158"/>
      <c r="HPJ158"/>
      <c r="HPK158"/>
      <c r="HPL158"/>
      <c r="HPM158"/>
      <c r="HPN158"/>
      <c r="HPO158"/>
      <c r="HPP158"/>
      <c r="HPQ158"/>
      <c r="HPR158"/>
      <c r="HPS158"/>
      <c r="HPT158"/>
      <c r="HPU158"/>
      <c r="HPV158"/>
      <c r="HPW158"/>
      <c r="HPX158"/>
      <c r="HPY158"/>
      <c r="HPZ158"/>
      <c r="HQA158"/>
      <c r="HQB158"/>
      <c r="HQC158"/>
      <c r="HQD158"/>
      <c r="HQE158"/>
      <c r="HQF158"/>
      <c r="HQG158"/>
      <c r="HQH158"/>
      <c r="HQI158"/>
      <c r="HQJ158"/>
      <c r="HQK158"/>
      <c r="HQL158"/>
      <c r="HQM158"/>
      <c r="HQN158"/>
      <c r="HQO158"/>
      <c r="HQP158"/>
      <c r="HQQ158"/>
      <c r="HQR158"/>
      <c r="HQS158"/>
      <c r="HQT158"/>
      <c r="HQU158"/>
      <c r="HQV158"/>
      <c r="HQW158"/>
      <c r="HQX158"/>
      <c r="HQY158"/>
      <c r="HQZ158"/>
      <c r="HRA158"/>
      <c r="HRB158"/>
      <c r="HRC158"/>
      <c r="HRD158"/>
      <c r="HRE158"/>
      <c r="HRF158"/>
      <c r="HRG158"/>
      <c r="HRH158"/>
      <c r="HRI158"/>
      <c r="HRJ158"/>
      <c r="HRK158"/>
      <c r="HRL158"/>
      <c r="HRM158"/>
      <c r="HRN158"/>
      <c r="HRO158"/>
      <c r="HRP158"/>
      <c r="HRQ158"/>
      <c r="HRR158"/>
      <c r="HRS158"/>
      <c r="HRT158"/>
      <c r="HRU158"/>
      <c r="HRV158"/>
      <c r="HRW158"/>
      <c r="HRX158"/>
      <c r="HRY158"/>
      <c r="HRZ158"/>
      <c r="HSA158"/>
      <c r="HSB158"/>
      <c r="HSC158"/>
      <c r="HSD158"/>
      <c r="HSE158"/>
      <c r="HSF158"/>
      <c r="HSG158"/>
      <c r="HSH158"/>
      <c r="HSI158"/>
      <c r="HSJ158"/>
      <c r="HSK158"/>
      <c r="HSL158"/>
      <c r="HSM158"/>
      <c r="HSN158"/>
      <c r="HSO158"/>
      <c r="HSP158"/>
      <c r="HSQ158"/>
      <c r="HSR158"/>
      <c r="HSS158"/>
      <c r="HST158"/>
      <c r="HSU158"/>
      <c r="HSV158"/>
      <c r="HSW158"/>
      <c r="HSX158"/>
      <c r="HSY158"/>
      <c r="HSZ158"/>
      <c r="HTA158"/>
      <c r="HTB158"/>
      <c r="HTC158"/>
      <c r="HTD158"/>
      <c r="HTE158"/>
      <c r="HTF158"/>
      <c r="HTG158"/>
      <c r="HTH158"/>
      <c r="HTI158"/>
      <c r="HTJ158"/>
      <c r="HTK158"/>
      <c r="HTL158"/>
      <c r="HTM158"/>
      <c r="HTN158"/>
      <c r="HTO158"/>
      <c r="HTP158"/>
      <c r="HTQ158"/>
      <c r="HTR158"/>
      <c r="HTS158"/>
      <c r="HTT158"/>
      <c r="HTU158"/>
      <c r="HTV158"/>
      <c r="HTW158"/>
      <c r="HTX158"/>
      <c r="HTY158"/>
      <c r="HTZ158"/>
      <c r="HUA158"/>
      <c r="HUB158"/>
      <c r="HUC158"/>
      <c r="HUD158"/>
      <c r="HUE158"/>
      <c r="HUF158"/>
      <c r="HUG158"/>
      <c r="HUH158"/>
      <c r="HUI158"/>
      <c r="HUJ158"/>
      <c r="HUK158"/>
      <c r="HUL158"/>
      <c r="HUM158"/>
      <c r="HUN158"/>
      <c r="HUO158"/>
      <c r="HUP158"/>
      <c r="HUQ158"/>
      <c r="HUR158"/>
      <c r="HUS158"/>
      <c r="HUT158"/>
      <c r="HUU158"/>
      <c r="HUV158"/>
      <c r="HUW158"/>
      <c r="HUX158"/>
      <c r="HUY158"/>
      <c r="HUZ158"/>
      <c r="HVA158"/>
      <c r="HVB158"/>
      <c r="HVC158"/>
      <c r="HVD158"/>
      <c r="HVE158"/>
      <c r="HVF158"/>
      <c r="HVG158"/>
      <c r="HVH158"/>
      <c r="HVI158"/>
      <c r="HVJ158"/>
      <c r="HVK158"/>
      <c r="HVL158"/>
      <c r="HVM158"/>
      <c r="HVN158"/>
      <c r="HVO158"/>
      <c r="HVP158"/>
      <c r="HVQ158"/>
      <c r="HVR158"/>
      <c r="HVS158"/>
      <c r="HVT158"/>
      <c r="HVU158"/>
      <c r="HVV158"/>
      <c r="HVW158"/>
      <c r="HVX158"/>
      <c r="HVY158"/>
      <c r="HVZ158"/>
      <c r="HWA158"/>
      <c r="HWB158"/>
      <c r="HWC158"/>
      <c r="HWD158"/>
      <c r="HWE158"/>
      <c r="HWF158"/>
      <c r="HWG158"/>
      <c r="HWH158"/>
      <c r="HWI158"/>
      <c r="HWJ158"/>
      <c r="HWK158"/>
      <c r="HWL158"/>
      <c r="HWM158"/>
      <c r="HWN158"/>
      <c r="HWO158"/>
      <c r="HWP158"/>
      <c r="HWQ158"/>
      <c r="HWR158"/>
      <c r="HWS158"/>
      <c r="HWT158"/>
      <c r="HWU158"/>
      <c r="HWV158"/>
      <c r="HWW158"/>
      <c r="HWX158"/>
      <c r="HWY158"/>
      <c r="HWZ158"/>
      <c r="HXA158"/>
      <c r="HXB158"/>
      <c r="HXC158"/>
      <c r="HXD158"/>
      <c r="HXE158"/>
      <c r="HXF158"/>
      <c r="HXG158"/>
      <c r="HXH158"/>
      <c r="HXI158"/>
      <c r="HXJ158"/>
      <c r="HXK158"/>
      <c r="HXL158"/>
      <c r="HXM158"/>
      <c r="HXN158"/>
      <c r="HXO158"/>
      <c r="HXP158"/>
      <c r="HXQ158"/>
      <c r="HXR158"/>
      <c r="HXS158"/>
      <c r="HXT158"/>
      <c r="HXU158"/>
      <c r="HXV158"/>
      <c r="HXW158"/>
      <c r="HXX158"/>
      <c r="HXY158"/>
      <c r="HXZ158"/>
      <c r="HYA158"/>
      <c r="HYB158"/>
      <c r="HYC158"/>
      <c r="HYD158"/>
      <c r="HYE158"/>
      <c r="HYF158"/>
      <c r="HYG158"/>
      <c r="HYH158"/>
      <c r="HYI158"/>
      <c r="HYJ158"/>
      <c r="HYK158"/>
      <c r="HYL158"/>
      <c r="HYM158"/>
      <c r="HYN158"/>
      <c r="HYO158"/>
      <c r="HYP158"/>
      <c r="HYQ158"/>
      <c r="HYR158"/>
      <c r="HYS158"/>
      <c r="HYT158"/>
      <c r="HYU158"/>
      <c r="HYV158"/>
      <c r="HYW158"/>
      <c r="HYX158"/>
      <c r="HYY158"/>
      <c r="HYZ158"/>
      <c r="HZA158"/>
      <c r="HZB158"/>
      <c r="HZC158"/>
      <c r="HZD158"/>
      <c r="HZE158"/>
      <c r="HZF158"/>
      <c r="HZG158"/>
      <c r="HZH158"/>
      <c r="HZI158"/>
      <c r="HZJ158"/>
      <c r="HZK158"/>
      <c r="HZL158"/>
      <c r="HZM158"/>
      <c r="HZN158"/>
      <c r="HZO158"/>
      <c r="HZP158"/>
      <c r="HZQ158"/>
      <c r="HZR158"/>
      <c r="HZS158"/>
      <c r="HZT158"/>
      <c r="HZU158"/>
      <c r="HZV158"/>
      <c r="HZW158"/>
      <c r="HZX158"/>
      <c r="HZY158"/>
      <c r="HZZ158"/>
      <c r="IAA158"/>
      <c r="IAB158"/>
      <c r="IAC158"/>
      <c r="IAD158"/>
      <c r="IAE158"/>
      <c r="IAF158"/>
      <c r="IAG158"/>
      <c r="IAH158"/>
      <c r="IAI158"/>
      <c r="IAJ158"/>
      <c r="IAK158"/>
      <c r="IAL158"/>
      <c r="IAM158"/>
      <c r="IAN158"/>
      <c r="IAO158"/>
      <c r="IAP158"/>
      <c r="IAQ158"/>
      <c r="IAR158"/>
      <c r="IAS158"/>
      <c r="IAT158"/>
      <c r="IAU158"/>
      <c r="IAV158"/>
      <c r="IAW158"/>
      <c r="IAX158"/>
      <c r="IAY158"/>
      <c r="IAZ158"/>
      <c r="IBA158"/>
      <c r="IBB158"/>
      <c r="IBC158"/>
      <c r="IBD158"/>
      <c r="IBE158"/>
      <c r="IBF158"/>
      <c r="IBG158"/>
      <c r="IBH158"/>
      <c r="IBI158"/>
      <c r="IBJ158"/>
      <c r="IBK158"/>
      <c r="IBL158"/>
      <c r="IBM158"/>
      <c r="IBN158"/>
      <c r="IBO158"/>
      <c r="IBP158"/>
      <c r="IBQ158"/>
      <c r="IBR158"/>
      <c r="IBS158"/>
      <c r="IBT158"/>
      <c r="IBU158"/>
      <c r="IBV158"/>
      <c r="IBW158"/>
      <c r="IBX158"/>
      <c r="IBY158"/>
      <c r="IBZ158"/>
      <c r="ICA158"/>
      <c r="ICB158"/>
      <c r="ICC158"/>
      <c r="ICD158"/>
      <c r="ICE158"/>
      <c r="ICF158"/>
      <c r="ICG158"/>
      <c r="ICH158"/>
      <c r="ICI158"/>
      <c r="ICJ158"/>
      <c r="ICK158"/>
      <c r="ICL158"/>
      <c r="ICM158"/>
      <c r="ICN158"/>
      <c r="ICO158"/>
      <c r="ICP158"/>
      <c r="ICQ158"/>
      <c r="ICR158"/>
      <c r="ICS158"/>
      <c r="ICT158"/>
      <c r="ICU158"/>
      <c r="ICV158"/>
      <c r="ICW158"/>
      <c r="ICX158"/>
      <c r="ICY158"/>
      <c r="ICZ158"/>
      <c r="IDA158"/>
      <c r="IDB158"/>
      <c r="IDC158"/>
      <c r="IDD158"/>
      <c r="IDE158"/>
      <c r="IDF158"/>
      <c r="IDG158"/>
      <c r="IDH158"/>
      <c r="IDI158"/>
      <c r="IDJ158"/>
      <c r="IDK158"/>
      <c r="IDL158"/>
      <c r="IDM158"/>
      <c r="IDN158"/>
      <c r="IDO158"/>
      <c r="IDP158"/>
      <c r="IDQ158"/>
      <c r="IDR158"/>
      <c r="IDS158"/>
      <c r="IDT158"/>
      <c r="IDU158"/>
      <c r="IDV158"/>
      <c r="IDW158"/>
      <c r="IDX158"/>
      <c r="IDY158"/>
      <c r="IDZ158"/>
      <c r="IEA158"/>
      <c r="IEB158"/>
      <c r="IEC158"/>
      <c r="IED158"/>
      <c r="IEE158"/>
      <c r="IEF158"/>
      <c r="IEG158"/>
      <c r="IEH158"/>
      <c r="IEI158"/>
      <c r="IEJ158"/>
      <c r="IEK158"/>
      <c r="IEL158"/>
      <c r="IEM158"/>
      <c r="IEN158"/>
      <c r="IEO158"/>
      <c r="IEP158"/>
      <c r="IEQ158"/>
      <c r="IER158"/>
      <c r="IES158"/>
      <c r="IET158"/>
      <c r="IEU158"/>
      <c r="IEV158"/>
      <c r="IEW158"/>
      <c r="IEX158"/>
      <c r="IEY158"/>
      <c r="IEZ158"/>
      <c r="IFA158"/>
      <c r="IFB158"/>
      <c r="IFC158"/>
      <c r="IFD158"/>
      <c r="IFE158"/>
      <c r="IFF158"/>
      <c r="IFG158"/>
      <c r="IFH158"/>
      <c r="IFI158"/>
      <c r="IFJ158"/>
      <c r="IFK158"/>
      <c r="IFL158"/>
      <c r="IFM158"/>
      <c r="IFN158"/>
      <c r="IFO158"/>
      <c r="IFP158"/>
      <c r="IFQ158"/>
      <c r="IFR158"/>
      <c r="IFS158"/>
      <c r="IFT158"/>
      <c r="IFU158"/>
      <c r="IFV158"/>
      <c r="IFW158"/>
      <c r="IFX158"/>
      <c r="IFY158"/>
      <c r="IFZ158"/>
      <c r="IGA158"/>
      <c r="IGB158"/>
      <c r="IGC158"/>
      <c r="IGD158"/>
      <c r="IGE158"/>
      <c r="IGF158"/>
      <c r="IGG158"/>
      <c r="IGH158"/>
      <c r="IGI158"/>
      <c r="IGJ158"/>
      <c r="IGK158"/>
      <c r="IGL158"/>
      <c r="IGM158"/>
      <c r="IGN158"/>
      <c r="IGO158"/>
      <c r="IGP158"/>
      <c r="IGQ158"/>
      <c r="IGR158"/>
      <c r="IGS158"/>
      <c r="IGT158"/>
      <c r="IGU158"/>
      <c r="IGV158"/>
      <c r="IGW158"/>
      <c r="IGX158"/>
      <c r="IGY158"/>
      <c r="IGZ158"/>
      <c r="IHA158"/>
      <c r="IHB158"/>
      <c r="IHC158"/>
      <c r="IHD158"/>
      <c r="IHE158"/>
      <c r="IHF158"/>
      <c r="IHG158"/>
      <c r="IHH158"/>
      <c r="IHI158"/>
      <c r="IHJ158"/>
      <c r="IHK158"/>
      <c r="IHL158"/>
      <c r="IHM158"/>
      <c r="IHN158"/>
      <c r="IHO158"/>
      <c r="IHP158"/>
      <c r="IHQ158"/>
      <c r="IHR158"/>
      <c r="IHS158"/>
      <c r="IHT158"/>
      <c r="IHU158"/>
      <c r="IHV158"/>
      <c r="IHW158"/>
      <c r="IHX158"/>
      <c r="IHY158"/>
      <c r="IHZ158"/>
      <c r="IIA158"/>
      <c r="IIB158"/>
      <c r="IIC158"/>
      <c r="IID158"/>
      <c r="IIE158"/>
      <c r="IIF158"/>
      <c r="IIG158"/>
      <c r="IIH158"/>
      <c r="III158"/>
      <c r="IIJ158"/>
      <c r="IIK158"/>
      <c r="IIL158"/>
      <c r="IIM158"/>
      <c r="IIN158"/>
      <c r="IIO158"/>
      <c r="IIP158"/>
      <c r="IIQ158"/>
      <c r="IIR158"/>
      <c r="IIS158"/>
      <c r="IIT158"/>
      <c r="IIU158"/>
      <c r="IIV158"/>
      <c r="IIW158"/>
      <c r="IIX158"/>
      <c r="IIY158"/>
      <c r="IIZ158"/>
      <c r="IJA158"/>
      <c r="IJB158"/>
      <c r="IJC158"/>
      <c r="IJD158"/>
      <c r="IJE158"/>
      <c r="IJF158"/>
      <c r="IJG158"/>
      <c r="IJH158"/>
      <c r="IJI158"/>
      <c r="IJJ158"/>
      <c r="IJK158"/>
      <c r="IJL158"/>
      <c r="IJM158"/>
      <c r="IJN158"/>
      <c r="IJO158"/>
      <c r="IJP158"/>
      <c r="IJQ158"/>
      <c r="IJR158"/>
      <c r="IJS158"/>
      <c r="IJT158"/>
      <c r="IJU158"/>
      <c r="IJV158"/>
      <c r="IJW158"/>
      <c r="IJX158"/>
      <c r="IJY158"/>
      <c r="IJZ158"/>
      <c r="IKA158"/>
      <c r="IKB158"/>
      <c r="IKC158"/>
      <c r="IKD158"/>
      <c r="IKE158"/>
      <c r="IKF158"/>
      <c r="IKG158"/>
      <c r="IKH158"/>
      <c r="IKI158"/>
      <c r="IKJ158"/>
      <c r="IKK158"/>
      <c r="IKL158"/>
      <c r="IKM158"/>
      <c r="IKN158"/>
      <c r="IKO158"/>
      <c r="IKP158"/>
      <c r="IKQ158"/>
      <c r="IKR158"/>
      <c r="IKS158"/>
      <c r="IKT158"/>
      <c r="IKU158"/>
      <c r="IKV158"/>
      <c r="IKW158"/>
      <c r="IKX158"/>
      <c r="IKY158"/>
      <c r="IKZ158"/>
      <c r="ILA158"/>
      <c r="ILB158"/>
      <c r="ILC158"/>
      <c r="ILD158"/>
      <c r="ILE158"/>
      <c r="ILF158"/>
      <c r="ILG158"/>
      <c r="ILH158"/>
      <c r="ILI158"/>
      <c r="ILJ158"/>
      <c r="ILK158"/>
      <c r="ILL158"/>
      <c r="ILM158"/>
      <c r="ILN158"/>
      <c r="ILO158"/>
      <c r="ILP158"/>
      <c r="ILQ158"/>
      <c r="ILR158"/>
      <c r="ILS158"/>
      <c r="ILT158"/>
      <c r="ILU158"/>
      <c r="ILV158"/>
      <c r="ILW158"/>
      <c r="ILX158"/>
      <c r="ILY158"/>
      <c r="ILZ158"/>
      <c r="IMA158"/>
      <c r="IMB158"/>
      <c r="IMC158"/>
      <c r="IMD158"/>
      <c r="IME158"/>
      <c r="IMF158"/>
      <c r="IMG158"/>
      <c r="IMH158"/>
      <c r="IMI158"/>
      <c r="IMJ158"/>
      <c r="IMK158"/>
      <c r="IML158"/>
      <c r="IMM158"/>
      <c r="IMN158"/>
      <c r="IMO158"/>
      <c r="IMP158"/>
      <c r="IMQ158"/>
      <c r="IMR158"/>
      <c r="IMS158"/>
      <c r="IMT158"/>
      <c r="IMU158"/>
      <c r="IMV158"/>
      <c r="IMW158"/>
      <c r="IMX158"/>
      <c r="IMY158"/>
      <c r="IMZ158"/>
      <c r="INA158"/>
      <c r="INB158"/>
      <c r="INC158"/>
      <c r="IND158"/>
      <c r="INE158"/>
      <c r="INF158"/>
      <c r="ING158"/>
      <c r="INH158"/>
      <c r="INI158"/>
      <c r="INJ158"/>
      <c r="INK158"/>
      <c r="INL158"/>
      <c r="INM158"/>
      <c r="INN158"/>
      <c r="INO158"/>
      <c r="INP158"/>
      <c r="INQ158"/>
      <c r="INR158"/>
      <c r="INS158"/>
      <c r="INT158"/>
      <c r="INU158"/>
      <c r="INV158"/>
      <c r="INW158"/>
      <c r="INX158"/>
      <c r="INY158"/>
      <c r="INZ158"/>
      <c r="IOA158"/>
      <c r="IOB158"/>
      <c r="IOC158"/>
      <c r="IOD158"/>
      <c r="IOE158"/>
      <c r="IOF158"/>
      <c r="IOG158"/>
      <c r="IOH158"/>
      <c r="IOI158"/>
      <c r="IOJ158"/>
      <c r="IOK158"/>
      <c r="IOL158"/>
      <c r="IOM158"/>
      <c r="ION158"/>
      <c r="IOO158"/>
      <c r="IOP158"/>
      <c r="IOQ158"/>
      <c r="IOR158"/>
      <c r="IOS158"/>
      <c r="IOT158"/>
      <c r="IOU158"/>
      <c r="IOV158"/>
      <c r="IOW158"/>
      <c r="IOX158"/>
      <c r="IOY158"/>
      <c r="IOZ158"/>
      <c r="IPA158"/>
      <c r="IPB158"/>
      <c r="IPC158"/>
      <c r="IPD158"/>
      <c r="IPE158"/>
      <c r="IPF158"/>
      <c r="IPG158"/>
      <c r="IPH158"/>
      <c r="IPI158"/>
      <c r="IPJ158"/>
      <c r="IPK158"/>
      <c r="IPL158"/>
      <c r="IPM158"/>
      <c r="IPN158"/>
      <c r="IPO158"/>
      <c r="IPP158"/>
      <c r="IPQ158"/>
      <c r="IPR158"/>
      <c r="IPS158"/>
      <c r="IPT158"/>
      <c r="IPU158"/>
      <c r="IPV158"/>
      <c r="IPW158"/>
      <c r="IPX158"/>
      <c r="IPY158"/>
      <c r="IPZ158"/>
      <c r="IQA158"/>
      <c r="IQB158"/>
      <c r="IQC158"/>
      <c r="IQD158"/>
      <c r="IQE158"/>
      <c r="IQF158"/>
      <c r="IQG158"/>
      <c r="IQH158"/>
      <c r="IQI158"/>
      <c r="IQJ158"/>
      <c r="IQK158"/>
      <c r="IQL158"/>
      <c r="IQM158"/>
      <c r="IQN158"/>
      <c r="IQO158"/>
      <c r="IQP158"/>
      <c r="IQQ158"/>
      <c r="IQR158"/>
      <c r="IQS158"/>
      <c r="IQT158"/>
      <c r="IQU158"/>
      <c r="IQV158"/>
      <c r="IQW158"/>
      <c r="IQX158"/>
      <c r="IQY158"/>
      <c r="IQZ158"/>
      <c r="IRA158"/>
      <c r="IRB158"/>
      <c r="IRC158"/>
      <c r="IRD158"/>
      <c r="IRE158"/>
      <c r="IRF158"/>
      <c r="IRG158"/>
      <c r="IRH158"/>
      <c r="IRI158"/>
      <c r="IRJ158"/>
      <c r="IRK158"/>
      <c r="IRL158"/>
      <c r="IRM158"/>
      <c r="IRN158"/>
      <c r="IRO158"/>
      <c r="IRP158"/>
      <c r="IRQ158"/>
      <c r="IRR158"/>
      <c r="IRS158"/>
      <c r="IRT158"/>
      <c r="IRU158"/>
      <c r="IRV158"/>
      <c r="IRW158"/>
      <c r="IRX158"/>
      <c r="IRY158"/>
      <c r="IRZ158"/>
      <c r="ISA158"/>
      <c r="ISB158"/>
      <c r="ISC158"/>
      <c r="ISD158"/>
      <c r="ISE158"/>
      <c r="ISF158"/>
      <c r="ISG158"/>
      <c r="ISH158"/>
      <c r="ISI158"/>
      <c r="ISJ158"/>
      <c r="ISK158"/>
      <c r="ISL158"/>
      <c r="ISM158"/>
      <c r="ISN158"/>
      <c r="ISO158"/>
      <c r="ISP158"/>
      <c r="ISQ158"/>
      <c r="ISR158"/>
      <c r="ISS158"/>
      <c r="IST158"/>
      <c r="ISU158"/>
      <c r="ISV158"/>
      <c r="ISW158"/>
      <c r="ISX158"/>
      <c r="ISY158"/>
      <c r="ISZ158"/>
      <c r="ITA158"/>
      <c r="ITB158"/>
      <c r="ITC158"/>
      <c r="ITD158"/>
      <c r="ITE158"/>
      <c r="ITF158"/>
      <c r="ITG158"/>
      <c r="ITH158"/>
      <c r="ITI158"/>
      <c r="ITJ158"/>
      <c r="ITK158"/>
      <c r="ITL158"/>
      <c r="ITM158"/>
      <c r="ITN158"/>
      <c r="ITO158"/>
      <c r="ITP158"/>
      <c r="ITQ158"/>
      <c r="ITR158"/>
      <c r="ITS158"/>
      <c r="ITT158"/>
      <c r="ITU158"/>
      <c r="ITV158"/>
      <c r="ITW158"/>
      <c r="ITX158"/>
      <c r="ITY158"/>
      <c r="ITZ158"/>
      <c r="IUA158"/>
      <c r="IUB158"/>
      <c r="IUC158"/>
      <c r="IUD158"/>
      <c r="IUE158"/>
      <c r="IUF158"/>
      <c r="IUG158"/>
      <c r="IUH158"/>
      <c r="IUI158"/>
      <c r="IUJ158"/>
      <c r="IUK158"/>
      <c r="IUL158"/>
      <c r="IUM158"/>
      <c r="IUN158"/>
      <c r="IUO158"/>
      <c r="IUP158"/>
      <c r="IUQ158"/>
      <c r="IUR158"/>
      <c r="IUS158"/>
      <c r="IUT158"/>
      <c r="IUU158"/>
      <c r="IUV158"/>
      <c r="IUW158"/>
      <c r="IUX158"/>
      <c r="IUY158"/>
      <c r="IUZ158"/>
      <c r="IVA158"/>
      <c r="IVB158"/>
      <c r="IVC158"/>
      <c r="IVD158"/>
      <c r="IVE158"/>
      <c r="IVF158"/>
      <c r="IVG158"/>
      <c r="IVH158"/>
      <c r="IVI158"/>
      <c r="IVJ158"/>
      <c r="IVK158"/>
      <c r="IVL158"/>
      <c r="IVM158"/>
      <c r="IVN158"/>
      <c r="IVO158"/>
      <c r="IVP158"/>
      <c r="IVQ158"/>
      <c r="IVR158"/>
      <c r="IVS158"/>
      <c r="IVT158"/>
      <c r="IVU158"/>
      <c r="IVV158"/>
      <c r="IVW158"/>
      <c r="IVX158"/>
      <c r="IVY158"/>
      <c r="IVZ158"/>
      <c r="IWA158"/>
      <c r="IWB158"/>
      <c r="IWC158"/>
      <c r="IWD158"/>
      <c r="IWE158"/>
      <c r="IWF158"/>
      <c r="IWG158"/>
      <c r="IWH158"/>
      <c r="IWI158"/>
      <c r="IWJ158"/>
      <c r="IWK158"/>
      <c r="IWL158"/>
      <c r="IWM158"/>
      <c r="IWN158"/>
      <c r="IWO158"/>
      <c r="IWP158"/>
      <c r="IWQ158"/>
      <c r="IWR158"/>
      <c r="IWS158"/>
      <c r="IWT158"/>
      <c r="IWU158"/>
      <c r="IWV158"/>
      <c r="IWW158"/>
      <c r="IWX158"/>
      <c r="IWY158"/>
      <c r="IWZ158"/>
      <c r="IXA158"/>
      <c r="IXB158"/>
      <c r="IXC158"/>
      <c r="IXD158"/>
      <c r="IXE158"/>
      <c r="IXF158"/>
      <c r="IXG158"/>
      <c r="IXH158"/>
      <c r="IXI158"/>
      <c r="IXJ158"/>
      <c r="IXK158"/>
      <c r="IXL158"/>
      <c r="IXM158"/>
      <c r="IXN158"/>
      <c r="IXO158"/>
      <c r="IXP158"/>
      <c r="IXQ158"/>
      <c r="IXR158"/>
      <c r="IXS158"/>
      <c r="IXT158"/>
      <c r="IXU158"/>
      <c r="IXV158"/>
      <c r="IXW158"/>
      <c r="IXX158"/>
      <c r="IXY158"/>
      <c r="IXZ158"/>
      <c r="IYA158"/>
      <c r="IYB158"/>
      <c r="IYC158"/>
      <c r="IYD158"/>
      <c r="IYE158"/>
      <c r="IYF158"/>
      <c r="IYG158"/>
      <c r="IYH158"/>
      <c r="IYI158"/>
      <c r="IYJ158"/>
      <c r="IYK158"/>
      <c r="IYL158"/>
      <c r="IYM158"/>
      <c r="IYN158"/>
      <c r="IYO158"/>
      <c r="IYP158"/>
      <c r="IYQ158"/>
      <c r="IYR158"/>
      <c r="IYS158"/>
      <c r="IYT158"/>
      <c r="IYU158"/>
      <c r="IYV158"/>
      <c r="IYW158"/>
      <c r="IYX158"/>
      <c r="IYY158"/>
      <c r="IYZ158"/>
      <c r="IZA158"/>
      <c r="IZB158"/>
      <c r="IZC158"/>
      <c r="IZD158"/>
      <c r="IZE158"/>
      <c r="IZF158"/>
      <c r="IZG158"/>
      <c r="IZH158"/>
      <c r="IZI158"/>
      <c r="IZJ158"/>
      <c r="IZK158"/>
      <c r="IZL158"/>
      <c r="IZM158"/>
      <c r="IZN158"/>
      <c r="IZO158"/>
      <c r="IZP158"/>
      <c r="IZQ158"/>
      <c r="IZR158"/>
      <c r="IZS158"/>
      <c r="IZT158"/>
      <c r="IZU158"/>
      <c r="IZV158"/>
      <c r="IZW158"/>
      <c r="IZX158"/>
      <c r="IZY158"/>
      <c r="IZZ158"/>
      <c r="JAA158"/>
      <c r="JAB158"/>
      <c r="JAC158"/>
      <c r="JAD158"/>
      <c r="JAE158"/>
      <c r="JAF158"/>
      <c r="JAG158"/>
      <c r="JAH158"/>
      <c r="JAI158"/>
      <c r="JAJ158"/>
      <c r="JAK158"/>
      <c r="JAL158"/>
      <c r="JAM158"/>
      <c r="JAN158"/>
      <c r="JAO158"/>
      <c r="JAP158"/>
      <c r="JAQ158"/>
      <c r="JAR158"/>
      <c r="JAS158"/>
      <c r="JAT158"/>
      <c r="JAU158"/>
      <c r="JAV158"/>
      <c r="JAW158"/>
      <c r="JAX158"/>
      <c r="JAY158"/>
      <c r="JAZ158"/>
      <c r="JBA158"/>
      <c r="JBB158"/>
      <c r="JBC158"/>
      <c r="JBD158"/>
      <c r="JBE158"/>
      <c r="JBF158"/>
      <c r="JBG158"/>
      <c r="JBH158"/>
      <c r="JBI158"/>
      <c r="JBJ158"/>
      <c r="JBK158"/>
      <c r="JBL158"/>
      <c r="JBM158"/>
      <c r="JBN158"/>
      <c r="JBO158"/>
      <c r="JBP158"/>
      <c r="JBQ158"/>
      <c r="JBR158"/>
      <c r="JBS158"/>
      <c r="JBT158"/>
      <c r="JBU158"/>
      <c r="JBV158"/>
      <c r="JBW158"/>
      <c r="JBX158"/>
      <c r="JBY158"/>
      <c r="JBZ158"/>
      <c r="JCA158"/>
      <c r="JCB158"/>
      <c r="JCC158"/>
      <c r="JCD158"/>
      <c r="JCE158"/>
      <c r="JCF158"/>
      <c r="JCG158"/>
      <c r="JCH158"/>
      <c r="JCI158"/>
      <c r="JCJ158"/>
      <c r="JCK158"/>
      <c r="JCL158"/>
      <c r="JCM158"/>
      <c r="JCN158"/>
      <c r="JCO158"/>
      <c r="JCP158"/>
      <c r="JCQ158"/>
      <c r="JCR158"/>
      <c r="JCS158"/>
      <c r="JCT158"/>
      <c r="JCU158"/>
      <c r="JCV158"/>
      <c r="JCW158"/>
      <c r="JCX158"/>
      <c r="JCY158"/>
      <c r="JCZ158"/>
      <c r="JDA158"/>
      <c r="JDB158"/>
      <c r="JDC158"/>
      <c r="JDD158"/>
      <c r="JDE158"/>
      <c r="JDF158"/>
      <c r="JDG158"/>
      <c r="JDH158"/>
      <c r="JDI158"/>
      <c r="JDJ158"/>
      <c r="JDK158"/>
      <c r="JDL158"/>
      <c r="JDM158"/>
      <c r="JDN158"/>
      <c r="JDO158"/>
      <c r="JDP158"/>
      <c r="JDQ158"/>
      <c r="JDR158"/>
      <c r="JDS158"/>
      <c r="JDT158"/>
      <c r="JDU158"/>
      <c r="JDV158"/>
      <c r="JDW158"/>
      <c r="JDX158"/>
      <c r="JDY158"/>
      <c r="JDZ158"/>
      <c r="JEA158"/>
      <c r="JEB158"/>
      <c r="JEC158"/>
      <c r="JED158"/>
      <c r="JEE158"/>
      <c r="JEF158"/>
      <c r="JEG158"/>
      <c r="JEH158"/>
      <c r="JEI158"/>
      <c r="JEJ158"/>
      <c r="JEK158"/>
      <c r="JEL158"/>
      <c r="JEM158"/>
      <c r="JEN158"/>
      <c r="JEO158"/>
      <c r="JEP158"/>
      <c r="JEQ158"/>
      <c r="JER158"/>
      <c r="JES158"/>
      <c r="JET158"/>
      <c r="JEU158"/>
      <c r="JEV158"/>
      <c r="JEW158"/>
      <c r="JEX158"/>
      <c r="JEY158"/>
      <c r="JEZ158"/>
      <c r="JFA158"/>
      <c r="JFB158"/>
      <c r="JFC158"/>
      <c r="JFD158"/>
      <c r="JFE158"/>
      <c r="JFF158"/>
      <c r="JFG158"/>
      <c r="JFH158"/>
      <c r="JFI158"/>
      <c r="JFJ158"/>
      <c r="JFK158"/>
      <c r="JFL158"/>
      <c r="JFM158"/>
      <c r="JFN158"/>
      <c r="JFO158"/>
      <c r="JFP158"/>
      <c r="JFQ158"/>
      <c r="JFR158"/>
      <c r="JFS158"/>
      <c r="JFT158"/>
      <c r="JFU158"/>
      <c r="JFV158"/>
      <c r="JFW158"/>
      <c r="JFX158"/>
      <c r="JFY158"/>
      <c r="JFZ158"/>
      <c r="JGA158"/>
      <c r="JGB158"/>
      <c r="JGC158"/>
      <c r="JGD158"/>
      <c r="JGE158"/>
      <c r="JGF158"/>
      <c r="JGG158"/>
      <c r="JGH158"/>
      <c r="JGI158"/>
      <c r="JGJ158"/>
      <c r="JGK158"/>
      <c r="JGL158"/>
      <c r="JGM158"/>
      <c r="JGN158"/>
      <c r="JGO158"/>
      <c r="JGP158"/>
      <c r="JGQ158"/>
      <c r="JGR158"/>
      <c r="JGS158"/>
      <c r="JGT158"/>
      <c r="JGU158"/>
      <c r="JGV158"/>
      <c r="JGW158"/>
      <c r="JGX158"/>
      <c r="JGY158"/>
      <c r="JGZ158"/>
      <c r="JHA158"/>
      <c r="JHB158"/>
      <c r="JHC158"/>
      <c r="JHD158"/>
      <c r="JHE158"/>
      <c r="JHF158"/>
      <c r="JHG158"/>
      <c r="JHH158"/>
      <c r="JHI158"/>
      <c r="JHJ158"/>
      <c r="JHK158"/>
      <c r="JHL158"/>
      <c r="JHM158"/>
      <c r="JHN158"/>
      <c r="JHO158"/>
      <c r="JHP158"/>
      <c r="JHQ158"/>
      <c r="JHR158"/>
      <c r="JHS158"/>
      <c r="JHT158"/>
      <c r="JHU158"/>
      <c r="JHV158"/>
      <c r="JHW158"/>
      <c r="JHX158"/>
      <c r="JHY158"/>
      <c r="JHZ158"/>
      <c r="JIA158"/>
      <c r="JIB158"/>
      <c r="JIC158"/>
      <c r="JID158"/>
      <c r="JIE158"/>
      <c r="JIF158"/>
      <c r="JIG158"/>
      <c r="JIH158"/>
      <c r="JII158"/>
      <c r="JIJ158"/>
      <c r="JIK158"/>
      <c r="JIL158"/>
      <c r="JIM158"/>
      <c r="JIN158"/>
      <c r="JIO158"/>
      <c r="JIP158"/>
      <c r="JIQ158"/>
      <c r="JIR158"/>
      <c r="JIS158"/>
      <c r="JIT158"/>
      <c r="JIU158"/>
      <c r="JIV158"/>
      <c r="JIW158"/>
      <c r="JIX158"/>
      <c r="JIY158"/>
      <c r="JIZ158"/>
      <c r="JJA158"/>
      <c r="JJB158"/>
      <c r="JJC158"/>
      <c r="JJD158"/>
      <c r="JJE158"/>
      <c r="JJF158"/>
      <c r="JJG158"/>
      <c r="JJH158"/>
      <c r="JJI158"/>
      <c r="JJJ158"/>
      <c r="JJK158"/>
      <c r="JJL158"/>
      <c r="JJM158"/>
      <c r="JJN158"/>
      <c r="JJO158"/>
      <c r="JJP158"/>
      <c r="JJQ158"/>
      <c r="JJR158"/>
      <c r="JJS158"/>
      <c r="JJT158"/>
      <c r="JJU158"/>
      <c r="JJV158"/>
      <c r="JJW158"/>
      <c r="JJX158"/>
      <c r="JJY158"/>
      <c r="JJZ158"/>
      <c r="JKA158"/>
      <c r="JKB158"/>
      <c r="JKC158"/>
      <c r="JKD158"/>
      <c r="JKE158"/>
      <c r="JKF158"/>
      <c r="JKG158"/>
      <c r="JKH158"/>
      <c r="JKI158"/>
      <c r="JKJ158"/>
      <c r="JKK158"/>
      <c r="JKL158"/>
      <c r="JKM158"/>
      <c r="JKN158"/>
      <c r="JKO158"/>
      <c r="JKP158"/>
      <c r="JKQ158"/>
      <c r="JKR158"/>
      <c r="JKS158"/>
      <c r="JKT158"/>
      <c r="JKU158"/>
      <c r="JKV158"/>
      <c r="JKW158"/>
      <c r="JKX158"/>
      <c r="JKY158"/>
      <c r="JKZ158"/>
      <c r="JLA158"/>
      <c r="JLB158"/>
      <c r="JLC158"/>
      <c r="JLD158"/>
      <c r="JLE158"/>
      <c r="JLF158"/>
      <c r="JLG158"/>
      <c r="JLH158"/>
      <c r="JLI158"/>
      <c r="JLJ158"/>
      <c r="JLK158"/>
      <c r="JLL158"/>
      <c r="JLM158"/>
      <c r="JLN158"/>
      <c r="JLO158"/>
      <c r="JLP158"/>
      <c r="JLQ158"/>
      <c r="JLR158"/>
      <c r="JLS158"/>
      <c r="JLT158"/>
      <c r="JLU158"/>
      <c r="JLV158"/>
      <c r="JLW158"/>
      <c r="JLX158"/>
      <c r="JLY158"/>
      <c r="JLZ158"/>
      <c r="JMA158"/>
      <c r="JMB158"/>
      <c r="JMC158"/>
      <c r="JMD158"/>
      <c r="JME158"/>
      <c r="JMF158"/>
      <c r="JMG158"/>
      <c r="JMH158"/>
      <c r="JMI158"/>
      <c r="JMJ158"/>
      <c r="JMK158"/>
      <c r="JML158"/>
      <c r="JMM158"/>
      <c r="JMN158"/>
      <c r="JMO158"/>
      <c r="JMP158"/>
      <c r="JMQ158"/>
      <c r="JMR158"/>
      <c r="JMS158"/>
      <c r="JMT158"/>
      <c r="JMU158"/>
      <c r="JMV158"/>
      <c r="JMW158"/>
      <c r="JMX158"/>
      <c r="JMY158"/>
      <c r="JMZ158"/>
      <c r="JNA158"/>
      <c r="JNB158"/>
      <c r="JNC158"/>
      <c r="JND158"/>
      <c r="JNE158"/>
      <c r="JNF158"/>
      <c r="JNG158"/>
      <c r="JNH158"/>
      <c r="JNI158"/>
      <c r="JNJ158"/>
      <c r="JNK158"/>
      <c r="JNL158"/>
      <c r="JNM158"/>
      <c r="JNN158"/>
      <c r="JNO158"/>
      <c r="JNP158"/>
      <c r="JNQ158"/>
      <c r="JNR158"/>
      <c r="JNS158"/>
      <c r="JNT158"/>
      <c r="JNU158"/>
      <c r="JNV158"/>
      <c r="JNW158"/>
      <c r="JNX158"/>
      <c r="JNY158"/>
      <c r="JNZ158"/>
      <c r="JOA158"/>
      <c r="JOB158"/>
      <c r="JOC158"/>
      <c r="JOD158"/>
      <c r="JOE158"/>
      <c r="JOF158"/>
      <c r="JOG158"/>
      <c r="JOH158"/>
      <c r="JOI158"/>
      <c r="JOJ158"/>
      <c r="JOK158"/>
      <c r="JOL158"/>
      <c r="JOM158"/>
      <c r="JON158"/>
      <c r="JOO158"/>
      <c r="JOP158"/>
      <c r="JOQ158"/>
      <c r="JOR158"/>
      <c r="JOS158"/>
      <c r="JOT158"/>
      <c r="JOU158"/>
      <c r="JOV158"/>
      <c r="JOW158"/>
      <c r="JOX158"/>
      <c r="JOY158"/>
      <c r="JOZ158"/>
      <c r="JPA158"/>
      <c r="JPB158"/>
      <c r="JPC158"/>
      <c r="JPD158"/>
      <c r="JPE158"/>
      <c r="JPF158"/>
      <c r="JPG158"/>
      <c r="JPH158"/>
      <c r="JPI158"/>
      <c r="JPJ158"/>
      <c r="JPK158"/>
      <c r="JPL158"/>
      <c r="JPM158"/>
      <c r="JPN158"/>
      <c r="JPO158"/>
      <c r="JPP158"/>
      <c r="JPQ158"/>
      <c r="JPR158"/>
      <c r="JPS158"/>
      <c r="JPT158"/>
      <c r="JPU158"/>
      <c r="JPV158"/>
      <c r="JPW158"/>
      <c r="JPX158"/>
      <c r="JPY158"/>
      <c r="JPZ158"/>
      <c r="JQA158"/>
      <c r="JQB158"/>
      <c r="JQC158"/>
      <c r="JQD158"/>
      <c r="JQE158"/>
      <c r="JQF158"/>
      <c r="JQG158"/>
      <c r="JQH158"/>
      <c r="JQI158"/>
      <c r="JQJ158"/>
      <c r="JQK158"/>
      <c r="JQL158"/>
      <c r="JQM158"/>
      <c r="JQN158"/>
      <c r="JQO158"/>
      <c r="JQP158"/>
      <c r="JQQ158"/>
      <c r="JQR158"/>
      <c r="JQS158"/>
      <c r="JQT158"/>
      <c r="JQU158"/>
      <c r="JQV158"/>
      <c r="JQW158"/>
      <c r="JQX158"/>
      <c r="JQY158"/>
      <c r="JQZ158"/>
      <c r="JRA158"/>
      <c r="JRB158"/>
      <c r="JRC158"/>
      <c r="JRD158"/>
      <c r="JRE158"/>
      <c r="JRF158"/>
      <c r="JRG158"/>
      <c r="JRH158"/>
      <c r="JRI158"/>
      <c r="JRJ158"/>
      <c r="JRK158"/>
      <c r="JRL158"/>
      <c r="JRM158"/>
      <c r="JRN158"/>
      <c r="JRO158"/>
      <c r="JRP158"/>
      <c r="JRQ158"/>
      <c r="JRR158"/>
      <c r="JRS158"/>
      <c r="JRT158"/>
      <c r="JRU158"/>
      <c r="JRV158"/>
      <c r="JRW158"/>
      <c r="JRX158"/>
      <c r="JRY158"/>
      <c r="JRZ158"/>
      <c r="JSA158"/>
      <c r="JSB158"/>
      <c r="JSC158"/>
      <c r="JSD158"/>
      <c r="JSE158"/>
      <c r="JSF158"/>
      <c r="JSG158"/>
      <c r="JSH158"/>
      <c r="JSI158"/>
      <c r="JSJ158"/>
      <c r="JSK158"/>
      <c r="JSL158"/>
      <c r="JSM158"/>
      <c r="JSN158"/>
      <c r="JSO158"/>
      <c r="JSP158"/>
      <c r="JSQ158"/>
      <c r="JSR158"/>
      <c r="JSS158"/>
      <c r="JST158"/>
      <c r="JSU158"/>
      <c r="JSV158"/>
      <c r="JSW158"/>
      <c r="JSX158"/>
      <c r="JSY158"/>
      <c r="JSZ158"/>
      <c r="JTA158"/>
      <c r="JTB158"/>
      <c r="JTC158"/>
      <c r="JTD158"/>
      <c r="JTE158"/>
      <c r="JTF158"/>
      <c r="JTG158"/>
      <c r="JTH158"/>
      <c r="JTI158"/>
      <c r="JTJ158"/>
      <c r="JTK158"/>
      <c r="JTL158"/>
      <c r="JTM158"/>
      <c r="JTN158"/>
      <c r="JTO158"/>
      <c r="JTP158"/>
      <c r="JTQ158"/>
      <c r="JTR158"/>
      <c r="JTS158"/>
      <c r="JTT158"/>
      <c r="JTU158"/>
      <c r="JTV158"/>
      <c r="JTW158"/>
      <c r="JTX158"/>
      <c r="JTY158"/>
      <c r="JTZ158"/>
      <c r="JUA158"/>
      <c r="JUB158"/>
      <c r="JUC158"/>
      <c r="JUD158"/>
      <c r="JUE158"/>
      <c r="JUF158"/>
      <c r="JUG158"/>
      <c r="JUH158"/>
      <c r="JUI158"/>
      <c r="JUJ158"/>
      <c r="JUK158"/>
      <c r="JUL158"/>
      <c r="JUM158"/>
      <c r="JUN158"/>
      <c r="JUO158"/>
      <c r="JUP158"/>
      <c r="JUQ158"/>
      <c r="JUR158"/>
      <c r="JUS158"/>
      <c r="JUT158"/>
      <c r="JUU158"/>
      <c r="JUV158"/>
      <c r="JUW158"/>
      <c r="JUX158"/>
      <c r="JUY158"/>
      <c r="JUZ158"/>
      <c r="JVA158"/>
      <c r="JVB158"/>
      <c r="JVC158"/>
      <c r="JVD158"/>
      <c r="JVE158"/>
      <c r="JVF158"/>
      <c r="JVG158"/>
      <c r="JVH158"/>
      <c r="JVI158"/>
      <c r="JVJ158"/>
      <c r="JVK158"/>
      <c r="JVL158"/>
      <c r="JVM158"/>
      <c r="JVN158"/>
      <c r="JVO158"/>
      <c r="JVP158"/>
      <c r="JVQ158"/>
      <c r="JVR158"/>
      <c r="JVS158"/>
      <c r="JVT158"/>
      <c r="JVU158"/>
      <c r="JVV158"/>
      <c r="JVW158"/>
      <c r="JVX158"/>
      <c r="JVY158"/>
      <c r="JVZ158"/>
      <c r="JWA158"/>
      <c r="JWB158"/>
      <c r="JWC158"/>
      <c r="JWD158"/>
      <c r="JWE158"/>
      <c r="JWF158"/>
      <c r="JWG158"/>
      <c r="JWH158"/>
      <c r="JWI158"/>
      <c r="JWJ158"/>
      <c r="JWK158"/>
      <c r="JWL158"/>
      <c r="JWM158"/>
      <c r="JWN158"/>
      <c r="JWO158"/>
      <c r="JWP158"/>
      <c r="JWQ158"/>
      <c r="JWR158"/>
      <c r="JWS158"/>
      <c r="JWT158"/>
      <c r="JWU158"/>
      <c r="JWV158"/>
      <c r="JWW158"/>
      <c r="JWX158"/>
      <c r="JWY158"/>
      <c r="JWZ158"/>
      <c r="JXA158"/>
      <c r="JXB158"/>
      <c r="JXC158"/>
      <c r="JXD158"/>
      <c r="JXE158"/>
      <c r="JXF158"/>
      <c r="JXG158"/>
      <c r="JXH158"/>
      <c r="JXI158"/>
      <c r="JXJ158"/>
      <c r="JXK158"/>
      <c r="JXL158"/>
      <c r="JXM158"/>
      <c r="JXN158"/>
      <c r="JXO158"/>
      <c r="JXP158"/>
      <c r="JXQ158"/>
      <c r="JXR158"/>
      <c r="JXS158"/>
      <c r="JXT158"/>
      <c r="JXU158"/>
      <c r="JXV158"/>
      <c r="JXW158"/>
      <c r="JXX158"/>
      <c r="JXY158"/>
      <c r="JXZ158"/>
      <c r="JYA158"/>
      <c r="JYB158"/>
      <c r="JYC158"/>
      <c r="JYD158"/>
      <c r="JYE158"/>
      <c r="JYF158"/>
      <c r="JYG158"/>
      <c r="JYH158"/>
      <c r="JYI158"/>
      <c r="JYJ158"/>
      <c r="JYK158"/>
      <c r="JYL158"/>
      <c r="JYM158"/>
      <c r="JYN158"/>
      <c r="JYO158"/>
      <c r="JYP158"/>
      <c r="JYQ158"/>
      <c r="JYR158"/>
      <c r="JYS158"/>
      <c r="JYT158"/>
      <c r="JYU158"/>
      <c r="JYV158"/>
      <c r="JYW158"/>
      <c r="JYX158"/>
      <c r="JYY158"/>
      <c r="JYZ158"/>
      <c r="JZA158"/>
      <c r="JZB158"/>
      <c r="JZC158"/>
      <c r="JZD158"/>
      <c r="JZE158"/>
      <c r="JZF158"/>
      <c r="JZG158"/>
      <c r="JZH158"/>
      <c r="JZI158"/>
      <c r="JZJ158"/>
      <c r="JZK158"/>
      <c r="JZL158"/>
      <c r="JZM158"/>
      <c r="JZN158"/>
      <c r="JZO158"/>
      <c r="JZP158"/>
      <c r="JZQ158"/>
      <c r="JZR158"/>
      <c r="JZS158"/>
      <c r="JZT158"/>
      <c r="JZU158"/>
      <c r="JZV158"/>
      <c r="JZW158"/>
      <c r="JZX158"/>
      <c r="JZY158"/>
      <c r="JZZ158"/>
      <c r="KAA158"/>
      <c r="KAB158"/>
      <c r="KAC158"/>
      <c r="KAD158"/>
      <c r="KAE158"/>
      <c r="KAF158"/>
      <c r="KAG158"/>
      <c r="KAH158"/>
      <c r="KAI158"/>
      <c r="KAJ158"/>
      <c r="KAK158"/>
      <c r="KAL158"/>
      <c r="KAM158"/>
      <c r="KAN158"/>
      <c r="KAO158"/>
      <c r="KAP158"/>
      <c r="KAQ158"/>
      <c r="KAR158"/>
      <c r="KAS158"/>
      <c r="KAT158"/>
      <c r="KAU158"/>
      <c r="KAV158"/>
      <c r="KAW158"/>
      <c r="KAX158"/>
      <c r="KAY158"/>
      <c r="KAZ158"/>
      <c r="KBA158"/>
      <c r="KBB158"/>
      <c r="KBC158"/>
      <c r="KBD158"/>
      <c r="KBE158"/>
      <c r="KBF158"/>
      <c r="KBG158"/>
      <c r="KBH158"/>
      <c r="KBI158"/>
      <c r="KBJ158"/>
      <c r="KBK158"/>
      <c r="KBL158"/>
      <c r="KBM158"/>
      <c r="KBN158"/>
      <c r="KBO158"/>
      <c r="KBP158"/>
      <c r="KBQ158"/>
      <c r="KBR158"/>
      <c r="KBS158"/>
      <c r="KBT158"/>
      <c r="KBU158"/>
      <c r="KBV158"/>
      <c r="KBW158"/>
      <c r="KBX158"/>
      <c r="KBY158"/>
      <c r="KBZ158"/>
      <c r="KCA158"/>
      <c r="KCB158"/>
      <c r="KCC158"/>
      <c r="KCD158"/>
      <c r="KCE158"/>
      <c r="KCF158"/>
      <c r="KCG158"/>
      <c r="KCH158"/>
      <c r="KCI158"/>
      <c r="KCJ158"/>
      <c r="KCK158"/>
      <c r="KCL158"/>
      <c r="KCM158"/>
      <c r="KCN158"/>
      <c r="KCO158"/>
      <c r="KCP158"/>
      <c r="KCQ158"/>
      <c r="KCR158"/>
      <c r="KCS158"/>
      <c r="KCT158"/>
      <c r="KCU158"/>
      <c r="KCV158"/>
      <c r="KCW158"/>
      <c r="KCX158"/>
      <c r="KCY158"/>
      <c r="KCZ158"/>
      <c r="KDA158"/>
      <c r="KDB158"/>
      <c r="KDC158"/>
      <c r="KDD158"/>
      <c r="KDE158"/>
      <c r="KDF158"/>
      <c r="KDG158"/>
      <c r="KDH158"/>
      <c r="KDI158"/>
      <c r="KDJ158"/>
      <c r="KDK158"/>
      <c r="KDL158"/>
      <c r="KDM158"/>
      <c r="KDN158"/>
      <c r="KDO158"/>
      <c r="KDP158"/>
      <c r="KDQ158"/>
      <c r="KDR158"/>
      <c r="KDS158"/>
      <c r="KDT158"/>
      <c r="KDU158"/>
      <c r="KDV158"/>
      <c r="KDW158"/>
      <c r="KDX158"/>
      <c r="KDY158"/>
      <c r="KDZ158"/>
      <c r="KEA158"/>
      <c r="KEB158"/>
      <c r="KEC158"/>
      <c r="KED158"/>
      <c r="KEE158"/>
      <c r="KEF158"/>
      <c r="KEG158"/>
      <c r="KEH158"/>
      <c r="KEI158"/>
      <c r="KEJ158"/>
      <c r="KEK158"/>
      <c r="KEL158"/>
      <c r="KEM158"/>
      <c r="KEN158"/>
      <c r="KEO158"/>
      <c r="KEP158"/>
      <c r="KEQ158"/>
      <c r="KER158"/>
      <c r="KES158"/>
      <c r="KET158"/>
      <c r="KEU158"/>
      <c r="KEV158"/>
      <c r="KEW158"/>
      <c r="KEX158"/>
      <c r="KEY158"/>
      <c r="KEZ158"/>
      <c r="KFA158"/>
      <c r="KFB158"/>
      <c r="KFC158"/>
      <c r="KFD158"/>
      <c r="KFE158"/>
      <c r="KFF158"/>
      <c r="KFG158"/>
      <c r="KFH158"/>
      <c r="KFI158"/>
      <c r="KFJ158"/>
      <c r="KFK158"/>
      <c r="KFL158"/>
      <c r="KFM158"/>
      <c r="KFN158"/>
      <c r="KFO158"/>
      <c r="KFP158"/>
      <c r="KFQ158"/>
      <c r="KFR158"/>
      <c r="KFS158"/>
      <c r="KFT158"/>
      <c r="KFU158"/>
      <c r="KFV158"/>
      <c r="KFW158"/>
      <c r="KFX158"/>
      <c r="KFY158"/>
      <c r="KFZ158"/>
      <c r="KGA158"/>
      <c r="KGB158"/>
      <c r="KGC158"/>
      <c r="KGD158"/>
      <c r="KGE158"/>
      <c r="KGF158"/>
      <c r="KGG158"/>
      <c r="KGH158"/>
      <c r="KGI158"/>
      <c r="KGJ158"/>
      <c r="KGK158"/>
      <c r="KGL158"/>
      <c r="KGM158"/>
      <c r="KGN158"/>
      <c r="KGO158"/>
      <c r="KGP158"/>
      <c r="KGQ158"/>
      <c r="KGR158"/>
      <c r="KGS158"/>
      <c r="KGT158"/>
      <c r="KGU158"/>
      <c r="KGV158"/>
      <c r="KGW158"/>
      <c r="KGX158"/>
      <c r="KGY158"/>
      <c r="KGZ158"/>
      <c r="KHA158"/>
      <c r="KHB158"/>
      <c r="KHC158"/>
      <c r="KHD158"/>
      <c r="KHE158"/>
      <c r="KHF158"/>
      <c r="KHG158"/>
      <c r="KHH158"/>
      <c r="KHI158"/>
      <c r="KHJ158"/>
      <c r="KHK158"/>
      <c r="KHL158"/>
      <c r="KHM158"/>
      <c r="KHN158"/>
      <c r="KHO158"/>
      <c r="KHP158"/>
      <c r="KHQ158"/>
      <c r="KHR158"/>
      <c r="KHS158"/>
      <c r="KHT158"/>
      <c r="KHU158"/>
      <c r="KHV158"/>
      <c r="KHW158"/>
      <c r="KHX158"/>
      <c r="KHY158"/>
      <c r="KHZ158"/>
      <c r="KIA158"/>
      <c r="KIB158"/>
      <c r="KIC158"/>
      <c r="KID158"/>
      <c r="KIE158"/>
      <c r="KIF158"/>
      <c r="KIG158"/>
      <c r="KIH158"/>
      <c r="KII158"/>
      <c r="KIJ158"/>
      <c r="KIK158"/>
      <c r="KIL158"/>
      <c r="KIM158"/>
      <c r="KIN158"/>
      <c r="KIO158"/>
      <c r="KIP158"/>
      <c r="KIQ158"/>
      <c r="KIR158"/>
      <c r="KIS158"/>
      <c r="KIT158"/>
      <c r="KIU158"/>
      <c r="KIV158"/>
      <c r="KIW158"/>
      <c r="KIX158"/>
      <c r="KIY158"/>
      <c r="KIZ158"/>
      <c r="KJA158"/>
      <c r="KJB158"/>
      <c r="KJC158"/>
      <c r="KJD158"/>
      <c r="KJE158"/>
      <c r="KJF158"/>
      <c r="KJG158"/>
      <c r="KJH158"/>
      <c r="KJI158"/>
      <c r="KJJ158"/>
      <c r="KJK158"/>
      <c r="KJL158"/>
      <c r="KJM158"/>
      <c r="KJN158"/>
      <c r="KJO158"/>
      <c r="KJP158"/>
      <c r="KJQ158"/>
      <c r="KJR158"/>
      <c r="KJS158"/>
      <c r="KJT158"/>
      <c r="KJU158"/>
      <c r="KJV158"/>
      <c r="KJW158"/>
      <c r="KJX158"/>
      <c r="KJY158"/>
      <c r="KJZ158"/>
      <c r="KKA158"/>
      <c r="KKB158"/>
      <c r="KKC158"/>
      <c r="KKD158"/>
      <c r="KKE158"/>
      <c r="KKF158"/>
      <c r="KKG158"/>
      <c r="KKH158"/>
      <c r="KKI158"/>
      <c r="KKJ158"/>
      <c r="KKK158"/>
      <c r="KKL158"/>
      <c r="KKM158"/>
      <c r="KKN158"/>
      <c r="KKO158"/>
      <c r="KKP158"/>
      <c r="KKQ158"/>
      <c r="KKR158"/>
      <c r="KKS158"/>
      <c r="KKT158"/>
      <c r="KKU158"/>
      <c r="KKV158"/>
      <c r="KKW158"/>
      <c r="KKX158"/>
      <c r="KKY158"/>
      <c r="KKZ158"/>
      <c r="KLA158"/>
      <c r="KLB158"/>
      <c r="KLC158"/>
      <c r="KLD158"/>
      <c r="KLE158"/>
      <c r="KLF158"/>
      <c r="KLG158"/>
      <c r="KLH158"/>
      <c r="KLI158"/>
      <c r="KLJ158"/>
      <c r="KLK158"/>
      <c r="KLL158"/>
      <c r="KLM158"/>
      <c r="KLN158"/>
      <c r="KLO158"/>
      <c r="KLP158"/>
      <c r="KLQ158"/>
      <c r="KLR158"/>
      <c r="KLS158"/>
      <c r="KLT158"/>
      <c r="KLU158"/>
      <c r="KLV158"/>
      <c r="KLW158"/>
      <c r="KLX158"/>
      <c r="KLY158"/>
      <c r="KLZ158"/>
      <c r="KMA158"/>
      <c r="KMB158"/>
      <c r="KMC158"/>
      <c r="KMD158"/>
      <c r="KME158"/>
      <c r="KMF158"/>
      <c r="KMG158"/>
      <c r="KMH158"/>
      <c r="KMI158"/>
      <c r="KMJ158"/>
      <c r="KMK158"/>
      <c r="KML158"/>
      <c r="KMM158"/>
      <c r="KMN158"/>
      <c r="KMO158"/>
      <c r="KMP158"/>
      <c r="KMQ158"/>
      <c r="KMR158"/>
      <c r="KMS158"/>
      <c r="KMT158"/>
      <c r="KMU158"/>
      <c r="KMV158"/>
      <c r="KMW158"/>
      <c r="KMX158"/>
      <c r="KMY158"/>
      <c r="KMZ158"/>
      <c r="KNA158"/>
      <c r="KNB158"/>
      <c r="KNC158"/>
      <c r="KND158"/>
      <c r="KNE158"/>
      <c r="KNF158"/>
      <c r="KNG158"/>
      <c r="KNH158"/>
      <c r="KNI158"/>
      <c r="KNJ158"/>
      <c r="KNK158"/>
      <c r="KNL158"/>
      <c r="KNM158"/>
      <c r="KNN158"/>
      <c r="KNO158"/>
      <c r="KNP158"/>
      <c r="KNQ158"/>
      <c r="KNR158"/>
      <c r="KNS158"/>
      <c r="KNT158"/>
      <c r="KNU158"/>
      <c r="KNV158"/>
      <c r="KNW158"/>
      <c r="KNX158"/>
      <c r="KNY158"/>
      <c r="KNZ158"/>
      <c r="KOA158"/>
      <c r="KOB158"/>
      <c r="KOC158"/>
      <c r="KOD158"/>
      <c r="KOE158"/>
      <c r="KOF158"/>
      <c r="KOG158"/>
      <c r="KOH158"/>
      <c r="KOI158"/>
      <c r="KOJ158"/>
      <c r="KOK158"/>
      <c r="KOL158"/>
      <c r="KOM158"/>
      <c r="KON158"/>
      <c r="KOO158"/>
      <c r="KOP158"/>
      <c r="KOQ158"/>
      <c r="KOR158"/>
      <c r="KOS158"/>
      <c r="KOT158"/>
      <c r="KOU158"/>
      <c r="KOV158"/>
      <c r="KOW158"/>
      <c r="KOX158"/>
      <c r="KOY158"/>
      <c r="KOZ158"/>
      <c r="KPA158"/>
      <c r="KPB158"/>
      <c r="KPC158"/>
      <c r="KPD158"/>
      <c r="KPE158"/>
      <c r="KPF158"/>
      <c r="KPG158"/>
      <c r="KPH158"/>
      <c r="KPI158"/>
      <c r="KPJ158"/>
      <c r="KPK158"/>
      <c r="KPL158"/>
      <c r="KPM158"/>
      <c r="KPN158"/>
      <c r="KPO158"/>
      <c r="KPP158"/>
      <c r="KPQ158"/>
      <c r="KPR158"/>
      <c r="KPS158"/>
      <c r="KPT158"/>
      <c r="KPU158"/>
      <c r="KPV158"/>
      <c r="KPW158"/>
      <c r="KPX158"/>
      <c r="KPY158"/>
      <c r="KPZ158"/>
      <c r="KQA158"/>
      <c r="KQB158"/>
      <c r="KQC158"/>
      <c r="KQD158"/>
      <c r="KQE158"/>
      <c r="KQF158"/>
      <c r="KQG158"/>
      <c r="KQH158"/>
      <c r="KQI158"/>
      <c r="KQJ158"/>
      <c r="KQK158"/>
      <c r="KQL158"/>
      <c r="KQM158"/>
      <c r="KQN158"/>
      <c r="KQO158"/>
      <c r="KQP158"/>
      <c r="KQQ158"/>
      <c r="KQR158"/>
      <c r="KQS158"/>
      <c r="KQT158"/>
      <c r="KQU158"/>
      <c r="KQV158"/>
      <c r="KQW158"/>
      <c r="KQX158"/>
      <c r="KQY158"/>
      <c r="KQZ158"/>
      <c r="KRA158"/>
      <c r="KRB158"/>
      <c r="KRC158"/>
      <c r="KRD158"/>
      <c r="KRE158"/>
      <c r="KRF158"/>
      <c r="KRG158"/>
      <c r="KRH158"/>
      <c r="KRI158"/>
      <c r="KRJ158"/>
      <c r="KRK158"/>
      <c r="KRL158"/>
      <c r="KRM158"/>
      <c r="KRN158"/>
      <c r="KRO158"/>
      <c r="KRP158"/>
      <c r="KRQ158"/>
      <c r="KRR158"/>
      <c r="KRS158"/>
      <c r="KRT158"/>
      <c r="KRU158"/>
      <c r="KRV158"/>
      <c r="KRW158"/>
      <c r="KRX158"/>
      <c r="KRY158"/>
      <c r="KRZ158"/>
      <c r="KSA158"/>
      <c r="KSB158"/>
      <c r="KSC158"/>
      <c r="KSD158"/>
      <c r="KSE158"/>
      <c r="KSF158"/>
      <c r="KSG158"/>
      <c r="KSH158"/>
      <c r="KSI158"/>
      <c r="KSJ158"/>
      <c r="KSK158"/>
      <c r="KSL158"/>
      <c r="KSM158"/>
      <c r="KSN158"/>
      <c r="KSO158"/>
      <c r="KSP158"/>
      <c r="KSQ158"/>
      <c r="KSR158"/>
      <c r="KSS158"/>
      <c r="KST158"/>
      <c r="KSU158"/>
      <c r="KSV158"/>
      <c r="KSW158"/>
      <c r="KSX158"/>
      <c r="KSY158"/>
      <c r="KSZ158"/>
      <c r="KTA158"/>
      <c r="KTB158"/>
      <c r="KTC158"/>
      <c r="KTD158"/>
      <c r="KTE158"/>
      <c r="KTF158"/>
      <c r="KTG158"/>
      <c r="KTH158"/>
      <c r="KTI158"/>
      <c r="KTJ158"/>
      <c r="KTK158"/>
      <c r="KTL158"/>
      <c r="KTM158"/>
      <c r="KTN158"/>
      <c r="KTO158"/>
      <c r="KTP158"/>
      <c r="KTQ158"/>
      <c r="KTR158"/>
      <c r="KTS158"/>
      <c r="KTT158"/>
      <c r="KTU158"/>
      <c r="KTV158"/>
      <c r="KTW158"/>
      <c r="KTX158"/>
      <c r="KTY158"/>
      <c r="KTZ158"/>
      <c r="KUA158"/>
      <c r="KUB158"/>
      <c r="KUC158"/>
      <c r="KUD158"/>
      <c r="KUE158"/>
      <c r="KUF158"/>
      <c r="KUG158"/>
      <c r="KUH158"/>
      <c r="KUI158"/>
      <c r="KUJ158"/>
      <c r="KUK158"/>
      <c r="KUL158"/>
      <c r="KUM158"/>
      <c r="KUN158"/>
      <c r="KUO158"/>
      <c r="KUP158"/>
      <c r="KUQ158"/>
      <c r="KUR158"/>
      <c r="KUS158"/>
      <c r="KUT158"/>
      <c r="KUU158"/>
      <c r="KUV158"/>
      <c r="KUW158"/>
      <c r="KUX158"/>
      <c r="KUY158"/>
      <c r="KUZ158"/>
      <c r="KVA158"/>
      <c r="KVB158"/>
      <c r="KVC158"/>
      <c r="KVD158"/>
      <c r="KVE158"/>
      <c r="KVF158"/>
      <c r="KVG158"/>
      <c r="KVH158"/>
      <c r="KVI158"/>
      <c r="KVJ158"/>
      <c r="KVK158"/>
      <c r="KVL158"/>
      <c r="KVM158"/>
      <c r="KVN158"/>
      <c r="KVO158"/>
      <c r="KVP158"/>
      <c r="KVQ158"/>
      <c r="KVR158"/>
      <c r="KVS158"/>
      <c r="KVT158"/>
      <c r="KVU158"/>
      <c r="KVV158"/>
      <c r="KVW158"/>
      <c r="KVX158"/>
      <c r="KVY158"/>
      <c r="KVZ158"/>
      <c r="KWA158"/>
      <c r="KWB158"/>
      <c r="KWC158"/>
      <c r="KWD158"/>
      <c r="KWE158"/>
      <c r="KWF158"/>
      <c r="KWG158"/>
      <c r="KWH158"/>
      <c r="KWI158"/>
      <c r="KWJ158"/>
      <c r="KWK158"/>
      <c r="KWL158"/>
      <c r="KWM158"/>
      <c r="KWN158"/>
      <c r="KWO158"/>
      <c r="KWP158"/>
      <c r="KWQ158"/>
      <c r="KWR158"/>
      <c r="KWS158"/>
      <c r="KWT158"/>
      <c r="KWU158"/>
      <c r="KWV158"/>
      <c r="KWW158"/>
      <c r="KWX158"/>
      <c r="KWY158"/>
      <c r="KWZ158"/>
      <c r="KXA158"/>
      <c r="KXB158"/>
      <c r="KXC158"/>
      <c r="KXD158"/>
      <c r="KXE158"/>
      <c r="KXF158"/>
      <c r="KXG158"/>
      <c r="KXH158"/>
      <c r="KXI158"/>
      <c r="KXJ158"/>
      <c r="KXK158"/>
      <c r="KXL158"/>
      <c r="KXM158"/>
      <c r="KXN158"/>
      <c r="KXO158"/>
      <c r="KXP158"/>
      <c r="KXQ158"/>
      <c r="KXR158"/>
      <c r="KXS158"/>
      <c r="KXT158"/>
      <c r="KXU158"/>
      <c r="KXV158"/>
      <c r="KXW158"/>
      <c r="KXX158"/>
      <c r="KXY158"/>
      <c r="KXZ158"/>
      <c r="KYA158"/>
      <c r="KYB158"/>
      <c r="KYC158"/>
      <c r="KYD158"/>
      <c r="KYE158"/>
      <c r="KYF158"/>
      <c r="KYG158"/>
      <c r="KYH158"/>
      <c r="KYI158"/>
      <c r="KYJ158"/>
      <c r="KYK158"/>
      <c r="KYL158"/>
      <c r="KYM158"/>
      <c r="KYN158"/>
      <c r="KYO158"/>
      <c r="KYP158"/>
      <c r="KYQ158"/>
      <c r="KYR158"/>
      <c r="KYS158"/>
      <c r="KYT158"/>
      <c r="KYU158"/>
      <c r="KYV158"/>
      <c r="KYW158"/>
      <c r="KYX158"/>
      <c r="KYY158"/>
      <c r="KYZ158"/>
      <c r="KZA158"/>
      <c r="KZB158"/>
      <c r="KZC158"/>
      <c r="KZD158"/>
      <c r="KZE158"/>
      <c r="KZF158"/>
      <c r="KZG158"/>
      <c r="KZH158"/>
      <c r="KZI158"/>
      <c r="KZJ158"/>
      <c r="KZK158"/>
      <c r="KZL158"/>
      <c r="KZM158"/>
      <c r="KZN158"/>
      <c r="KZO158"/>
      <c r="KZP158"/>
      <c r="KZQ158"/>
      <c r="KZR158"/>
      <c r="KZS158"/>
      <c r="KZT158"/>
      <c r="KZU158"/>
      <c r="KZV158"/>
      <c r="KZW158"/>
      <c r="KZX158"/>
      <c r="KZY158"/>
      <c r="KZZ158"/>
      <c r="LAA158"/>
      <c r="LAB158"/>
      <c r="LAC158"/>
      <c r="LAD158"/>
      <c r="LAE158"/>
      <c r="LAF158"/>
      <c r="LAG158"/>
      <c r="LAH158"/>
      <c r="LAI158"/>
      <c r="LAJ158"/>
      <c r="LAK158"/>
      <c r="LAL158"/>
      <c r="LAM158"/>
      <c r="LAN158"/>
      <c r="LAO158"/>
      <c r="LAP158"/>
      <c r="LAQ158"/>
      <c r="LAR158"/>
      <c r="LAS158"/>
      <c r="LAT158"/>
      <c r="LAU158"/>
      <c r="LAV158"/>
      <c r="LAW158"/>
      <c r="LAX158"/>
      <c r="LAY158"/>
      <c r="LAZ158"/>
      <c r="LBA158"/>
      <c r="LBB158"/>
      <c r="LBC158"/>
      <c r="LBD158"/>
      <c r="LBE158"/>
      <c r="LBF158"/>
      <c r="LBG158"/>
      <c r="LBH158"/>
      <c r="LBI158"/>
      <c r="LBJ158"/>
      <c r="LBK158"/>
      <c r="LBL158"/>
      <c r="LBM158"/>
      <c r="LBN158"/>
      <c r="LBO158"/>
      <c r="LBP158"/>
      <c r="LBQ158"/>
      <c r="LBR158"/>
      <c r="LBS158"/>
      <c r="LBT158"/>
      <c r="LBU158"/>
      <c r="LBV158"/>
      <c r="LBW158"/>
      <c r="LBX158"/>
      <c r="LBY158"/>
      <c r="LBZ158"/>
      <c r="LCA158"/>
      <c r="LCB158"/>
      <c r="LCC158"/>
      <c r="LCD158"/>
      <c r="LCE158"/>
      <c r="LCF158"/>
      <c r="LCG158"/>
      <c r="LCH158"/>
      <c r="LCI158"/>
      <c r="LCJ158"/>
      <c r="LCK158"/>
      <c r="LCL158"/>
      <c r="LCM158"/>
      <c r="LCN158"/>
      <c r="LCO158"/>
      <c r="LCP158"/>
      <c r="LCQ158"/>
      <c r="LCR158"/>
      <c r="LCS158"/>
      <c r="LCT158"/>
      <c r="LCU158"/>
      <c r="LCV158"/>
      <c r="LCW158"/>
      <c r="LCX158"/>
      <c r="LCY158"/>
      <c r="LCZ158"/>
      <c r="LDA158"/>
      <c r="LDB158"/>
      <c r="LDC158"/>
      <c r="LDD158"/>
      <c r="LDE158"/>
      <c r="LDF158"/>
      <c r="LDG158"/>
      <c r="LDH158"/>
      <c r="LDI158"/>
      <c r="LDJ158"/>
      <c r="LDK158"/>
      <c r="LDL158"/>
      <c r="LDM158"/>
      <c r="LDN158"/>
      <c r="LDO158"/>
      <c r="LDP158"/>
      <c r="LDQ158"/>
      <c r="LDR158"/>
      <c r="LDS158"/>
      <c r="LDT158"/>
      <c r="LDU158"/>
      <c r="LDV158"/>
      <c r="LDW158"/>
      <c r="LDX158"/>
      <c r="LDY158"/>
      <c r="LDZ158"/>
      <c r="LEA158"/>
      <c r="LEB158"/>
      <c r="LEC158"/>
      <c r="LED158"/>
      <c r="LEE158"/>
      <c r="LEF158"/>
      <c r="LEG158"/>
      <c r="LEH158"/>
      <c r="LEI158"/>
      <c r="LEJ158"/>
      <c r="LEK158"/>
      <c r="LEL158"/>
      <c r="LEM158"/>
      <c r="LEN158"/>
      <c r="LEO158"/>
      <c r="LEP158"/>
      <c r="LEQ158"/>
      <c r="LER158"/>
      <c r="LES158"/>
      <c r="LET158"/>
      <c r="LEU158"/>
      <c r="LEV158"/>
      <c r="LEW158"/>
      <c r="LEX158"/>
      <c r="LEY158"/>
      <c r="LEZ158"/>
      <c r="LFA158"/>
      <c r="LFB158"/>
      <c r="LFC158"/>
      <c r="LFD158"/>
      <c r="LFE158"/>
      <c r="LFF158"/>
      <c r="LFG158"/>
      <c r="LFH158"/>
      <c r="LFI158"/>
      <c r="LFJ158"/>
      <c r="LFK158"/>
      <c r="LFL158"/>
      <c r="LFM158"/>
      <c r="LFN158"/>
      <c r="LFO158"/>
      <c r="LFP158"/>
      <c r="LFQ158"/>
      <c r="LFR158"/>
      <c r="LFS158"/>
      <c r="LFT158"/>
      <c r="LFU158"/>
      <c r="LFV158"/>
      <c r="LFW158"/>
      <c r="LFX158"/>
      <c r="LFY158"/>
      <c r="LFZ158"/>
      <c r="LGA158"/>
      <c r="LGB158"/>
      <c r="LGC158"/>
      <c r="LGD158"/>
      <c r="LGE158"/>
      <c r="LGF158"/>
      <c r="LGG158"/>
      <c r="LGH158"/>
      <c r="LGI158"/>
      <c r="LGJ158"/>
      <c r="LGK158"/>
      <c r="LGL158"/>
      <c r="LGM158"/>
      <c r="LGN158"/>
      <c r="LGO158"/>
      <c r="LGP158"/>
      <c r="LGQ158"/>
      <c r="LGR158"/>
      <c r="LGS158"/>
      <c r="LGT158"/>
      <c r="LGU158"/>
      <c r="LGV158"/>
      <c r="LGW158"/>
      <c r="LGX158"/>
      <c r="LGY158"/>
      <c r="LGZ158"/>
      <c r="LHA158"/>
      <c r="LHB158"/>
      <c r="LHC158"/>
      <c r="LHD158"/>
      <c r="LHE158"/>
      <c r="LHF158"/>
      <c r="LHG158"/>
      <c r="LHH158"/>
      <c r="LHI158"/>
      <c r="LHJ158"/>
      <c r="LHK158"/>
      <c r="LHL158"/>
      <c r="LHM158"/>
      <c r="LHN158"/>
      <c r="LHO158"/>
      <c r="LHP158"/>
      <c r="LHQ158"/>
      <c r="LHR158"/>
      <c r="LHS158"/>
      <c r="LHT158"/>
      <c r="LHU158"/>
      <c r="LHV158"/>
      <c r="LHW158"/>
      <c r="LHX158"/>
      <c r="LHY158"/>
      <c r="LHZ158"/>
      <c r="LIA158"/>
      <c r="LIB158"/>
      <c r="LIC158"/>
      <c r="LID158"/>
      <c r="LIE158"/>
      <c r="LIF158"/>
      <c r="LIG158"/>
      <c r="LIH158"/>
      <c r="LII158"/>
      <c r="LIJ158"/>
      <c r="LIK158"/>
      <c r="LIL158"/>
      <c r="LIM158"/>
      <c r="LIN158"/>
      <c r="LIO158"/>
      <c r="LIP158"/>
      <c r="LIQ158"/>
      <c r="LIR158"/>
      <c r="LIS158"/>
      <c r="LIT158"/>
      <c r="LIU158"/>
      <c r="LIV158"/>
      <c r="LIW158"/>
      <c r="LIX158"/>
      <c r="LIY158"/>
      <c r="LIZ158"/>
      <c r="LJA158"/>
      <c r="LJB158"/>
      <c r="LJC158"/>
      <c r="LJD158"/>
      <c r="LJE158"/>
      <c r="LJF158"/>
      <c r="LJG158"/>
      <c r="LJH158"/>
      <c r="LJI158"/>
      <c r="LJJ158"/>
      <c r="LJK158"/>
      <c r="LJL158"/>
      <c r="LJM158"/>
      <c r="LJN158"/>
      <c r="LJO158"/>
      <c r="LJP158"/>
      <c r="LJQ158"/>
      <c r="LJR158"/>
      <c r="LJS158"/>
      <c r="LJT158"/>
      <c r="LJU158"/>
      <c r="LJV158"/>
      <c r="LJW158"/>
      <c r="LJX158"/>
      <c r="LJY158"/>
      <c r="LJZ158"/>
      <c r="LKA158"/>
      <c r="LKB158"/>
      <c r="LKC158"/>
      <c r="LKD158"/>
      <c r="LKE158"/>
      <c r="LKF158"/>
      <c r="LKG158"/>
      <c r="LKH158"/>
      <c r="LKI158"/>
      <c r="LKJ158"/>
      <c r="LKK158"/>
      <c r="LKL158"/>
      <c r="LKM158"/>
      <c r="LKN158"/>
      <c r="LKO158"/>
      <c r="LKP158"/>
      <c r="LKQ158"/>
      <c r="LKR158"/>
      <c r="LKS158"/>
      <c r="LKT158"/>
      <c r="LKU158"/>
      <c r="LKV158"/>
      <c r="LKW158"/>
      <c r="LKX158"/>
      <c r="LKY158"/>
      <c r="LKZ158"/>
      <c r="LLA158"/>
      <c r="LLB158"/>
      <c r="LLC158"/>
      <c r="LLD158"/>
      <c r="LLE158"/>
      <c r="LLF158"/>
      <c r="LLG158"/>
      <c r="LLH158"/>
      <c r="LLI158"/>
      <c r="LLJ158"/>
      <c r="LLK158"/>
      <c r="LLL158"/>
      <c r="LLM158"/>
      <c r="LLN158"/>
      <c r="LLO158"/>
      <c r="LLP158"/>
      <c r="LLQ158"/>
      <c r="LLR158"/>
      <c r="LLS158"/>
      <c r="LLT158"/>
      <c r="LLU158"/>
      <c r="LLV158"/>
      <c r="LLW158"/>
      <c r="LLX158"/>
      <c r="LLY158"/>
      <c r="LLZ158"/>
      <c r="LMA158"/>
      <c r="LMB158"/>
      <c r="LMC158"/>
      <c r="LMD158"/>
      <c r="LME158"/>
      <c r="LMF158"/>
      <c r="LMG158"/>
      <c r="LMH158"/>
      <c r="LMI158"/>
      <c r="LMJ158"/>
      <c r="LMK158"/>
      <c r="LML158"/>
      <c r="LMM158"/>
      <c r="LMN158"/>
      <c r="LMO158"/>
      <c r="LMP158"/>
      <c r="LMQ158"/>
      <c r="LMR158"/>
      <c r="LMS158"/>
      <c r="LMT158"/>
      <c r="LMU158"/>
      <c r="LMV158"/>
      <c r="LMW158"/>
      <c r="LMX158"/>
      <c r="LMY158"/>
      <c r="LMZ158"/>
      <c r="LNA158"/>
      <c r="LNB158"/>
      <c r="LNC158"/>
      <c r="LND158"/>
      <c r="LNE158"/>
      <c r="LNF158"/>
      <c r="LNG158"/>
      <c r="LNH158"/>
      <c r="LNI158"/>
      <c r="LNJ158"/>
      <c r="LNK158"/>
      <c r="LNL158"/>
      <c r="LNM158"/>
      <c r="LNN158"/>
      <c r="LNO158"/>
      <c r="LNP158"/>
      <c r="LNQ158"/>
      <c r="LNR158"/>
      <c r="LNS158"/>
      <c r="LNT158"/>
      <c r="LNU158"/>
      <c r="LNV158"/>
      <c r="LNW158"/>
      <c r="LNX158"/>
      <c r="LNY158"/>
      <c r="LNZ158"/>
      <c r="LOA158"/>
      <c r="LOB158"/>
      <c r="LOC158"/>
      <c r="LOD158"/>
      <c r="LOE158"/>
      <c r="LOF158"/>
      <c r="LOG158"/>
      <c r="LOH158"/>
      <c r="LOI158"/>
      <c r="LOJ158"/>
      <c r="LOK158"/>
      <c r="LOL158"/>
      <c r="LOM158"/>
      <c r="LON158"/>
      <c r="LOO158"/>
      <c r="LOP158"/>
      <c r="LOQ158"/>
      <c r="LOR158"/>
      <c r="LOS158"/>
      <c r="LOT158"/>
      <c r="LOU158"/>
      <c r="LOV158"/>
      <c r="LOW158"/>
      <c r="LOX158"/>
      <c r="LOY158"/>
      <c r="LOZ158"/>
      <c r="LPA158"/>
      <c r="LPB158"/>
      <c r="LPC158"/>
      <c r="LPD158"/>
      <c r="LPE158"/>
      <c r="LPF158"/>
      <c r="LPG158"/>
      <c r="LPH158"/>
      <c r="LPI158"/>
      <c r="LPJ158"/>
      <c r="LPK158"/>
      <c r="LPL158"/>
      <c r="LPM158"/>
      <c r="LPN158"/>
      <c r="LPO158"/>
      <c r="LPP158"/>
      <c r="LPQ158"/>
      <c r="LPR158"/>
      <c r="LPS158"/>
      <c r="LPT158"/>
      <c r="LPU158"/>
      <c r="LPV158"/>
      <c r="LPW158"/>
      <c r="LPX158"/>
      <c r="LPY158"/>
      <c r="LPZ158"/>
      <c r="LQA158"/>
      <c r="LQB158"/>
      <c r="LQC158"/>
      <c r="LQD158"/>
      <c r="LQE158"/>
      <c r="LQF158"/>
      <c r="LQG158"/>
      <c r="LQH158"/>
      <c r="LQI158"/>
      <c r="LQJ158"/>
      <c r="LQK158"/>
      <c r="LQL158"/>
      <c r="LQM158"/>
      <c r="LQN158"/>
      <c r="LQO158"/>
      <c r="LQP158"/>
      <c r="LQQ158"/>
      <c r="LQR158"/>
      <c r="LQS158"/>
      <c r="LQT158"/>
      <c r="LQU158"/>
      <c r="LQV158"/>
      <c r="LQW158"/>
      <c r="LQX158"/>
      <c r="LQY158"/>
      <c r="LQZ158"/>
      <c r="LRA158"/>
      <c r="LRB158"/>
      <c r="LRC158"/>
      <c r="LRD158"/>
      <c r="LRE158"/>
      <c r="LRF158"/>
      <c r="LRG158"/>
      <c r="LRH158"/>
      <c r="LRI158"/>
      <c r="LRJ158"/>
      <c r="LRK158"/>
      <c r="LRL158"/>
      <c r="LRM158"/>
      <c r="LRN158"/>
      <c r="LRO158"/>
      <c r="LRP158"/>
      <c r="LRQ158"/>
      <c r="LRR158"/>
      <c r="LRS158"/>
      <c r="LRT158"/>
      <c r="LRU158"/>
      <c r="LRV158"/>
      <c r="LRW158"/>
      <c r="LRX158"/>
      <c r="LRY158"/>
      <c r="LRZ158"/>
      <c r="LSA158"/>
      <c r="LSB158"/>
      <c r="LSC158"/>
      <c r="LSD158"/>
      <c r="LSE158"/>
      <c r="LSF158"/>
      <c r="LSG158"/>
      <c r="LSH158"/>
      <c r="LSI158"/>
      <c r="LSJ158"/>
      <c r="LSK158"/>
      <c r="LSL158"/>
      <c r="LSM158"/>
      <c r="LSN158"/>
      <c r="LSO158"/>
      <c r="LSP158"/>
      <c r="LSQ158"/>
      <c r="LSR158"/>
      <c r="LSS158"/>
      <c r="LST158"/>
      <c r="LSU158"/>
      <c r="LSV158"/>
      <c r="LSW158"/>
      <c r="LSX158"/>
      <c r="LSY158"/>
      <c r="LSZ158"/>
      <c r="LTA158"/>
      <c r="LTB158"/>
      <c r="LTC158"/>
      <c r="LTD158"/>
      <c r="LTE158"/>
      <c r="LTF158"/>
      <c r="LTG158"/>
      <c r="LTH158"/>
      <c r="LTI158"/>
      <c r="LTJ158"/>
      <c r="LTK158"/>
      <c r="LTL158"/>
      <c r="LTM158"/>
      <c r="LTN158"/>
      <c r="LTO158"/>
      <c r="LTP158"/>
      <c r="LTQ158"/>
      <c r="LTR158"/>
      <c r="LTS158"/>
      <c r="LTT158"/>
      <c r="LTU158"/>
      <c r="LTV158"/>
      <c r="LTW158"/>
      <c r="LTX158"/>
      <c r="LTY158"/>
      <c r="LTZ158"/>
      <c r="LUA158"/>
      <c r="LUB158"/>
      <c r="LUC158"/>
      <c r="LUD158"/>
      <c r="LUE158"/>
      <c r="LUF158"/>
      <c r="LUG158"/>
      <c r="LUH158"/>
      <c r="LUI158"/>
      <c r="LUJ158"/>
      <c r="LUK158"/>
      <c r="LUL158"/>
      <c r="LUM158"/>
      <c r="LUN158"/>
      <c r="LUO158"/>
      <c r="LUP158"/>
      <c r="LUQ158"/>
      <c r="LUR158"/>
      <c r="LUS158"/>
      <c r="LUT158"/>
      <c r="LUU158"/>
      <c r="LUV158"/>
      <c r="LUW158"/>
      <c r="LUX158"/>
      <c r="LUY158"/>
      <c r="LUZ158"/>
      <c r="LVA158"/>
      <c r="LVB158"/>
      <c r="LVC158"/>
      <c r="LVD158"/>
      <c r="LVE158"/>
      <c r="LVF158"/>
      <c r="LVG158"/>
      <c r="LVH158"/>
      <c r="LVI158"/>
      <c r="LVJ158"/>
      <c r="LVK158"/>
      <c r="LVL158"/>
      <c r="LVM158"/>
      <c r="LVN158"/>
      <c r="LVO158"/>
      <c r="LVP158"/>
      <c r="LVQ158"/>
      <c r="LVR158"/>
      <c r="LVS158"/>
      <c r="LVT158"/>
      <c r="LVU158"/>
      <c r="LVV158"/>
      <c r="LVW158"/>
      <c r="LVX158"/>
      <c r="LVY158"/>
      <c r="LVZ158"/>
      <c r="LWA158"/>
      <c r="LWB158"/>
      <c r="LWC158"/>
      <c r="LWD158"/>
      <c r="LWE158"/>
      <c r="LWF158"/>
      <c r="LWG158"/>
      <c r="LWH158"/>
      <c r="LWI158"/>
      <c r="LWJ158"/>
      <c r="LWK158"/>
      <c r="LWL158"/>
      <c r="LWM158"/>
      <c r="LWN158"/>
      <c r="LWO158"/>
      <c r="LWP158"/>
      <c r="LWQ158"/>
      <c r="LWR158"/>
      <c r="LWS158"/>
      <c r="LWT158"/>
      <c r="LWU158"/>
      <c r="LWV158"/>
      <c r="LWW158"/>
      <c r="LWX158"/>
      <c r="LWY158"/>
      <c r="LWZ158"/>
      <c r="LXA158"/>
      <c r="LXB158"/>
      <c r="LXC158"/>
      <c r="LXD158"/>
      <c r="LXE158"/>
      <c r="LXF158"/>
      <c r="LXG158"/>
      <c r="LXH158"/>
      <c r="LXI158"/>
      <c r="LXJ158"/>
      <c r="LXK158"/>
      <c r="LXL158"/>
      <c r="LXM158"/>
      <c r="LXN158"/>
      <c r="LXO158"/>
      <c r="LXP158"/>
      <c r="LXQ158"/>
      <c r="LXR158"/>
      <c r="LXS158"/>
      <c r="LXT158"/>
      <c r="LXU158"/>
      <c r="LXV158"/>
      <c r="LXW158"/>
      <c r="LXX158"/>
      <c r="LXY158"/>
      <c r="LXZ158"/>
      <c r="LYA158"/>
      <c r="LYB158"/>
      <c r="LYC158"/>
      <c r="LYD158"/>
      <c r="LYE158"/>
      <c r="LYF158"/>
      <c r="LYG158"/>
      <c r="LYH158"/>
      <c r="LYI158"/>
      <c r="LYJ158"/>
      <c r="LYK158"/>
      <c r="LYL158"/>
      <c r="LYM158"/>
      <c r="LYN158"/>
      <c r="LYO158"/>
      <c r="LYP158"/>
      <c r="LYQ158"/>
      <c r="LYR158"/>
      <c r="LYS158"/>
      <c r="LYT158"/>
      <c r="LYU158"/>
      <c r="LYV158"/>
      <c r="LYW158"/>
      <c r="LYX158"/>
      <c r="LYY158"/>
      <c r="LYZ158"/>
      <c r="LZA158"/>
      <c r="LZB158"/>
      <c r="LZC158"/>
      <c r="LZD158"/>
      <c r="LZE158"/>
      <c r="LZF158"/>
      <c r="LZG158"/>
      <c r="LZH158"/>
      <c r="LZI158"/>
      <c r="LZJ158"/>
      <c r="LZK158"/>
      <c r="LZL158"/>
      <c r="LZM158"/>
      <c r="LZN158"/>
      <c r="LZO158"/>
      <c r="LZP158"/>
      <c r="LZQ158"/>
      <c r="LZR158"/>
      <c r="LZS158"/>
      <c r="LZT158"/>
      <c r="LZU158"/>
      <c r="LZV158"/>
      <c r="LZW158"/>
      <c r="LZX158"/>
      <c r="LZY158"/>
      <c r="LZZ158"/>
      <c r="MAA158"/>
      <c r="MAB158"/>
      <c r="MAC158"/>
      <c r="MAD158"/>
      <c r="MAE158"/>
      <c r="MAF158"/>
      <c r="MAG158"/>
      <c r="MAH158"/>
      <c r="MAI158"/>
      <c r="MAJ158"/>
      <c r="MAK158"/>
      <c r="MAL158"/>
      <c r="MAM158"/>
      <c r="MAN158"/>
      <c r="MAO158"/>
      <c r="MAP158"/>
      <c r="MAQ158"/>
      <c r="MAR158"/>
      <c r="MAS158"/>
      <c r="MAT158"/>
      <c r="MAU158"/>
      <c r="MAV158"/>
      <c r="MAW158"/>
      <c r="MAX158"/>
      <c r="MAY158"/>
      <c r="MAZ158"/>
      <c r="MBA158"/>
      <c r="MBB158"/>
      <c r="MBC158"/>
      <c r="MBD158"/>
      <c r="MBE158"/>
      <c r="MBF158"/>
      <c r="MBG158"/>
      <c r="MBH158"/>
      <c r="MBI158"/>
      <c r="MBJ158"/>
      <c r="MBK158"/>
      <c r="MBL158"/>
      <c r="MBM158"/>
      <c r="MBN158"/>
      <c r="MBO158"/>
      <c r="MBP158"/>
      <c r="MBQ158"/>
      <c r="MBR158"/>
      <c r="MBS158"/>
      <c r="MBT158"/>
      <c r="MBU158"/>
      <c r="MBV158"/>
      <c r="MBW158"/>
      <c r="MBX158"/>
      <c r="MBY158"/>
      <c r="MBZ158"/>
      <c r="MCA158"/>
      <c r="MCB158"/>
      <c r="MCC158"/>
      <c r="MCD158"/>
      <c r="MCE158"/>
      <c r="MCF158"/>
      <c r="MCG158"/>
      <c r="MCH158"/>
      <c r="MCI158"/>
      <c r="MCJ158"/>
      <c r="MCK158"/>
      <c r="MCL158"/>
      <c r="MCM158"/>
      <c r="MCN158"/>
      <c r="MCO158"/>
      <c r="MCP158"/>
      <c r="MCQ158"/>
      <c r="MCR158"/>
      <c r="MCS158"/>
      <c r="MCT158"/>
      <c r="MCU158"/>
      <c r="MCV158"/>
      <c r="MCW158"/>
      <c r="MCX158"/>
      <c r="MCY158"/>
      <c r="MCZ158"/>
      <c r="MDA158"/>
      <c r="MDB158"/>
      <c r="MDC158"/>
      <c r="MDD158"/>
      <c r="MDE158"/>
      <c r="MDF158"/>
      <c r="MDG158"/>
      <c r="MDH158"/>
      <c r="MDI158"/>
      <c r="MDJ158"/>
      <c r="MDK158"/>
      <c r="MDL158"/>
      <c r="MDM158"/>
      <c r="MDN158"/>
      <c r="MDO158"/>
      <c r="MDP158"/>
      <c r="MDQ158"/>
      <c r="MDR158"/>
      <c r="MDS158"/>
      <c r="MDT158"/>
      <c r="MDU158"/>
      <c r="MDV158"/>
      <c r="MDW158"/>
      <c r="MDX158"/>
      <c r="MDY158"/>
      <c r="MDZ158"/>
      <c r="MEA158"/>
      <c r="MEB158"/>
      <c r="MEC158"/>
      <c r="MED158"/>
      <c r="MEE158"/>
      <c r="MEF158"/>
      <c r="MEG158"/>
      <c r="MEH158"/>
      <c r="MEI158"/>
      <c r="MEJ158"/>
      <c r="MEK158"/>
      <c r="MEL158"/>
      <c r="MEM158"/>
      <c r="MEN158"/>
      <c r="MEO158"/>
      <c r="MEP158"/>
      <c r="MEQ158"/>
      <c r="MER158"/>
      <c r="MES158"/>
      <c r="MET158"/>
      <c r="MEU158"/>
      <c r="MEV158"/>
      <c r="MEW158"/>
      <c r="MEX158"/>
      <c r="MEY158"/>
      <c r="MEZ158"/>
      <c r="MFA158"/>
      <c r="MFB158"/>
      <c r="MFC158"/>
      <c r="MFD158"/>
      <c r="MFE158"/>
      <c r="MFF158"/>
      <c r="MFG158"/>
      <c r="MFH158"/>
      <c r="MFI158"/>
      <c r="MFJ158"/>
      <c r="MFK158"/>
      <c r="MFL158"/>
      <c r="MFM158"/>
      <c r="MFN158"/>
      <c r="MFO158"/>
      <c r="MFP158"/>
      <c r="MFQ158"/>
      <c r="MFR158"/>
      <c r="MFS158"/>
      <c r="MFT158"/>
      <c r="MFU158"/>
      <c r="MFV158"/>
      <c r="MFW158"/>
      <c r="MFX158"/>
      <c r="MFY158"/>
      <c r="MFZ158"/>
      <c r="MGA158"/>
      <c r="MGB158"/>
      <c r="MGC158"/>
      <c r="MGD158"/>
      <c r="MGE158"/>
      <c r="MGF158"/>
      <c r="MGG158"/>
      <c r="MGH158"/>
      <c r="MGI158"/>
      <c r="MGJ158"/>
      <c r="MGK158"/>
      <c r="MGL158"/>
      <c r="MGM158"/>
      <c r="MGN158"/>
      <c r="MGO158"/>
      <c r="MGP158"/>
      <c r="MGQ158"/>
      <c r="MGR158"/>
      <c r="MGS158"/>
      <c r="MGT158"/>
      <c r="MGU158"/>
      <c r="MGV158"/>
      <c r="MGW158"/>
      <c r="MGX158"/>
      <c r="MGY158"/>
      <c r="MGZ158"/>
      <c r="MHA158"/>
      <c r="MHB158"/>
      <c r="MHC158"/>
      <c r="MHD158"/>
      <c r="MHE158"/>
      <c r="MHF158"/>
      <c r="MHG158"/>
      <c r="MHH158"/>
      <c r="MHI158"/>
      <c r="MHJ158"/>
      <c r="MHK158"/>
      <c r="MHL158"/>
      <c r="MHM158"/>
      <c r="MHN158"/>
      <c r="MHO158"/>
      <c r="MHP158"/>
      <c r="MHQ158"/>
      <c r="MHR158"/>
      <c r="MHS158"/>
      <c r="MHT158"/>
      <c r="MHU158"/>
      <c r="MHV158"/>
      <c r="MHW158"/>
      <c r="MHX158"/>
      <c r="MHY158"/>
      <c r="MHZ158"/>
      <c r="MIA158"/>
      <c r="MIB158"/>
      <c r="MIC158"/>
      <c r="MID158"/>
      <c r="MIE158"/>
      <c r="MIF158"/>
      <c r="MIG158"/>
      <c r="MIH158"/>
      <c r="MII158"/>
      <c r="MIJ158"/>
      <c r="MIK158"/>
      <c r="MIL158"/>
      <c r="MIM158"/>
      <c r="MIN158"/>
      <c r="MIO158"/>
      <c r="MIP158"/>
      <c r="MIQ158"/>
      <c r="MIR158"/>
      <c r="MIS158"/>
      <c r="MIT158"/>
      <c r="MIU158"/>
      <c r="MIV158"/>
      <c r="MIW158"/>
      <c r="MIX158"/>
      <c r="MIY158"/>
      <c r="MIZ158"/>
      <c r="MJA158"/>
      <c r="MJB158"/>
      <c r="MJC158"/>
      <c r="MJD158"/>
      <c r="MJE158"/>
      <c r="MJF158"/>
      <c r="MJG158"/>
      <c r="MJH158"/>
      <c r="MJI158"/>
      <c r="MJJ158"/>
      <c r="MJK158"/>
      <c r="MJL158"/>
      <c r="MJM158"/>
      <c r="MJN158"/>
      <c r="MJO158"/>
      <c r="MJP158"/>
      <c r="MJQ158"/>
      <c r="MJR158"/>
      <c r="MJS158"/>
      <c r="MJT158"/>
      <c r="MJU158"/>
      <c r="MJV158"/>
      <c r="MJW158"/>
      <c r="MJX158"/>
      <c r="MJY158"/>
      <c r="MJZ158"/>
      <c r="MKA158"/>
      <c r="MKB158"/>
      <c r="MKC158"/>
      <c r="MKD158"/>
      <c r="MKE158"/>
      <c r="MKF158"/>
      <c r="MKG158"/>
      <c r="MKH158"/>
      <c r="MKI158"/>
      <c r="MKJ158"/>
      <c r="MKK158"/>
      <c r="MKL158"/>
      <c r="MKM158"/>
      <c r="MKN158"/>
      <c r="MKO158"/>
      <c r="MKP158"/>
      <c r="MKQ158"/>
      <c r="MKR158"/>
      <c r="MKS158"/>
      <c r="MKT158"/>
      <c r="MKU158"/>
      <c r="MKV158"/>
      <c r="MKW158"/>
      <c r="MKX158"/>
      <c r="MKY158"/>
      <c r="MKZ158"/>
      <c r="MLA158"/>
      <c r="MLB158"/>
      <c r="MLC158"/>
      <c r="MLD158"/>
      <c r="MLE158"/>
      <c r="MLF158"/>
      <c r="MLG158"/>
      <c r="MLH158"/>
      <c r="MLI158"/>
      <c r="MLJ158"/>
      <c r="MLK158"/>
      <c r="MLL158"/>
      <c r="MLM158"/>
      <c r="MLN158"/>
      <c r="MLO158"/>
      <c r="MLP158"/>
      <c r="MLQ158"/>
      <c r="MLR158"/>
      <c r="MLS158"/>
      <c r="MLT158"/>
      <c r="MLU158"/>
      <c r="MLV158"/>
      <c r="MLW158"/>
      <c r="MLX158"/>
      <c r="MLY158"/>
      <c r="MLZ158"/>
      <c r="MMA158"/>
      <c r="MMB158"/>
      <c r="MMC158"/>
      <c r="MMD158"/>
      <c r="MME158"/>
      <c r="MMF158"/>
      <c r="MMG158"/>
      <c r="MMH158"/>
      <c r="MMI158"/>
      <c r="MMJ158"/>
      <c r="MMK158"/>
      <c r="MML158"/>
      <c r="MMM158"/>
      <c r="MMN158"/>
      <c r="MMO158"/>
      <c r="MMP158"/>
      <c r="MMQ158"/>
      <c r="MMR158"/>
      <c r="MMS158"/>
      <c r="MMT158"/>
      <c r="MMU158"/>
      <c r="MMV158"/>
      <c r="MMW158"/>
      <c r="MMX158"/>
      <c r="MMY158"/>
      <c r="MMZ158"/>
      <c r="MNA158"/>
      <c r="MNB158"/>
      <c r="MNC158"/>
      <c r="MND158"/>
      <c r="MNE158"/>
      <c r="MNF158"/>
      <c r="MNG158"/>
      <c r="MNH158"/>
      <c r="MNI158"/>
      <c r="MNJ158"/>
      <c r="MNK158"/>
      <c r="MNL158"/>
      <c r="MNM158"/>
      <c r="MNN158"/>
      <c r="MNO158"/>
      <c r="MNP158"/>
      <c r="MNQ158"/>
      <c r="MNR158"/>
      <c r="MNS158"/>
      <c r="MNT158"/>
      <c r="MNU158"/>
      <c r="MNV158"/>
      <c r="MNW158"/>
      <c r="MNX158"/>
      <c r="MNY158"/>
      <c r="MNZ158"/>
      <c r="MOA158"/>
      <c r="MOB158"/>
      <c r="MOC158"/>
      <c r="MOD158"/>
      <c r="MOE158"/>
      <c r="MOF158"/>
      <c r="MOG158"/>
      <c r="MOH158"/>
      <c r="MOI158"/>
      <c r="MOJ158"/>
      <c r="MOK158"/>
      <c r="MOL158"/>
      <c r="MOM158"/>
      <c r="MON158"/>
      <c r="MOO158"/>
      <c r="MOP158"/>
      <c r="MOQ158"/>
      <c r="MOR158"/>
      <c r="MOS158"/>
      <c r="MOT158"/>
      <c r="MOU158"/>
      <c r="MOV158"/>
      <c r="MOW158"/>
      <c r="MOX158"/>
      <c r="MOY158"/>
      <c r="MOZ158"/>
      <c r="MPA158"/>
      <c r="MPB158"/>
      <c r="MPC158"/>
      <c r="MPD158"/>
      <c r="MPE158"/>
      <c r="MPF158"/>
      <c r="MPG158"/>
      <c r="MPH158"/>
      <c r="MPI158"/>
      <c r="MPJ158"/>
      <c r="MPK158"/>
      <c r="MPL158"/>
      <c r="MPM158"/>
      <c r="MPN158"/>
      <c r="MPO158"/>
      <c r="MPP158"/>
      <c r="MPQ158"/>
      <c r="MPR158"/>
      <c r="MPS158"/>
      <c r="MPT158"/>
      <c r="MPU158"/>
      <c r="MPV158"/>
      <c r="MPW158"/>
      <c r="MPX158"/>
      <c r="MPY158"/>
      <c r="MPZ158"/>
      <c r="MQA158"/>
      <c r="MQB158"/>
      <c r="MQC158"/>
      <c r="MQD158"/>
      <c r="MQE158"/>
      <c r="MQF158"/>
      <c r="MQG158"/>
      <c r="MQH158"/>
      <c r="MQI158"/>
      <c r="MQJ158"/>
      <c r="MQK158"/>
      <c r="MQL158"/>
      <c r="MQM158"/>
      <c r="MQN158"/>
      <c r="MQO158"/>
      <c r="MQP158"/>
      <c r="MQQ158"/>
      <c r="MQR158"/>
      <c r="MQS158"/>
      <c r="MQT158"/>
      <c r="MQU158"/>
      <c r="MQV158"/>
      <c r="MQW158"/>
      <c r="MQX158"/>
      <c r="MQY158"/>
      <c r="MQZ158"/>
      <c r="MRA158"/>
      <c r="MRB158"/>
      <c r="MRC158"/>
      <c r="MRD158"/>
      <c r="MRE158"/>
      <c r="MRF158"/>
      <c r="MRG158"/>
      <c r="MRH158"/>
      <c r="MRI158"/>
      <c r="MRJ158"/>
      <c r="MRK158"/>
      <c r="MRL158"/>
      <c r="MRM158"/>
      <c r="MRN158"/>
      <c r="MRO158"/>
      <c r="MRP158"/>
      <c r="MRQ158"/>
      <c r="MRR158"/>
      <c r="MRS158"/>
      <c r="MRT158"/>
      <c r="MRU158"/>
      <c r="MRV158"/>
      <c r="MRW158"/>
      <c r="MRX158"/>
      <c r="MRY158"/>
      <c r="MRZ158"/>
      <c r="MSA158"/>
      <c r="MSB158"/>
      <c r="MSC158"/>
      <c r="MSD158"/>
      <c r="MSE158"/>
      <c r="MSF158"/>
      <c r="MSG158"/>
      <c r="MSH158"/>
      <c r="MSI158"/>
      <c r="MSJ158"/>
      <c r="MSK158"/>
      <c r="MSL158"/>
      <c r="MSM158"/>
      <c r="MSN158"/>
      <c r="MSO158"/>
      <c r="MSP158"/>
      <c r="MSQ158"/>
      <c r="MSR158"/>
      <c r="MSS158"/>
      <c r="MST158"/>
      <c r="MSU158"/>
      <c r="MSV158"/>
      <c r="MSW158"/>
      <c r="MSX158"/>
      <c r="MSY158"/>
      <c r="MSZ158"/>
      <c r="MTA158"/>
      <c r="MTB158"/>
      <c r="MTC158"/>
      <c r="MTD158"/>
      <c r="MTE158"/>
      <c r="MTF158"/>
      <c r="MTG158"/>
      <c r="MTH158"/>
      <c r="MTI158"/>
      <c r="MTJ158"/>
      <c r="MTK158"/>
      <c r="MTL158"/>
      <c r="MTM158"/>
      <c r="MTN158"/>
      <c r="MTO158"/>
      <c r="MTP158"/>
      <c r="MTQ158"/>
      <c r="MTR158"/>
      <c r="MTS158"/>
      <c r="MTT158"/>
      <c r="MTU158"/>
      <c r="MTV158"/>
      <c r="MTW158"/>
      <c r="MTX158"/>
      <c r="MTY158"/>
      <c r="MTZ158"/>
      <c r="MUA158"/>
      <c r="MUB158"/>
      <c r="MUC158"/>
      <c r="MUD158"/>
      <c r="MUE158"/>
      <c r="MUF158"/>
      <c r="MUG158"/>
      <c r="MUH158"/>
      <c r="MUI158"/>
      <c r="MUJ158"/>
      <c r="MUK158"/>
      <c r="MUL158"/>
      <c r="MUM158"/>
      <c r="MUN158"/>
      <c r="MUO158"/>
      <c r="MUP158"/>
      <c r="MUQ158"/>
      <c r="MUR158"/>
      <c r="MUS158"/>
      <c r="MUT158"/>
      <c r="MUU158"/>
      <c r="MUV158"/>
      <c r="MUW158"/>
      <c r="MUX158"/>
      <c r="MUY158"/>
      <c r="MUZ158"/>
      <c r="MVA158"/>
      <c r="MVB158"/>
      <c r="MVC158"/>
      <c r="MVD158"/>
      <c r="MVE158"/>
      <c r="MVF158"/>
      <c r="MVG158"/>
      <c r="MVH158"/>
      <c r="MVI158"/>
      <c r="MVJ158"/>
      <c r="MVK158"/>
      <c r="MVL158"/>
      <c r="MVM158"/>
      <c r="MVN158"/>
      <c r="MVO158"/>
      <c r="MVP158"/>
      <c r="MVQ158"/>
      <c r="MVR158"/>
      <c r="MVS158"/>
      <c r="MVT158"/>
      <c r="MVU158"/>
      <c r="MVV158"/>
      <c r="MVW158"/>
      <c r="MVX158"/>
      <c r="MVY158"/>
      <c r="MVZ158"/>
      <c r="MWA158"/>
      <c r="MWB158"/>
      <c r="MWC158"/>
      <c r="MWD158"/>
      <c r="MWE158"/>
      <c r="MWF158"/>
      <c r="MWG158"/>
      <c r="MWH158"/>
      <c r="MWI158"/>
      <c r="MWJ158"/>
      <c r="MWK158"/>
      <c r="MWL158"/>
      <c r="MWM158"/>
      <c r="MWN158"/>
      <c r="MWO158"/>
      <c r="MWP158"/>
      <c r="MWQ158"/>
      <c r="MWR158"/>
      <c r="MWS158"/>
      <c r="MWT158"/>
      <c r="MWU158"/>
      <c r="MWV158"/>
      <c r="MWW158"/>
      <c r="MWX158"/>
      <c r="MWY158"/>
      <c r="MWZ158"/>
      <c r="MXA158"/>
      <c r="MXB158"/>
      <c r="MXC158"/>
      <c r="MXD158"/>
      <c r="MXE158"/>
      <c r="MXF158"/>
      <c r="MXG158"/>
      <c r="MXH158"/>
      <c r="MXI158"/>
      <c r="MXJ158"/>
      <c r="MXK158"/>
      <c r="MXL158"/>
      <c r="MXM158"/>
      <c r="MXN158"/>
      <c r="MXO158"/>
      <c r="MXP158"/>
      <c r="MXQ158"/>
      <c r="MXR158"/>
      <c r="MXS158"/>
      <c r="MXT158"/>
      <c r="MXU158"/>
      <c r="MXV158"/>
      <c r="MXW158"/>
      <c r="MXX158"/>
      <c r="MXY158"/>
      <c r="MXZ158"/>
      <c r="MYA158"/>
      <c r="MYB158"/>
      <c r="MYC158"/>
      <c r="MYD158"/>
      <c r="MYE158"/>
      <c r="MYF158"/>
      <c r="MYG158"/>
      <c r="MYH158"/>
      <c r="MYI158"/>
      <c r="MYJ158"/>
      <c r="MYK158"/>
      <c r="MYL158"/>
      <c r="MYM158"/>
      <c r="MYN158"/>
      <c r="MYO158"/>
      <c r="MYP158"/>
      <c r="MYQ158"/>
      <c r="MYR158"/>
      <c r="MYS158"/>
      <c r="MYT158"/>
      <c r="MYU158"/>
      <c r="MYV158"/>
      <c r="MYW158"/>
      <c r="MYX158"/>
      <c r="MYY158"/>
      <c r="MYZ158"/>
      <c r="MZA158"/>
      <c r="MZB158"/>
      <c r="MZC158"/>
      <c r="MZD158"/>
      <c r="MZE158"/>
      <c r="MZF158"/>
      <c r="MZG158"/>
      <c r="MZH158"/>
      <c r="MZI158"/>
      <c r="MZJ158"/>
      <c r="MZK158"/>
      <c r="MZL158"/>
      <c r="MZM158"/>
      <c r="MZN158"/>
      <c r="MZO158"/>
      <c r="MZP158"/>
      <c r="MZQ158"/>
      <c r="MZR158"/>
      <c r="MZS158"/>
      <c r="MZT158"/>
      <c r="MZU158"/>
      <c r="MZV158"/>
      <c r="MZW158"/>
      <c r="MZX158"/>
      <c r="MZY158"/>
      <c r="MZZ158"/>
      <c r="NAA158"/>
      <c r="NAB158"/>
      <c r="NAC158"/>
      <c r="NAD158"/>
      <c r="NAE158"/>
      <c r="NAF158"/>
      <c r="NAG158"/>
      <c r="NAH158"/>
      <c r="NAI158"/>
      <c r="NAJ158"/>
      <c r="NAK158"/>
      <c r="NAL158"/>
      <c r="NAM158"/>
      <c r="NAN158"/>
      <c r="NAO158"/>
      <c r="NAP158"/>
      <c r="NAQ158"/>
      <c r="NAR158"/>
      <c r="NAS158"/>
      <c r="NAT158"/>
      <c r="NAU158"/>
      <c r="NAV158"/>
      <c r="NAW158"/>
      <c r="NAX158"/>
      <c r="NAY158"/>
      <c r="NAZ158"/>
      <c r="NBA158"/>
      <c r="NBB158"/>
      <c r="NBC158"/>
      <c r="NBD158"/>
      <c r="NBE158"/>
      <c r="NBF158"/>
      <c r="NBG158"/>
      <c r="NBH158"/>
      <c r="NBI158"/>
      <c r="NBJ158"/>
      <c r="NBK158"/>
      <c r="NBL158"/>
      <c r="NBM158"/>
      <c r="NBN158"/>
      <c r="NBO158"/>
      <c r="NBP158"/>
      <c r="NBQ158"/>
      <c r="NBR158"/>
      <c r="NBS158"/>
      <c r="NBT158"/>
      <c r="NBU158"/>
      <c r="NBV158"/>
      <c r="NBW158"/>
      <c r="NBX158"/>
      <c r="NBY158"/>
      <c r="NBZ158"/>
      <c r="NCA158"/>
      <c r="NCB158"/>
      <c r="NCC158"/>
      <c r="NCD158"/>
      <c r="NCE158"/>
      <c r="NCF158"/>
      <c r="NCG158"/>
      <c r="NCH158"/>
      <c r="NCI158"/>
      <c r="NCJ158"/>
      <c r="NCK158"/>
      <c r="NCL158"/>
      <c r="NCM158"/>
      <c r="NCN158"/>
      <c r="NCO158"/>
      <c r="NCP158"/>
      <c r="NCQ158"/>
      <c r="NCR158"/>
      <c r="NCS158"/>
      <c r="NCT158"/>
      <c r="NCU158"/>
      <c r="NCV158"/>
      <c r="NCW158"/>
      <c r="NCX158"/>
      <c r="NCY158"/>
      <c r="NCZ158"/>
      <c r="NDA158"/>
      <c r="NDB158"/>
      <c r="NDC158"/>
      <c r="NDD158"/>
      <c r="NDE158"/>
      <c r="NDF158"/>
      <c r="NDG158"/>
      <c r="NDH158"/>
      <c r="NDI158"/>
      <c r="NDJ158"/>
      <c r="NDK158"/>
      <c r="NDL158"/>
      <c r="NDM158"/>
      <c r="NDN158"/>
      <c r="NDO158"/>
      <c r="NDP158"/>
      <c r="NDQ158"/>
      <c r="NDR158"/>
      <c r="NDS158"/>
      <c r="NDT158"/>
      <c r="NDU158"/>
      <c r="NDV158"/>
      <c r="NDW158"/>
      <c r="NDX158"/>
      <c r="NDY158"/>
      <c r="NDZ158"/>
      <c r="NEA158"/>
      <c r="NEB158"/>
      <c r="NEC158"/>
      <c r="NED158"/>
      <c r="NEE158"/>
      <c r="NEF158"/>
      <c r="NEG158"/>
      <c r="NEH158"/>
      <c r="NEI158"/>
      <c r="NEJ158"/>
      <c r="NEK158"/>
      <c r="NEL158"/>
      <c r="NEM158"/>
      <c r="NEN158"/>
      <c r="NEO158"/>
      <c r="NEP158"/>
      <c r="NEQ158"/>
      <c r="NER158"/>
      <c r="NES158"/>
      <c r="NET158"/>
      <c r="NEU158"/>
      <c r="NEV158"/>
      <c r="NEW158"/>
      <c r="NEX158"/>
      <c r="NEY158"/>
      <c r="NEZ158"/>
      <c r="NFA158"/>
      <c r="NFB158"/>
      <c r="NFC158"/>
      <c r="NFD158"/>
      <c r="NFE158"/>
      <c r="NFF158"/>
      <c r="NFG158"/>
      <c r="NFH158"/>
      <c r="NFI158"/>
      <c r="NFJ158"/>
      <c r="NFK158"/>
      <c r="NFL158"/>
      <c r="NFM158"/>
      <c r="NFN158"/>
      <c r="NFO158"/>
      <c r="NFP158"/>
      <c r="NFQ158"/>
      <c r="NFR158"/>
      <c r="NFS158"/>
      <c r="NFT158"/>
      <c r="NFU158"/>
      <c r="NFV158"/>
      <c r="NFW158"/>
      <c r="NFX158"/>
      <c r="NFY158"/>
      <c r="NFZ158"/>
      <c r="NGA158"/>
      <c r="NGB158"/>
      <c r="NGC158"/>
      <c r="NGD158"/>
      <c r="NGE158"/>
      <c r="NGF158"/>
      <c r="NGG158"/>
      <c r="NGH158"/>
      <c r="NGI158"/>
      <c r="NGJ158"/>
      <c r="NGK158"/>
      <c r="NGL158"/>
      <c r="NGM158"/>
      <c r="NGN158"/>
      <c r="NGO158"/>
      <c r="NGP158"/>
      <c r="NGQ158"/>
      <c r="NGR158"/>
      <c r="NGS158"/>
      <c r="NGT158"/>
      <c r="NGU158"/>
      <c r="NGV158"/>
      <c r="NGW158"/>
      <c r="NGX158"/>
      <c r="NGY158"/>
      <c r="NGZ158"/>
      <c r="NHA158"/>
      <c r="NHB158"/>
      <c r="NHC158"/>
      <c r="NHD158"/>
      <c r="NHE158"/>
      <c r="NHF158"/>
      <c r="NHG158"/>
      <c r="NHH158"/>
      <c r="NHI158"/>
      <c r="NHJ158"/>
      <c r="NHK158"/>
      <c r="NHL158"/>
      <c r="NHM158"/>
      <c r="NHN158"/>
      <c r="NHO158"/>
      <c r="NHP158"/>
      <c r="NHQ158"/>
      <c r="NHR158"/>
      <c r="NHS158"/>
      <c r="NHT158"/>
      <c r="NHU158"/>
      <c r="NHV158"/>
      <c r="NHW158"/>
      <c r="NHX158"/>
      <c r="NHY158"/>
      <c r="NHZ158"/>
      <c r="NIA158"/>
      <c r="NIB158"/>
      <c r="NIC158"/>
      <c r="NID158"/>
      <c r="NIE158"/>
      <c r="NIF158"/>
      <c r="NIG158"/>
      <c r="NIH158"/>
      <c r="NII158"/>
      <c r="NIJ158"/>
      <c r="NIK158"/>
      <c r="NIL158"/>
      <c r="NIM158"/>
      <c r="NIN158"/>
      <c r="NIO158"/>
      <c r="NIP158"/>
      <c r="NIQ158"/>
      <c r="NIR158"/>
      <c r="NIS158"/>
      <c r="NIT158"/>
      <c r="NIU158"/>
      <c r="NIV158"/>
      <c r="NIW158"/>
      <c r="NIX158"/>
      <c r="NIY158"/>
      <c r="NIZ158"/>
      <c r="NJA158"/>
      <c r="NJB158"/>
      <c r="NJC158"/>
      <c r="NJD158"/>
      <c r="NJE158"/>
      <c r="NJF158"/>
      <c r="NJG158"/>
      <c r="NJH158"/>
      <c r="NJI158"/>
      <c r="NJJ158"/>
      <c r="NJK158"/>
      <c r="NJL158"/>
      <c r="NJM158"/>
      <c r="NJN158"/>
      <c r="NJO158"/>
      <c r="NJP158"/>
      <c r="NJQ158"/>
      <c r="NJR158"/>
      <c r="NJS158"/>
      <c r="NJT158"/>
      <c r="NJU158"/>
      <c r="NJV158"/>
      <c r="NJW158"/>
      <c r="NJX158"/>
      <c r="NJY158"/>
      <c r="NJZ158"/>
      <c r="NKA158"/>
      <c r="NKB158"/>
      <c r="NKC158"/>
      <c r="NKD158"/>
      <c r="NKE158"/>
      <c r="NKF158"/>
      <c r="NKG158"/>
      <c r="NKH158"/>
      <c r="NKI158"/>
      <c r="NKJ158"/>
      <c r="NKK158"/>
      <c r="NKL158"/>
      <c r="NKM158"/>
      <c r="NKN158"/>
      <c r="NKO158"/>
      <c r="NKP158"/>
      <c r="NKQ158"/>
      <c r="NKR158"/>
      <c r="NKS158"/>
      <c r="NKT158"/>
      <c r="NKU158"/>
      <c r="NKV158"/>
      <c r="NKW158"/>
      <c r="NKX158"/>
      <c r="NKY158"/>
      <c r="NKZ158"/>
      <c r="NLA158"/>
      <c r="NLB158"/>
      <c r="NLC158"/>
      <c r="NLD158"/>
      <c r="NLE158"/>
      <c r="NLF158"/>
      <c r="NLG158"/>
      <c r="NLH158"/>
      <c r="NLI158"/>
      <c r="NLJ158"/>
      <c r="NLK158"/>
      <c r="NLL158"/>
      <c r="NLM158"/>
      <c r="NLN158"/>
      <c r="NLO158"/>
      <c r="NLP158"/>
      <c r="NLQ158"/>
      <c r="NLR158"/>
      <c r="NLS158"/>
      <c r="NLT158"/>
      <c r="NLU158"/>
      <c r="NLV158"/>
      <c r="NLW158"/>
      <c r="NLX158"/>
      <c r="NLY158"/>
      <c r="NLZ158"/>
      <c r="NMA158"/>
      <c r="NMB158"/>
      <c r="NMC158"/>
      <c r="NMD158"/>
      <c r="NME158"/>
      <c r="NMF158"/>
      <c r="NMG158"/>
      <c r="NMH158"/>
      <c r="NMI158"/>
      <c r="NMJ158"/>
      <c r="NMK158"/>
      <c r="NML158"/>
      <c r="NMM158"/>
      <c r="NMN158"/>
      <c r="NMO158"/>
      <c r="NMP158"/>
      <c r="NMQ158"/>
      <c r="NMR158"/>
      <c r="NMS158"/>
      <c r="NMT158"/>
      <c r="NMU158"/>
      <c r="NMV158"/>
      <c r="NMW158"/>
      <c r="NMX158"/>
      <c r="NMY158"/>
      <c r="NMZ158"/>
      <c r="NNA158"/>
      <c r="NNB158"/>
      <c r="NNC158"/>
      <c r="NND158"/>
      <c r="NNE158"/>
      <c r="NNF158"/>
      <c r="NNG158"/>
      <c r="NNH158"/>
      <c r="NNI158"/>
      <c r="NNJ158"/>
      <c r="NNK158"/>
      <c r="NNL158"/>
      <c r="NNM158"/>
      <c r="NNN158"/>
      <c r="NNO158"/>
      <c r="NNP158"/>
      <c r="NNQ158"/>
      <c r="NNR158"/>
      <c r="NNS158"/>
      <c r="NNT158"/>
      <c r="NNU158"/>
      <c r="NNV158"/>
      <c r="NNW158"/>
      <c r="NNX158"/>
      <c r="NNY158"/>
      <c r="NNZ158"/>
      <c r="NOA158"/>
      <c r="NOB158"/>
      <c r="NOC158"/>
      <c r="NOD158"/>
      <c r="NOE158"/>
      <c r="NOF158"/>
      <c r="NOG158"/>
      <c r="NOH158"/>
      <c r="NOI158"/>
      <c r="NOJ158"/>
      <c r="NOK158"/>
      <c r="NOL158"/>
      <c r="NOM158"/>
      <c r="NON158"/>
      <c r="NOO158"/>
      <c r="NOP158"/>
      <c r="NOQ158"/>
      <c r="NOR158"/>
      <c r="NOS158"/>
      <c r="NOT158"/>
      <c r="NOU158"/>
      <c r="NOV158"/>
      <c r="NOW158"/>
      <c r="NOX158"/>
      <c r="NOY158"/>
      <c r="NOZ158"/>
      <c r="NPA158"/>
      <c r="NPB158"/>
      <c r="NPC158"/>
      <c r="NPD158"/>
      <c r="NPE158"/>
      <c r="NPF158"/>
      <c r="NPG158"/>
      <c r="NPH158"/>
      <c r="NPI158"/>
      <c r="NPJ158"/>
      <c r="NPK158"/>
      <c r="NPL158"/>
      <c r="NPM158"/>
      <c r="NPN158"/>
      <c r="NPO158"/>
      <c r="NPP158"/>
      <c r="NPQ158"/>
      <c r="NPR158"/>
      <c r="NPS158"/>
      <c r="NPT158"/>
      <c r="NPU158"/>
      <c r="NPV158"/>
      <c r="NPW158"/>
      <c r="NPX158"/>
      <c r="NPY158"/>
      <c r="NPZ158"/>
      <c r="NQA158"/>
      <c r="NQB158"/>
      <c r="NQC158"/>
      <c r="NQD158"/>
      <c r="NQE158"/>
      <c r="NQF158"/>
      <c r="NQG158"/>
      <c r="NQH158"/>
      <c r="NQI158"/>
      <c r="NQJ158"/>
      <c r="NQK158"/>
      <c r="NQL158"/>
      <c r="NQM158"/>
      <c r="NQN158"/>
      <c r="NQO158"/>
      <c r="NQP158"/>
      <c r="NQQ158"/>
      <c r="NQR158"/>
      <c r="NQS158"/>
      <c r="NQT158"/>
      <c r="NQU158"/>
      <c r="NQV158"/>
      <c r="NQW158"/>
      <c r="NQX158"/>
      <c r="NQY158"/>
      <c r="NQZ158"/>
      <c r="NRA158"/>
      <c r="NRB158"/>
      <c r="NRC158"/>
      <c r="NRD158"/>
      <c r="NRE158"/>
      <c r="NRF158"/>
      <c r="NRG158"/>
      <c r="NRH158"/>
      <c r="NRI158"/>
      <c r="NRJ158"/>
      <c r="NRK158"/>
      <c r="NRL158"/>
      <c r="NRM158"/>
      <c r="NRN158"/>
      <c r="NRO158"/>
      <c r="NRP158"/>
      <c r="NRQ158"/>
      <c r="NRR158"/>
      <c r="NRS158"/>
      <c r="NRT158"/>
      <c r="NRU158"/>
      <c r="NRV158"/>
      <c r="NRW158"/>
      <c r="NRX158"/>
      <c r="NRY158"/>
      <c r="NRZ158"/>
      <c r="NSA158"/>
      <c r="NSB158"/>
      <c r="NSC158"/>
      <c r="NSD158"/>
      <c r="NSE158"/>
      <c r="NSF158"/>
      <c r="NSG158"/>
      <c r="NSH158"/>
      <c r="NSI158"/>
      <c r="NSJ158"/>
      <c r="NSK158"/>
      <c r="NSL158"/>
      <c r="NSM158"/>
      <c r="NSN158"/>
      <c r="NSO158"/>
      <c r="NSP158"/>
      <c r="NSQ158"/>
      <c r="NSR158"/>
      <c r="NSS158"/>
      <c r="NST158"/>
      <c r="NSU158"/>
      <c r="NSV158"/>
      <c r="NSW158"/>
      <c r="NSX158"/>
      <c r="NSY158"/>
      <c r="NSZ158"/>
      <c r="NTA158"/>
      <c r="NTB158"/>
      <c r="NTC158"/>
      <c r="NTD158"/>
      <c r="NTE158"/>
      <c r="NTF158"/>
      <c r="NTG158"/>
      <c r="NTH158"/>
      <c r="NTI158"/>
      <c r="NTJ158"/>
      <c r="NTK158"/>
      <c r="NTL158"/>
      <c r="NTM158"/>
      <c r="NTN158"/>
      <c r="NTO158"/>
      <c r="NTP158"/>
      <c r="NTQ158"/>
      <c r="NTR158"/>
      <c r="NTS158"/>
      <c r="NTT158"/>
      <c r="NTU158"/>
      <c r="NTV158"/>
      <c r="NTW158"/>
      <c r="NTX158"/>
      <c r="NTY158"/>
      <c r="NTZ158"/>
      <c r="NUA158"/>
      <c r="NUB158"/>
      <c r="NUC158"/>
      <c r="NUD158"/>
      <c r="NUE158"/>
      <c r="NUF158"/>
      <c r="NUG158"/>
      <c r="NUH158"/>
      <c r="NUI158"/>
      <c r="NUJ158"/>
      <c r="NUK158"/>
      <c r="NUL158"/>
      <c r="NUM158"/>
      <c r="NUN158"/>
      <c r="NUO158"/>
      <c r="NUP158"/>
      <c r="NUQ158"/>
      <c r="NUR158"/>
      <c r="NUS158"/>
      <c r="NUT158"/>
      <c r="NUU158"/>
      <c r="NUV158"/>
      <c r="NUW158"/>
      <c r="NUX158"/>
      <c r="NUY158"/>
      <c r="NUZ158"/>
      <c r="NVA158"/>
      <c r="NVB158"/>
      <c r="NVC158"/>
      <c r="NVD158"/>
      <c r="NVE158"/>
      <c r="NVF158"/>
      <c r="NVG158"/>
      <c r="NVH158"/>
      <c r="NVI158"/>
      <c r="NVJ158"/>
      <c r="NVK158"/>
      <c r="NVL158"/>
      <c r="NVM158"/>
      <c r="NVN158"/>
      <c r="NVO158"/>
      <c r="NVP158"/>
      <c r="NVQ158"/>
      <c r="NVR158"/>
      <c r="NVS158"/>
      <c r="NVT158"/>
      <c r="NVU158"/>
      <c r="NVV158"/>
      <c r="NVW158"/>
      <c r="NVX158"/>
      <c r="NVY158"/>
      <c r="NVZ158"/>
      <c r="NWA158"/>
      <c r="NWB158"/>
      <c r="NWC158"/>
      <c r="NWD158"/>
      <c r="NWE158"/>
      <c r="NWF158"/>
      <c r="NWG158"/>
      <c r="NWH158"/>
      <c r="NWI158"/>
      <c r="NWJ158"/>
      <c r="NWK158"/>
      <c r="NWL158"/>
      <c r="NWM158"/>
      <c r="NWN158"/>
      <c r="NWO158"/>
      <c r="NWP158"/>
      <c r="NWQ158"/>
      <c r="NWR158"/>
      <c r="NWS158"/>
      <c r="NWT158"/>
      <c r="NWU158"/>
      <c r="NWV158"/>
      <c r="NWW158"/>
      <c r="NWX158"/>
      <c r="NWY158"/>
      <c r="NWZ158"/>
      <c r="NXA158"/>
      <c r="NXB158"/>
      <c r="NXC158"/>
      <c r="NXD158"/>
      <c r="NXE158"/>
      <c r="NXF158"/>
      <c r="NXG158"/>
      <c r="NXH158"/>
      <c r="NXI158"/>
      <c r="NXJ158"/>
      <c r="NXK158"/>
      <c r="NXL158"/>
      <c r="NXM158"/>
      <c r="NXN158"/>
      <c r="NXO158"/>
      <c r="NXP158"/>
      <c r="NXQ158"/>
      <c r="NXR158"/>
      <c r="NXS158"/>
      <c r="NXT158"/>
      <c r="NXU158"/>
      <c r="NXV158"/>
      <c r="NXW158"/>
      <c r="NXX158"/>
      <c r="NXY158"/>
      <c r="NXZ158"/>
      <c r="NYA158"/>
      <c r="NYB158"/>
      <c r="NYC158"/>
      <c r="NYD158"/>
      <c r="NYE158"/>
      <c r="NYF158"/>
      <c r="NYG158"/>
      <c r="NYH158"/>
      <c r="NYI158"/>
      <c r="NYJ158"/>
      <c r="NYK158"/>
      <c r="NYL158"/>
      <c r="NYM158"/>
      <c r="NYN158"/>
      <c r="NYO158"/>
      <c r="NYP158"/>
      <c r="NYQ158"/>
      <c r="NYR158"/>
      <c r="NYS158"/>
      <c r="NYT158"/>
      <c r="NYU158"/>
      <c r="NYV158"/>
      <c r="NYW158"/>
      <c r="NYX158"/>
      <c r="NYY158"/>
      <c r="NYZ158"/>
      <c r="NZA158"/>
      <c r="NZB158"/>
      <c r="NZC158"/>
      <c r="NZD158"/>
      <c r="NZE158"/>
      <c r="NZF158"/>
      <c r="NZG158"/>
      <c r="NZH158"/>
      <c r="NZI158"/>
      <c r="NZJ158"/>
      <c r="NZK158"/>
      <c r="NZL158"/>
      <c r="NZM158"/>
      <c r="NZN158"/>
      <c r="NZO158"/>
      <c r="NZP158"/>
      <c r="NZQ158"/>
      <c r="NZR158"/>
      <c r="NZS158"/>
      <c r="NZT158"/>
      <c r="NZU158"/>
      <c r="NZV158"/>
      <c r="NZW158"/>
      <c r="NZX158"/>
      <c r="NZY158"/>
      <c r="NZZ158"/>
      <c r="OAA158"/>
      <c r="OAB158"/>
      <c r="OAC158"/>
      <c r="OAD158"/>
      <c r="OAE158"/>
      <c r="OAF158"/>
      <c r="OAG158"/>
      <c r="OAH158"/>
      <c r="OAI158"/>
      <c r="OAJ158"/>
      <c r="OAK158"/>
      <c r="OAL158"/>
      <c r="OAM158"/>
      <c r="OAN158"/>
      <c r="OAO158"/>
      <c r="OAP158"/>
      <c r="OAQ158"/>
      <c r="OAR158"/>
      <c r="OAS158"/>
      <c r="OAT158"/>
      <c r="OAU158"/>
      <c r="OAV158"/>
      <c r="OAW158"/>
      <c r="OAX158"/>
      <c r="OAY158"/>
      <c r="OAZ158"/>
      <c r="OBA158"/>
      <c r="OBB158"/>
      <c r="OBC158"/>
      <c r="OBD158"/>
      <c r="OBE158"/>
      <c r="OBF158"/>
      <c r="OBG158"/>
      <c r="OBH158"/>
      <c r="OBI158"/>
      <c r="OBJ158"/>
      <c r="OBK158"/>
      <c r="OBL158"/>
      <c r="OBM158"/>
      <c r="OBN158"/>
      <c r="OBO158"/>
      <c r="OBP158"/>
      <c r="OBQ158"/>
      <c r="OBR158"/>
      <c r="OBS158"/>
      <c r="OBT158"/>
      <c r="OBU158"/>
      <c r="OBV158"/>
      <c r="OBW158"/>
      <c r="OBX158"/>
      <c r="OBY158"/>
      <c r="OBZ158"/>
      <c r="OCA158"/>
      <c r="OCB158"/>
      <c r="OCC158"/>
      <c r="OCD158"/>
      <c r="OCE158"/>
      <c r="OCF158"/>
      <c r="OCG158"/>
      <c r="OCH158"/>
      <c r="OCI158"/>
      <c r="OCJ158"/>
      <c r="OCK158"/>
      <c r="OCL158"/>
      <c r="OCM158"/>
      <c r="OCN158"/>
      <c r="OCO158"/>
      <c r="OCP158"/>
      <c r="OCQ158"/>
      <c r="OCR158"/>
      <c r="OCS158"/>
      <c r="OCT158"/>
      <c r="OCU158"/>
      <c r="OCV158"/>
      <c r="OCW158"/>
      <c r="OCX158"/>
      <c r="OCY158"/>
      <c r="OCZ158"/>
      <c r="ODA158"/>
      <c r="ODB158"/>
      <c r="ODC158"/>
      <c r="ODD158"/>
      <c r="ODE158"/>
      <c r="ODF158"/>
      <c r="ODG158"/>
      <c r="ODH158"/>
      <c r="ODI158"/>
      <c r="ODJ158"/>
      <c r="ODK158"/>
      <c r="ODL158"/>
      <c r="ODM158"/>
      <c r="ODN158"/>
      <c r="ODO158"/>
      <c r="ODP158"/>
      <c r="ODQ158"/>
      <c r="ODR158"/>
      <c r="ODS158"/>
      <c r="ODT158"/>
      <c r="ODU158"/>
      <c r="ODV158"/>
      <c r="ODW158"/>
      <c r="ODX158"/>
      <c r="ODY158"/>
      <c r="ODZ158"/>
      <c r="OEA158"/>
      <c r="OEB158"/>
      <c r="OEC158"/>
      <c r="OED158"/>
      <c r="OEE158"/>
      <c r="OEF158"/>
      <c r="OEG158"/>
      <c r="OEH158"/>
      <c r="OEI158"/>
      <c r="OEJ158"/>
      <c r="OEK158"/>
      <c r="OEL158"/>
      <c r="OEM158"/>
      <c r="OEN158"/>
      <c r="OEO158"/>
      <c r="OEP158"/>
      <c r="OEQ158"/>
      <c r="OER158"/>
      <c r="OES158"/>
      <c r="OET158"/>
      <c r="OEU158"/>
      <c r="OEV158"/>
      <c r="OEW158"/>
      <c r="OEX158"/>
      <c r="OEY158"/>
      <c r="OEZ158"/>
      <c r="OFA158"/>
      <c r="OFB158"/>
      <c r="OFC158"/>
      <c r="OFD158"/>
      <c r="OFE158"/>
      <c r="OFF158"/>
      <c r="OFG158"/>
      <c r="OFH158"/>
      <c r="OFI158"/>
      <c r="OFJ158"/>
      <c r="OFK158"/>
      <c r="OFL158"/>
      <c r="OFM158"/>
      <c r="OFN158"/>
      <c r="OFO158"/>
      <c r="OFP158"/>
      <c r="OFQ158"/>
      <c r="OFR158"/>
      <c r="OFS158"/>
      <c r="OFT158"/>
      <c r="OFU158"/>
      <c r="OFV158"/>
      <c r="OFW158"/>
      <c r="OFX158"/>
      <c r="OFY158"/>
      <c r="OFZ158"/>
      <c r="OGA158"/>
      <c r="OGB158"/>
      <c r="OGC158"/>
      <c r="OGD158"/>
      <c r="OGE158"/>
      <c r="OGF158"/>
      <c r="OGG158"/>
      <c r="OGH158"/>
      <c r="OGI158"/>
      <c r="OGJ158"/>
      <c r="OGK158"/>
      <c r="OGL158"/>
      <c r="OGM158"/>
      <c r="OGN158"/>
      <c r="OGO158"/>
      <c r="OGP158"/>
      <c r="OGQ158"/>
      <c r="OGR158"/>
      <c r="OGS158"/>
      <c r="OGT158"/>
      <c r="OGU158"/>
      <c r="OGV158"/>
      <c r="OGW158"/>
      <c r="OGX158"/>
      <c r="OGY158"/>
      <c r="OGZ158"/>
      <c r="OHA158"/>
      <c r="OHB158"/>
      <c r="OHC158"/>
      <c r="OHD158"/>
      <c r="OHE158"/>
      <c r="OHF158"/>
      <c r="OHG158"/>
      <c r="OHH158"/>
      <c r="OHI158"/>
      <c r="OHJ158"/>
      <c r="OHK158"/>
      <c r="OHL158"/>
      <c r="OHM158"/>
      <c r="OHN158"/>
      <c r="OHO158"/>
      <c r="OHP158"/>
      <c r="OHQ158"/>
      <c r="OHR158"/>
      <c r="OHS158"/>
      <c r="OHT158"/>
      <c r="OHU158"/>
      <c r="OHV158"/>
      <c r="OHW158"/>
      <c r="OHX158"/>
      <c r="OHY158"/>
      <c r="OHZ158"/>
      <c r="OIA158"/>
      <c r="OIB158"/>
      <c r="OIC158"/>
      <c r="OID158"/>
      <c r="OIE158"/>
      <c r="OIF158"/>
      <c r="OIG158"/>
      <c r="OIH158"/>
      <c r="OII158"/>
      <c r="OIJ158"/>
      <c r="OIK158"/>
      <c r="OIL158"/>
      <c r="OIM158"/>
      <c r="OIN158"/>
      <c r="OIO158"/>
      <c r="OIP158"/>
      <c r="OIQ158"/>
      <c r="OIR158"/>
      <c r="OIS158"/>
      <c r="OIT158"/>
      <c r="OIU158"/>
      <c r="OIV158"/>
      <c r="OIW158"/>
      <c r="OIX158"/>
      <c r="OIY158"/>
      <c r="OIZ158"/>
      <c r="OJA158"/>
      <c r="OJB158"/>
      <c r="OJC158"/>
      <c r="OJD158"/>
      <c r="OJE158"/>
      <c r="OJF158"/>
      <c r="OJG158"/>
      <c r="OJH158"/>
      <c r="OJI158"/>
      <c r="OJJ158"/>
      <c r="OJK158"/>
      <c r="OJL158"/>
      <c r="OJM158"/>
      <c r="OJN158"/>
      <c r="OJO158"/>
      <c r="OJP158"/>
      <c r="OJQ158"/>
      <c r="OJR158"/>
      <c r="OJS158"/>
      <c r="OJT158"/>
      <c r="OJU158"/>
      <c r="OJV158"/>
      <c r="OJW158"/>
      <c r="OJX158"/>
      <c r="OJY158"/>
      <c r="OJZ158"/>
      <c r="OKA158"/>
      <c r="OKB158"/>
      <c r="OKC158"/>
      <c r="OKD158"/>
      <c r="OKE158"/>
      <c r="OKF158"/>
      <c r="OKG158"/>
      <c r="OKH158"/>
      <c r="OKI158"/>
      <c r="OKJ158"/>
      <c r="OKK158"/>
      <c r="OKL158"/>
      <c r="OKM158"/>
      <c r="OKN158"/>
      <c r="OKO158"/>
      <c r="OKP158"/>
      <c r="OKQ158"/>
      <c r="OKR158"/>
      <c r="OKS158"/>
      <c r="OKT158"/>
      <c r="OKU158"/>
      <c r="OKV158"/>
      <c r="OKW158"/>
      <c r="OKX158"/>
      <c r="OKY158"/>
      <c r="OKZ158"/>
      <c r="OLA158"/>
      <c r="OLB158"/>
      <c r="OLC158"/>
      <c r="OLD158"/>
      <c r="OLE158"/>
      <c r="OLF158"/>
      <c r="OLG158"/>
      <c r="OLH158"/>
      <c r="OLI158"/>
      <c r="OLJ158"/>
      <c r="OLK158"/>
      <c r="OLL158"/>
      <c r="OLM158"/>
      <c r="OLN158"/>
      <c r="OLO158"/>
      <c r="OLP158"/>
      <c r="OLQ158"/>
      <c r="OLR158"/>
      <c r="OLS158"/>
      <c r="OLT158"/>
      <c r="OLU158"/>
      <c r="OLV158"/>
      <c r="OLW158"/>
      <c r="OLX158"/>
      <c r="OLY158"/>
      <c r="OLZ158"/>
      <c r="OMA158"/>
      <c r="OMB158"/>
      <c r="OMC158"/>
      <c r="OMD158"/>
      <c r="OME158"/>
      <c r="OMF158"/>
      <c r="OMG158"/>
      <c r="OMH158"/>
      <c r="OMI158"/>
      <c r="OMJ158"/>
      <c r="OMK158"/>
      <c r="OML158"/>
      <c r="OMM158"/>
      <c r="OMN158"/>
      <c r="OMO158"/>
      <c r="OMP158"/>
      <c r="OMQ158"/>
      <c r="OMR158"/>
      <c r="OMS158"/>
      <c r="OMT158"/>
      <c r="OMU158"/>
      <c r="OMV158"/>
      <c r="OMW158"/>
      <c r="OMX158"/>
      <c r="OMY158"/>
      <c r="OMZ158"/>
      <c r="ONA158"/>
      <c r="ONB158"/>
      <c r="ONC158"/>
      <c r="OND158"/>
      <c r="ONE158"/>
      <c r="ONF158"/>
      <c r="ONG158"/>
      <c r="ONH158"/>
      <c r="ONI158"/>
      <c r="ONJ158"/>
      <c r="ONK158"/>
      <c r="ONL158"/>
      <c r="ONM158"/>
      <c r="ONN158"/>
      <c r="ONO158"/>
      <c r="ONP158"/>
      <c r="ONQ158"/>
      <c r="ONR158"/>
      <c r="ONS158"/>
      <c r="ONT158"/>
      <c r="ONU158"/>
      <c r="ONV158"/>
      <c r="ONW158"/>
      <c r="ONX158"/>
      <c r="ONY158"/>
      <c r="ONZ158"/>
      <c r="OOA158"/>
      <c r="OOB158"/>
      <c r="OOC158"/>
      <c r="OOD158"/>
      <c r="OOE158"/>
      <c r="OOF158"/>
      <c r="OOG158"/>
      <c r="OOH158"/>
      <c r="OOI158"/>
      <c r="OOJ158"/>
      <c r="OOK158"/>
      <c r="OOL158"/>
      <c r="OOM158"/>
      <c r="OON158"/>
      <c r="OOO158"/>
      <c r="OOP158"/>
      <c r="OOQ158"/>
      <c r="OOR158"/>
      <c r="OOS158"/>
      <c r="OOT158"/>
      <c r="OOU158"/>
      <c r="OOV158"/>
      <c r="OOW158"/>
      <c r="OOX158"/>
      <c r="OOY158"/>
      <c r="OOZ158"/>
      <c r="OPA158"/>
      <c r="OPB158"/>
      <c r="OPC158"/>
      <c r="OPD158"/>
      <c r="OPE158"/>
      <c r="OPF158"/>
      <c r="OPG158"/>
      <c r="OPH158"/>
      <c r="OPI158"/>
      <c r="OPJ158"/>
      <c r="OPK158"/>
      <c r="OPL158"/>
      <c r="OPM158"/>
      <c r="OPN158"/>
      <c r="OPO158"/>
      <c r="OPP158"/>
      <c r="OPQ158"/>
      <c r="OPR158"/>
      <c r="OPS158"/>
      <c r="OPT158"/>
      <c r="OPU158"/>
      <c r="OPV158"/>
      <c r="OPW158"/>
      <c r="OPX158"/>
      <c r="OPY158"/>
      <c r="OPZ158"/>
      <c r="OQA158"/>
      <c r="OQB158"/>
      <c r="OQC158"/>
      <c r="OQD158"/>
      <c r="OQE158"/>
      <c r="OQF158"/>
      <c r="OQG158"/>
      <c r="OQH158"/>
      <c r="OQI158"/>
      <c r="OQJ158"/>
      <c r="OQK158"/>
      <c r="OQL158"/>
      <c r="OQM158"/>
      <c r="OQN158"/>
      <c r="OQO158"/>
      <c r="OQP158"/>
      <c r="OQQ158"/>
      <c r="OQR158"/>
      <c r="OQS158"/>
      <c r="OQT158"/>
      <c r="OQU158"/>
      <c r="OQV158"/>
      <c r="OQW158"/>
      <c r="OQX158"/>
      <c r="OQY158"/>
      <c r="OQZ158"/>
      <c r="ORA158"/>
      <c r="ORB158"/>
      <c r="ORC158"/>
      <c r="ORD158"/>
      <c r="ORE158"/>
      <c r="ORF158"/>
      <c r="ORG158"/>
      <c r="ORH158"/>
      <c r="ORI158"/>
      <c r="ORJ158"/>
      <c r="ORK158"/>
      <c r="ORL158"/>
      <c r="ORM158"/>
      <c r="ORN158"/>
      <c r="ORO158"/>
      <c r="ORP158"/>
      <c r="ORQ158"/>
      <c r="ORR158"/>
      <c r="ORS158"/>
      <c r="ORT158"/>
      <c r="ORU158"/>
      <c r="ORV158"/>
      <c r="ORW158"/>
      <c r="ORX158"/>
      <c r="ORY158"/>
      <c r="ORZ158"/>
      <c r="OSA158"/>
      <c r="OSB158"/>
      <c r="OSC158"/>
      <c r="OSD158"/>
      <c r="OSE158"/>
      <c r="OSF158"/>
      <c r="OSG158"/>
      <c r="OSH158"/>
      <c r="OSI158"/>
      <c r="OSJ158"/>
      <c r="OSK158"/>
      <c r="OSL158"/>
      <c r="OSM158"/>
      <c r="OSN158"/>
      <c r="OSO158"/>
      <c r="OSP158"/>
      <c r="OSQ158"/>
      <c r="OSR158"/>
      <c r="OSS158"/>
      <c r="OST158"/>
      <c r="OSU158"/>
      <c r="OSV158"/>
      <c r="OSW158"/>
      <c r="OSX158"/>
      <c r="OSY158"/>
      <c r="OSZ158"/>
      <c r="OTA158"/>
      <c r="OTB158"/>
      <c r="OTC158"/>
      <c r="OTD158"/>
      <c r="OTE158"/>
      <c r="OTF158"/>
      <c r="OTG158"/>
      <c r="OTH158"/>
      <c r="OTI158"/>
      <c r="OTJ158"/>
      <c r="OTK158"/>
      <c r="OTL158"/>
      <c r="OTM158"/>
      <c r="OTN158"/>
      <c r="OTO158"/>
      <c r="OTP158"/>
      <c r="OTQ158"/>
      <c r="OTR158"/>
      <c r="OTS158"/>
      <c r="OTT158"/>
      <c r="OTU158"/>
      <c r="OTV158"/>
      <c r="OTW158"/>
      <c r="OTX158"/>
      <c r="OTY158"/>
      <c r="OTZ158"/>
      <c r="OUA158"/>
      <c r="OUB158"/>
      <c r="OUC158"/>
      <c r="OUD158"/>
      <c r="OUE158"/>
      <c r="OUF158"/>
      <c r="OUG158"/>
      <c r="OUH158"/>
      <c r="OUI158"/>
      <c r="OUJ158"/>
      <c r="OUK158"/>
      <c r="OUL158"/>
      <c r="OUM158"/>
      <c r="OUN158"/>
      <c r="OUO158"/>
      <c r="OUP158"/>
      <c r="OUQ158"/>
      <c r="OUR158"/>
      <c r="OUS158"/>
      <c r="OUT158"/>
      <c r="OUU158"/>
      <c r="OUV158"/>
      <c r="OUW158"/>
      <c r="OUX158"/>
      <c r="OUY158"/>
      <c r="OUZ158"/>
      <c r="OVA158"/>
      <c r="OVB158"/>
      <c r="OVC158"/>
      <c r="OVD158"/>
      <c r="OVE158"/>
      <c r="OVF158"/>
      <c r="OVG158"/>
      <c r="OVH158"/>
      <c r="OVI158"/>
      <c r="OVJ158"/>
      <c r="OVK158"/>
      <c r="OVL158"/>
      <c r="OVM158"/>
      <c r="OVN158"/>
      <c r="OVO158"/>
      <c r="OVP158"/>
      <c r="OVQ158"/>
      <c r="OVR158"/>
      <c r="OVS158"/>
      <c r="OVT158"/>
      <c r="OVU158"/>
      <c r="OVV158"/>
      <c r="OVW158"/>
      <c r="OVX158"/>
      <c r="OVY158"/>
      <c r="OVZ158"/>
      <c r="OWA158"/>
      <c r="OWB158"/>
      <c r="OWC158"/>
      <c r="OWD158"/>
      <c r="OWE158"/>
      <c r="OWF158"/>
      <c r="OWG158"/>
      <c r="OWH158"/>
      <c r="OWI158"/>
      <c r="OWJ158"/>
      <c r="OWK158"/>
      <c r="OWL158"/>
      <c r="OWM158"/>
      <c r="OWN158"/>
      <c r="OWO158"/>
      <c r="OWP158"/>
      <c r="OWQ158"/>
      <c r="OWR158"/>
      <c r="OWS158"/>
      <c r="OWT158"/>
      <c r="OWU158"/>
      <c r="OWV158"/>
      <c r="OWW158"/>
      <c r="OWX158"/>
      <c r="OWY158"/>
      <c r="OWZ158"/>
      <c r="OXA158"/>
      <c r="OXB158"/>
      <c r="OXC158"/>
      <c r="OXD158"/>
      <c r="OXE158"/>
      <c r="OXF158"/>
      <c r="OXG158"/>
      <c r="OXH158"/>
      <c r="OXI158"/>
      <c r="OXJ158"/>
      <c r="OXK158"/>
      <c r="OXL158"/>
      <c r="OXM158"/>
      <c r="OXN158"/>
      <c r="OXO158"/>
      <c r="OXP158"/>
      <c r="OXQ158"/>
      <c r="OXR158"/>
      <c r="OXS158"/>
      <c r="OXT158"/>
      <c r="OXU158"/>
      <c r="OXV158"/>
      <c r="OXW158"/>
      <c r="OXX158"/>
      <c r="OXY158"/>
      <c r="OXZ158"/>
      <c r="OYA158"/>
      <c r="OYB158"/>
      <c r="OYC158"/>
      <c r="OYD158"/>
      <c r="OYE158"/>
      <c r="OYF158"/>
      <c r="OYG158"/>
      <c r="OYH158"/>
      <c r="OYI158"/>
      <c r="OYJ158"/>
      <c r="OYK158"/>
      <c r="OYL158"/>
      <c r="OYM158"/>
      <c r="OYN158"/>
      <c r="OYO158"/>
      <c r="OYP158"/>
      <c r="OYQ158"/>
      <c r="OYR158"/>
      <c r="OYS158"/>
      <c r="OYT158"/>
      <c r="OYU158"/>
      <c r="OYV158"/>
      <c r="OYW158"/>
      <c r="OYX158"/>
      <c r="OYY158"/>
      <c r="OYZ158"/>
      <c r="OZA158"/>
      <c r="OZB158"/>
      <c r="OZC158"/>
      <c r="OZD158"/>
      <c r="OZE158"/>
      <c r="OZF158"/>
      <c r="OZG158"/>
      <c r="OZH158"/>
      <c r="OZI158"/>
      <c r="OZJ158"/>
      <c r="OZK158"/>
      <c r="OZL158"/>
      <c r="OZM158"/>
      <c r="OZN158"/>
      <c r="OZO158"/>
      <c r="OZP158"/>
      <c r="OZQ158"/>
      <c r="OZR158"/>
      <c r="OZS158"/>
      <c r="OZT158"/>
      <c r="OZU158"/>
      <c r="OZV158"/>
      <c r="OZW158"/>
      <c r="OZX158"/>
      <c r="OZY158"/>
      <c r="OZZ158"/>
      <c r="PAA158"/>
      <c r="PAB158"/>
      <c r="PAC158"/>
      <c r="PAD158"/>
      <c r="PAE158"/>
      <c r="PAF158"/>
      <c r="PAG158"/>
      <c r="PAH158"/>
      <c r="PAI158"/>
      <c r="PAJ158"/>
      <c r="PAK158"/>
      <c r="PAL158"/>
      <c r="PAM158"/>
      <c r="PAN158"/>
      <c r="PAO158"/>
      <c r="PAP158"/>
      <c r="PAQ158"/>
      <c r="PAR158"/>
      <c r="PAS158"/>
      <c r="PAT158"/>
      <c r="PAU158"/>
      <c r="PAV158"/>
      <c r="PAW158"/>
      <c r="PAX158"/>
      <c r="PAY158"/>
      <c r="PAZ158"/>
      <c r="PBA158"/>
      <c r="PBB158"/>
      <c r="PBC158"/>
      <c r="PBD158"/>
      <c r="PBE158"/>
      <c r="PBF158"/>
      <c r="PBG158"/>
      <c r="PBH158"/>
      <c r="PBI158"/>
      <c r="PBJ158"/>
      <c r="PBK158"/>
      <c r="PBL158"/>
      <c r="PBM158"/>
      <c r="PBN158"/>
      <c r="PBO158"/>
      <c r="PBP158"/>
      <c r="PBQ158"/>
      <c r="PBR158"/>
      <c r="PBS158"/>
      <c r="PBT158"/>
      <c r="PBU158"/>
      <c r="PBV158"/>
      <c r="PBW158"/>
      <c r="PBX158"/>
      <c r="PBY158"/>
      <c r="PBZ158"/>
      <c r="PCA158"/>
      <c r="PCB158"/>
      <c r="PCC158"/>
      <c r="PCD158"/>
      <c r="PCE158"/>
      <c r="PCF158"/>
      <c r="PCG158"/>
      <c r="PCH158"/>
      <c r="PCI158"/>
      <c r="PCJ158"/>
      <c r="PCK158"/>
      <c r="PCL158"/>
      <c r="PCM158"/>
      <c r="PCN158"/>
      <c r="PCO158"/>
      <c r="PCP158"/>
      <c r="PCQ158"/>
      <c r="PCR158"/>
      <c r="PCS158"/>
      <c r="PCT158"/>
      <c r="PCU158"/>
      <c r="PCV158"/>
      <c r="PCW158"/>
      <c r="PCX158"/>
      <c r="PCY158"/>
      <c r="PCZ158"/>
      <c r="PDA158"/>
      <c r="PDB158"/>
      <c r="PDC158"/>
      <c r="PDD158"/>
      <c r="PDE158"/>
      <c r="PDF158"/>
      <c r="PDG158"/>
      <c r="PDH158"/>
      <c r="PDI158"/>
      <c r="PDJ158"/>
      <c r="PDK158"/>
      <c r="PDL158"/>
      <c r="PDM158"/>
      <c r="PDN158"/>
      <c r="PDO158"/>
      <c r="PDP158"/>
      <c r="PDQ158"/>
      <c r="PDR158"/>
      <c r="PDS158"/>
      <c r="PDT158"/>
      <c r="PDU158"/>
      <c r="PDV158"/>
      <c r="PDW158"/>
      <c r="PDX158"/>
      <c r="PDY158"/>
      <c r="PDZ158"/>
      <c r="PEA158"/>
      <c r="PEB158"/>
      <c r="PEC158"/>
      <c r="PED158"/>
      <c r="PEE158"/>
      <c r="PEF158"/>
      <c r="PEG158"/>
      <c r="PEH158"/>
      <c r="PEI158"/>
      <c r="PEJ158"/>
      <c r="PEK158"/>
      <c r="PEL158"/>
      <c r="PEM158"/>
      <c r="PEN158"/>
      <c r="PEO158"/>
      <c r="PEP158"/>
      <c r="PEQ158"/>
      <c r="PER158"/>
      <c r="PES158"/>
      <c r="PET158"/>
      <c r="PEU158"/>
      <c r="PEV158"/>
      <c r="PEW158"/>
      <c r="PEX158"/>
      <c r="PEY158"/>
      <c r="PEZ158"/>
      <c r="PFA158"/>
      <c r="PFB158"/>
      <c r="PFC158"/>
      <c r="PFD158"/>
      <c r="PFE158"/>
      <c r="PFF158"/>
      <c r="PFG158"/>
      <c r="PFH158"/>
      <c r="PFI158"/>
      <c r="PFJ158"/>
      <c r="PFK158"/>
      <c r="PFL158"/>
      <c r="PFM158"/>
      <c r="PFN158"/>
      <c r="PFO158"/>
      <c r="PFP158"/>
      <c r="PFQ158"/>
      <c r="PFR158"/>
      <c r="PFS158"/>
      <c r="PFT158"/>
      <c r="PFU158"/>
      <c r="PFV158"/>
      <c r="PFW158"/>
      <c r="PFX158"/>
      <c r="PFY158"/>
      <c r="PFZ158"/>
      <c r="PGA158"/>
      <c r="PGB158"/>
      <c r="PGC158"/>
      <c r="PGD158"/>
      <c r="PGE158"/>
      <c r="PGF158"/>
      <c r="PGG158"/>
      <c r="PGH158"/>
      <c r="PGI158"/>
      <c r="PGJ158"/>
      <c r="PGK158"/>
      <c r="PGL158"/>
      <c r="PGM158"/>
      <c r="PGN158"/>
      <c r="PGO158"/>
      <c r="PGP158"/>
      <c r="PGQ158"/>
      <c r="PGR158"/>
      <c r="PGS158"/>
      <c r="PGT158"/>
      <c r="PGU158"/>
      <c r="PGV158"/>
      <c r="PGW158"/>
      <c r="PGX158"/>
      <c r="PGY158"/>
      <c r="PGZ158"/>
      <c r="PHA158"/>
      <c r="PHB158"/>
      <c r="PHC158"/>
      <c r="PHD158"/>
      <c r="PHE158"/>
      <c r="PHF158"/>
      <c r="PHG158"/>
      <c r="PHH158"/>
      <c r="PHI158"/>
      <c r="PHJ158"/>
      <c r="PHK158"/>
      <c r="PHL158"/>
      <c r="PHM158"/>
      <c r="PHN158"/>
      <c r="PHO158"/>
      <c r="PHP158"/>
      <c r="PHQ158"/>
      <c r="PHR158"/>
      <c r="PHS158"/>
      <c r="PHT158"/>
      <c r="PHU158"/>
      <c r="PHV158"/>
      <c r="PHW158"/>
      <c r="PHX158"/>
      <c r="PHY158"/>
      <c r="PHZ158"/>
      <c r="PIA158"/>
      <c r="PIB158"/>
      <c r="PIC158"/>
      <c r="PID158"/>
      <c r="PIE158"/>
      <c r="PIF158"/>
      <c r="PIG158"/>
      <c r="PIH158"/>
      <c r="PII158"/>
      <c r="PIJ158"/>
      <c r="PIK158"/>
      <c r="PIL158"/>
      <c r="PIM158"/>
      <c r="PIN158"/>
      <c r="PIO158"/>
      <c r="PIP158"/>
      <c r="PIQ158"/>
      <c r="PIR158"/>
      <c r="PIS158"/>
      <c r="PIT158"/>
      <c r="PIU158"/>
      <c r="PIV158"/>
      <c r="PIW158"/>
      <c r="PIX158"/>
      <c r="PIY158"/>
      <c r="PIZ158"/>
      <c r="PJA158"/>
      <c r="PJB158"/>
      <c r="PJC158"/>
      <c r="PJD158"/>
      <c r="PJE158"/>
      <c r="PJF158"/>
      <c r="PJG158"/>
      <c r="PJH158"/>
      <c r="PJI158"/>
      <c r="PJJ158"/>
      <c r="PJK158"/>
      <c r="PJL158"/>
      <c r="PJM158"/>
      <c r="PJN158"/>
      <c r="PJO158"/>
      <c r="PJP158"/>
      <c r="PJQ158"/>
      <c r="PJR158"/>
      <c r="PJS158"/>
      <c r="PJT158"/>
      <c r="PJU158"/>
      <c r="PJV158"/>
      <c r="PJW158"/>
      <c r="PJX158"/>
      <c r="PJY158"/>
      <c r="PJZ158"/>
      <c r="PKA158"/>
      <c r="PKB158"/>
      <c r="PKC158"/>
      <c r="PKD158"/>
      <c r="PKE158"/>
      <c r="PKF158"/>
      <c r="PKG158"/>
      <c r="PKH158"/>
      <c r="PKI158"/>
      <c r="PKJ158"/>
      <c r="PKK158"/>
      <c r="PKL158"/>
      <c r="PKM158"/>
      <c r="PKN158"/>
      <c r="PKO158"/>
      <c r="PKP158"/>
      <c r="PKQ158"/>
      <c r="PKR158"/>
      <c r="PKS158"/>
      <c r="PKT158"/>
      <c r="PKU158"/>
      <c r="PKV158"/>
      <c r="PKW158"/>
      <c r="PKX158"/>
      <c r="PKY158"/>
      <c r="PKZ158"/>
      <c r="PLA158"/>
      <c r="PLB158"/>
      <c r="PLC158"/>
      <c r="PLD158"/>
      <c r="PLE158"/>
      <c r="PLF158"/>
      <c r="PLG158"/>
      <c r="PLH158"/>
      <c r="PLI158"/>
      <c r="PLJ158"/>
      <c r="PLK158"/>
      <c r="PLL158"/>
      <c r="PLM158"/>
      <c r="PLN158"/>
      <c r="PLO158"/>
      <c r="PLP158"/>
      <c r="PLQ158"/>
      <c r="PLR158"/>
      <c r="PLS158"/>
      <c r="PLT158"/>
      <c r="PLU158"/>
      <c r="PLV158"/>
      <c r="PLW158"/>
      <c r="PLX158"/>
      <c r="PLY158"/>
      <c r="PLZ158"/>
      <c r="PMA158"/>
      <c r="PMB158"/>
      <c r="PMC158"/>
      <c r="PMD158"/>
      <c r="PME158"/>
      <c r="PMF158"/>
      <c r="PMG158"/>
      <c r="PMH158"/>
      <c r="PMI158"/>
      <c r="PMJ158"/>
      <c r="PMK158"/>
      <c r="PML158"/>
      <c r="PMM158"/>
      <c r="PMN158"/>
      <c r="PMO158"/>
      <c r="PMP158"/>
      <c r="PMQ158"/>
      <c r="PMR158"/>
      <c r="PMS158"/>
      <c r="PMT158"/>
      <c r="PMU158"/>
      <c r="PMV158"/>
      <c r="PMW158"/>
      <c r="PMX158"/>
      <c r="PMY158"/>
      <c r="PMZ158"/>
      <c r="PNA158"/>
      <c r="PNB158"/>
      <c r="PNC158"/>
      <c r="PND158"/>
      <c r="PNE158"/>
      <c r="PNF158"/>
      <c r="PNG158"/>
      <c r="PNH158"/>
      <c r="PNI158"/>
      <c r="PNJ158"/>
      <c r="PNK158"/>
      <c r="PNL158"/>
      <c r="PNM158"/>
      <c r="PNN158"/>
      <c r="PNO158"/>
      <c r="PNP158"/>
      <c r="PNQ158"/>
      <c r="PNR158"/>
      <c r="PNS158"/>
      <c r="PNT158"/>
      <c r="PNU158"/>
      <c r="PNV158"/>
      <c r="PNW158"/>
      <c r="PNX158"/>
      <c r="PNY158"/>
      <c r="PNZ158"/>
      <c r="POA158"/>
      <c r="POB158"/>
      <c r="POC158"/>
      <c r="POD158"/>
      <c r="POE158"/>
      <c r="POF158"/>
      <c r="POG158"/>
      <c r="POH158"/>
      <c r="POI158"/>
      <c r="POJ158"/>
      <c r="POK158"/>
      <c r="POL158"/>
      <c r="POM158"/>
      <c r="PON158"/>
      <c r="POO158"/>
      <c r="POP158"/>
      <c r="POQ158"/>
      <c r="POR158"/>
      <c r="POS158"/>
      <c r="POT158"/>
      <c r="POU158"/>
      <c r="POV158"/>
      <c r="POW158"/>
      <c r="POX158"/>
      <c r="POY158"/>
      <c r="POZ158"/>
      <c r="PPA158"/>
      <c r="PPB158"/>
      <c r="PPC158"/>
      <c r="PPD158"/>
      <c r="PPE158"/>
      <c r="PPF158"/>
      <c r="PPG158"/>
      <c r="PPH158"/>
      <c r="PPI158"/>
      <c r="PPJ158"/>
      <c r="PPK158"/>
      <c r="PPL158"/>
      <c r="PPM158"/>
      <c r="PPN158"/>
      <c r="PPO158"/>
      <c r="PPP158"/>
      <c r="PPQ158"/>
      <c r="PPR158"/>
      <c r="PPS158"/>
      <c r="PPT158"/>
      <c r="PPU158"/>
      <c r="PPV158"/>
      <c r="PPW158"/>
      <c r="PPX158"/>
      <c r="PPY158"/>
      <c r="PPZ158"/>
      <c r="PQA158"/>
      <c r="PQB158"/>
      <c r="PQC158"/>
      <c r="PQD158"/>
      <c r="PQE158"/>
      <c r="PQF158"/>
      <c r="PQG158"/>
      <c r="PQH158"/>
      <c r="PQI158"/>
      <c r="PQJ158"/>
      <c r="PQK158"/>
      <c r="PQL158"/>
      <c r="PQM158"/>
      <c r="PQN158"/>
      <c r="PQO158"/>
      <c r="PQP158"/>
      <c r="PQQ158"/>
      <c r="PQR158"/>
      <c r="PQS158"/>
      <c r="PQT158"/>
      <c r="PQU158"/>
      <c r="PQV158"/>
      <c r="PQW158"/>
      <c r="PQX158"/>
      <c r="PQY158"/>
      <c r="PQZ158"/>
      <c r="PRA158"/>
      <c r="PRB158"/>
      <c r="PRC158"/>
      <c r="PRD158"/>
      <c r="PRE158"/>
      <c r="PRF158"/>
      <c r="PRG158"/>
      <c r="PRH158"/>
      <c r="PRI158"/>
      <c r="PRJ158"/>
      <c r="PRK158"/>
      <c r="PRL158"/>
      <c r="PRM158"/>
      <c r="PRN158"/>
      <c r="PRO158"/>
      <c r="PRP158"/>
      <c r="PRQ158"/>
      <c r="PRR158"/>
      <c r="PRS158"/>
      <c r="PRT158"/>
      <c r="PRU158"/>
      <c r="PRV158"/>
      <c r="PRW158"/>
      <c r="PRX158"/>
      <c r="PRY158"/>
      <c r="PRZ158"/>
      <c r="PSA158"/>
      <c r="PSB158"/>
      <c r="PSC158"/>
      <c r="PSD158"/>
      <c r="PSE158"/>
      <c r="PSF158"/>
      <c r="PSG158"/>
      <c r="PSH158"/>
      <c r="PSI158"/>
      <c r="PSJ158"/>
      <c r="PSK158"/>
      <c r="PSL158"/>
      <c r="PSM158"/>
      <c r="PSN158"/>
      <c r="PSO158"/>
      <c r="PSP158"/>
      <c r="PSQ158"/>
      <c r="PSR158"/>
      <c r="PSS158"/>
      <c r="PST158"/>
      <c r="PSU158"/>
      <c r="PSV158"/>
      <c r="PSW158"/>
      <c r="PSX158"/>
      <c r="PSY158"/>
      <c r="PSZ158"/>
      <c r="PTA158"/>
      <c r="PTB158"/>
      <c r="PTC158"/>
      <c r="PTD158"/>
      <c r="PTE158"/>
      <c r="PTF158"/>
      <c r="PTG158"/>
      <c r="PTH158"/>
      <c r="PTI158"/>
      <c r="PTJ158"/>
      <c r="PTK158"/>
      <c r="PTL158"/>
      <c r="PTM158"/>
      <c r="PTN158"/>
      <c r="PTO158"/>
      <c r="PTP158"/>
      <c r="PTQ158"/>
      <c r="PTR158"/>
      <c r="PTS158"/>
      <c r="PTT158"/>
      <c r="PTU158"/>
      <c r="PTV158"/>
      <c r="PTW158"/>
      <c r="PTX158"/>
      <c r="PTY158"/>
      <c r="PTZ158"/>
      <c r="PUA158"/>
      <c r="PUB158"/>
      <c r="PUC158"/>
      <c r="PUD158"/>
      <c r="PUE158"/>
      <c r="PUF158"/>
      <c r="PUG158"/>
      <c r="PUH158"/>
      <c r="PUI158"/>
      <c r="PUJ158"/>
      <c r="PUK158"/>
      <c r="PUL158"/>
      <c r="PUM158"/>
      <c r="PUN158"/>
      <c r="PUO158"/>
      <c r="PUP158"/>
      <c r="PUQ158"/>
      <c r="PUR158"/>
      <c r="PUS158"/>
      <c r="PUT158"/>
      <c r="PUU158"/>
      <c r="PUV158"/>
      <c r="PUW158"/>
      <c r="PUX158"/>
      <c r="PUY158"/>
      <c r="PUZ158"/>
      <c r="PVA158"/>
      <c r="PVB158"/>
      <c r="PVC158"/>
      <c r="PVD158"/>
      <c r="PVE158"/>
      <c r="PVF158"/>
      <c r="PVG158"/>
      <c r="PVH158"/>
      <c r="PVI158"/>
      <c r="PVJ158"/>
      <c r="PVK158"/>
      <c r="PVL158"/>
      <c r="PVM158"/>
      <c r="PVN158"/>
      <c r="PVO158"/>
      <c r="PVP158"/>
      <c r="PVQ158"/>
      <c r="PVR158"/>
      <c r="PVS158"/>
      <c r="PVT158"/>
      <c r="PVU158"/>
      <c r="PVV158"/>
      <c r="PVW158"/>
      <c r="PVX158"/>
      <c r="PVY158"/>
      <c r="PVZ158"/>
      <c r="PWA158"/>
      <c r="PWB158"/>
      <c r="PWC158"/>
      <c r="PWD158"/>
      <c r="PWE158"/>
      <c r="PWF158"/>
      <c r="PWG158"/>
      <c r="PWH158"/>
      <c r="PWI158"/>
      <c r="PWJ158"/>
      <c r="PWK158"/>
      <c r="PWL158"/>
      <c r="PWM158"/>
      <c r="PWN158"/>
      <c r="PWO158"/>
      <c r="PWP158"/>
      <c r="PWQ158"/>
      <c r="PWR158"/>
      <c r="PWS158"/>
      <c r="PWT158"/>
      <c r="PWU158"/>
      <c r="PWV158"/>
      <c r="PWW158"/>
      <c r="PWX158"/>
      <c r="PWY158"/>
      <c r="PWZ158"/>
      <c r="PXA158"/>
      <c r="PXB158"/>
      <c r="PXC158"/>
      <c r="PXD158"/>
      <c r="PXE158"/>
      <c r="PXF158"/>
      <c r="PXG158"/>
      <c r="PXH158"/>
      <c r="PXI158"/>
      <c r="PXJ158"/>
      <c r="PXK158"/>
      <c r="PXL158"/>
      <c r="PXM158"/>
      <c r="PXN158"/>
      <c r="PXO158"/>
      <c r="PXP158"/>
      <c r="PXQ158"/>
      <c r="PXR158"/>
      <c r="PXS158"/>
      <c r="PXT158"/>
      <c r="PXU158"/>
      <c r="PXV158"/>
      <c r="PXW158"/>
      <c r="PXX158"/>
      <c r="PXY158"/>
      <c r="PXZ158"/>
      <c r="PYA158"/>
      <c r="PYB158"/>
      <c r="PYC158"/>
      <c r="PYD158"/>
      <c r="PYE158"/>
      <c r="PYF158"/>
      <c r="PYG158"/>
      <c r="PYH158"/>
      <c r="PYI158"/>
      <c r="PYJ158"/>
      <c r="PYK158"/>
      <c r="PYL158"/>
      <c r="PYM158"/>
      <c r="PYN158"/>
      <c r="PYO158"/>
      <c r="PYP158"/>
      <c r="PYQ158"/>
      <c r="PYR158"/>
      <c r="PYS158"/>
      <c r="PYT158"/>
      <c r="PYU158"/>
      <c r="PYV158"/>
      <c r="PYW158"/>
      <c r="PYX158"/>
      <c r="PYY158"/>
      <c r="PYZ158"/>
      <c r="PZA158"/>
      <c r="PZB158"/>
      <c r="PZC158"/>
      <c r="PZD158"/>
      <c r="PZE158"/>
      <c r="PZF158"/>
      <c r="PZG158"/>
      <c r="PZH158"/>
      <c r="PZI158"/>
      <c r="PZJ158"/>
      <c r="PZK158"/>
      <c r="PZL158"/>
      <c r="PZM158"/>
      <c r="PZN158"/>
      <c r="PZO158"/>
      <c r="PZP158"/>
      <c r="PZQ158"/>
      <c r="PZR158"/>
      <c r="PZS158"/>
      <c r="PZT158"/>
      <c r="PZU158"/>
      <c r="PZV158"/>
      <c r="PZW158"/>
      <c r="PZX158"/>
      <c r="PZY158"/>
      <c r="PZZ158"/>
      <c r="QAA158"/>
      <c r="QAB158"/>
      <c r="QAC158"/>
      <c r="QAD158"/>
      <c r="QAE158"/>
      <c r="QAF158"/>
      <c r="QAG158"/>
      <c r="QAH158"/>
      <c r="QAI158"/>
      <c r="QAJ158"/>
      <c r="QAK158"/>
      <c r="QAL158"/>
      <c r="QAM158"/>
      <c r="QAN158"/>
      <c r="QAO158"/>
      <c r="QAP158"/>
      <c r="QAQ158"/>
      <c r="QAR158"/>
      <c r="QAS158"/>
      <c r="QAT158"/>
      <c r="QAU158"/>
      <c r="QAV158"/>
      <c r="QAW158"/>
      <c r="QAX158"/>
      <c r="QAY158"/>
      <c r="QAZ158"/>
      <c r="QBA158"/>
      <c r="QBB158"/>
      <c r="QBC158"/>
      <c r="QBD158"/>
      <c r="QBE158"/>
      <c r="QBF158"/>
      <c r="QBG158"/>
      <c r="QBH158"/>
      <c r="QBI158"/>
      <c r="QBJ158"/>
      <c r="QBK158"/>
      <c r="QBL158"/>
      <c r="QBM158"/>
      <c r="QBN158"/>
      <c r="QBO158"/>
      <c r="QBP158"/>
      <c r="QBQ158"/>
      <c r="QBR158"/>
      <c r="QBS158"/>
      <c r="QBT158"/>
      <c r="QBU158"/>
      <c r="QBV158"/>
      <c r="QBW158"/>
      <c r="QBX158"/>
      <c r="QBY158"/>
      <c r="QBZ158"/>
      <c r="QCA158"/>
      <c r="QCB158"/>
      <c r="QCC158"/>
      <c r="QCD158"/>
      <c r="QCE158"/>
      <c r="QCF158"/>
      <c r="QCG158"/>
      <c r="QCH158"/>
      <c r="QCI158"/>
      <c r="QCJ158"/>
      <c r="QCK158"/>
      <c r="QCL158"/>
      <c r="QCM158"/>
      <c r="QCN158"/>
      <c r="QCO158"/>
      <c r="QCP158"/>
      <c r="QCQ158"/>
      <c r="QCR158"/>
      <c r="QCS158"/>
      <c r="QCT158"/>
      <c r="QCU158"/>
      <c r="QCV158"/>
      <c r="QCW158"/>
      <c r="QCX158"/>
      <c r="QCY158"/>
      <c r="QCZ158"/>
      <c r="QDA158"/>
      <c r="QDB158"/>
      <c r="QDC158"/>
      <c r="QDD158"/>
      <c r="QDE158"/>
      <c r="QDF158"/>
      <c r="QDG158"/>
      <c r="QDH158"/>
      <c r="QDI158"/>
      <c r="QDJ158"/>
      <c r="QDK158"/>
      <c r="QDL158"/>
      <c r="QDM158"/>
      <c r="QDN158"/>
      <c r="QDO158"/>
      <c r="QDP158"/>
      <c r="QDQ158"/>
      <c r="QDR158"/>
      <c r="QDS158"/>
      <c r="QDT158"/>
      <c r="QDU158"/>
      <c r="QDV158"/>
      <c r="QDW158"/>
      <c r="QDX158"/>
      <c r="QDY158"/>
      <c r="QDZ158"/>
      <c r="QEA158"/>
      <c r="QEB158"/>
      <c r="QEC158"/>
      <c r="QED158"/>
      <c r="QEE158"/>
      <c r="QEF158"/>
      <c r="QEG158"/>
      <c r="QEH158"/>
      <c r="QEI158"/>
      <c r="QEJ158"/>
      <c r="QEK158"/>
      <c r="QEL158"/>
      <c r="QEM158"/>
      <c r="QEN158"/>
      <c r="QEO158"/>
      <c r="QEP158"/>
      <c r="QEQ158"/>
      <c r="QER158"/>
      <c r="QES158"/>
      <c r="QET158"/>
      <c r="QEU158"/>
      <c r="QEV158"/>
      <c r="QEW158"/>
      <c r="QEX158"/>
      <c r="QEY158"/>
      <c r="QEZ158"/>
      <c r="QFA158"/>
      <c r="QFB158"/>
      <c r="QFC158"/>
      <c r="QFD158"/>
      <c r="QFE158"/>
      <c r="QFF158"/>
      <c r="QFG158"/>
      <c r="QFH158"/>
      <c r="QFI158"/>
      <c r="QFJ158"/>
      <c r="QFK158"/>
      <c r="QFL158"/>
      <c r="QFM158"/>
      <c r="QFN158"/>
      <c r="QFO158"/>
      <c r="QFP158"/>
      <c r="QFQ158"/>
      <c r="QFR158"/>
      <c r="QFS158"/>
      <c r="QFT158"/>
      <c r="QFU158"/>
      <c r="QFV158"/>
      <c r="QFW158"/>
      <c r="QFX158"/>
      <c r="QFY158"/>
      <c r="QFZ158"/>
      <c r="QGA158"/>
      <c r="QGB158"/>
      <c r="QGC158"/>
      <c r="QGD158"/>
      <c r="QGE158"/>
      <c r="QGF158"/>
      <c r="QGG158"/>
      <c r="QGH158"/>
      <c r="QGI158"/>
      <c r="QGJ158"/>
      <c r="QGK158"/>
      <c r="QGL158"/>
      <c r="QGM158"/>
      <c r="QGN158"/>
      <c r="QGO158"/>
      <c r="QGP158"/>
      <c r="QGQ158"/>
      <c r="QGR158"/>
      <c r="QGS158"/>
      <c r="QGT158"/>
      <c r="QGU158"/>
      <c r="QGV158"/>
      <c r="QGW158"/>
      <c r="QGX158"/>
      <c r="QGY158"/>
      <c r="QGZ158"/>
      <c r="QHA158"/>
      <c r="QHB158"/>
      <c r="QHC158"/>
      <c r="QHD158"/>
      <c r="QHE158"/>
      <c r="QHF158"/>
      <c r="QHG158"/>
      <c r="QHH158"/>
      <c r="QHI158"/>
      <c r="QHJ158"/>
      <c r="QHK158"/>
      <c r="QHL158"/>
      <c r="QHM158"/>
      <c r="QHN158"/>
      <c r="QHO158"/>
      <c r="QHP158"/>
      <c r="QHQ158"/>
      <c r="QHR158"/>
      <c r="QHS158"/>
      <c r="QHT158"/>
      <c r="QHU158"/>
      <c r="QHV158"/>
      <c r="QHW158"/>
      <c r="QHX158"/>
      <c r="QHY158"/>
      <c r="QHZ158"/>
      <c r="QIA158"/>
      <c r="QIB158"/>
      <c r="QIC158"/>
      <c r="QID158"/>
      <c r="QIE158"/>
      <c r="QIF158"/>
      <c r="QIG158"/>
      <c r="QIH158"/>
      <c r="QII158"/>
      <c r="QIJ158"/>
      <c r="QIK158"/>
      <c r="QIL158"/>
      <c r="QIM158"/>
      <c r="QIN158"/>
      <c r="QIO158"/>
      <c r="QIP158"/>
      <c r="QIQ158"/>
      <c r="QIR158"/>
      <c r="QIS158"/>
      <c r="QIT158"/>
      <c r="QIU158"/>
      <c r="QIV158"/>
      <c r="QIW158"/>
      <c r="QIX158"/>
      <c r="QIY158"/>
      <c r="QIZ158"/>
      <c r="QJA158"/>
      <c r="QJB158"/>
      <c r="QJC158"/>
      <c r="QJD158"/>
      <c r="QJE158"/>
      <c r="QJF158"/>
      <c r="QJG158"/>
      <c r="QJH158"/>
      <c r="QJI158"/>
      <c r="QJJ158"/>
      <c r="QJK158"/>
      <c r="QJL158"/>
      <c r="QJM158"/>
      <c r="QJN158"/>
      <c r="QJO158"/>
      <c r="QJP158"/>
      <c r="QJQ158"/>
      <c r="QJR158"/>
      <c r="QJS158"/>
      <c r="QJT158"/>
      <c r="QJU158"/>
      <c r="QJV158"/>
      <c r="QJW158"/>
      <c r="QJX158"/>
      <c r="QJY158"/>
      <c r="QJZ158"/>
      <c r="QKA158"/>
      <c r="QKB158"/>
      <c r="QKC158"/>
      <c r="QKD158"/>
      <c r="QKE158"/>
      <c r="QKF158"/>
      <c r="QKG158"/>
      <c r="QKH158"/>
      <c r="QKI158"/>
      <c r="QKJ158"/>
      <c r="QKK158"/>
      <c r="QKL158"/>
      <c r="QKM158"/>
      <c r="QKN158"/>
      <c r="QKO158"/>
      <c r="QKP158"/>
      <c r="QKQ158"/>
      <c r="QKR158"/>
      <c r="QKS158"/>
      <c r="QKT158"/>
      <c r="QKU158"/>
      <c r="QKV158"/>
      <c r="QKW158"/>
      <c r="QKX158"/>
      <c r="QKY158"/>
      <c r="QKZ158"/>
      <c r="QLA158"/>
      <c r="QLB158"/>
      <c r="QLC158"/>
      <c r="QLD158"/>
      <c r="QLE158"/>
      <c r="QLF158"/>
      <c r="QLG158"/>
      <c r="QLH158"/>
      <c r="QLI158"/>
      <c r="QLJ158"/>
      <c r="QLK158"/>
      <c r="QLL158"/>
      <c r="QLM158"/>
      <c r="QLN158"/>
      <c r="QLO158"/>
      <c r="QLP158"/>
      <c r="QLQ158"/>
      <c r="QLR158"/>
      <c r="QLS158"/>
      <c r="QLT158"/>
      <c r="QLU158"/>
      <c r="QLV158"/>
      <c r="QLW158"/>
      <c r="QLX158"/>
      <c r="QLY158"/>
      <c r="QLZ158"/>
      <c r="QMA158"/>
      <c r="QMB158"/>
      <c r="QMC158"/>
      <c r="QMD158"/>
      <c r="QME158"/>
      <c r="QMF158"/>
      <c r="QMG158"/>
      <c r="QMH158"/>
      <c r="QMI158"/>
      <c r="QMJ158"/>
      <c r="QMK158"/>
      <c r="QML158"/>
      <c r="QMM158"/>
      <c r="QMN158"/>
      <c r="QMO158"/>
      <c r="QMP158"/>
      <c r="QMQ158"/>
      <c r="QMR158"/>
      <c r="QMS158"/>
      <c r="QMT158"/>
      <c r="QMU158"/>
      <c r="QMV158"/>
      <c r="QMW158"/>
      <c r="QMX158"/>
      <c r="QMY158"/>
      <c r="QMZ158"/>
      <c r="QNA158"/>
      <c r="QNB158"/>
      <c r="QNC158"/>
      <c r="QND158"/>
      <c r="QNE158"/>
      <c r="QNF158"/>
      <c r="QNG158"/>
      <c r="QNH158"/>
      <c r="QNI158"/>
      <c r="QNJ158"/>
      <c r="QNK158"/>
      <c r="QNL158"/>
      <c r="QNM158"/>
      <c r="QNN158"/>
      <c r="QNO158"/>
      <c r="QNP158"/>
      <c r="QNQ158"/>
      <c r="QNR158"/>
      <c r="QNS158"/>
      <c r="QNT158"/>
      <c r="QNU158"/>
      <c r="QNV158"/>
      <c r="QNW158"/>
      <c r="QNX158"/>
      <c r="QNY158"/>
      <c r="QNZ158"/>
      <c r="QOA158"/>
      <c r="QOB158"/>
      <c r="QOC158"/>
      <c r="QOD158"/>
      <c r="QOE158"/>
      <c r="QOF158"/>
      <c r="QOG158"/>
      <c r="QOH158"/>
      <c r="QOI158"/>
      <c r="QOJ158"/>
      <c r="QOK158"/>
      <c r="QOL158"/>
      <c r="QOM158"/>
      <c r="QON158"/>
      <c r="QOO158"/>
      <c r="QOP158"/>
      <c r="QOQ158"/>
      <c r="QOR158"/>
      <c r="QOS158"/>
      <c r="QOT158"/>
      <c r="QOU158"/>
      <c r="QOV158"/>
      <c r="QOW158"/>
      <c r="QOX158"/>
      <c r="QOY158"/>
      <c r="QOZ158"/>
      <c r="QPA158"/>
      <c r="QPB158"/>
      <c r="QPC158"/>
      <c r="QPD158"/>
      <c r="QPE158"/>
      <c r="QPF158"/>
      <c r="QPG158"/>
      <c r="QPH158"/>
      <c r="QPI158"/>
      <c r="QPJ158"/>
      <c r="QPK158"/>
      <c r="QPL158"/>
      <c r="QPM158"/>
      <c r="QPN158"/>
      <c r="QPO158"/>
      <c r="QPP158"/>
      <c r="QPQ158"/>
      <c r="QPR158"/>
      <c r="QPS158"/>
      <c r="QPT158"/>
      <c r="QPU158"/>
      <c r="QPV158"/>
      <c r="QPW158"/>
      <c r="QPX158"/>
      <c r="QPY158"/>
      <c r="QPZ158"/>
      <c r="QQA158"/>
      <c r="QQB158"/>
      <c r="QQC158"/>
      <c r="QQD158"/>
      <c r="QQE158"/>
      <c r="QQF158"/>
      <c r="QQG158"/>
      <c r="QQH158"/>
      <c r="QQI158"/>
      <c r="QQJ158"/>
      <c r="QQK158"/>
      <c r="QQL158"/>
      <c r="QQM158"/>
      <c r="QQN158"/>
      <c r="QQO158"/>
      <c r="QQP158"/>
      <c r="QQQ158"/>
      <c r="QQR158"/>
      <c r="QQS158"/>
      <c r="QQT158"/>
      <c r="QQU158"/>
      <c r="QQV158"/>
      <c r="QQW158"/>
      <c r="QQX158"/>
      <c r="QQY158"/>
      <c r="QQZ158"/>
      <c r="QRA158"/>
      <c r="QRB158"/>
      <c r="QRC158"/>
      <c r="QRD158"/>
      <c r="QRE158"/>
      <c r="QRF158"/>
      <c r="QRG158"/>
      <c r="QRH158"/>
      <c r="QRI158"/>
      <c r="QRJ158"/>
      <c r="QRK158"/>
      <c r="QRL158"/>
      <c r="QRM158"/>
      <c r="QRN158"/>
      <c r="QRO158"/>
      <c r="QRP158"/>
      <c r="QRQ158"/>
      <c r="QRR158"/>
      <c r="QRS158"/>
      <c r="QRT158"/>
      <c r="QRU158"/>
      <c r="QRV158"/>
      <c r="QRW158"/>
      <c r="QRX158"/>
      <c r="QRY158"/>
      <c r="QRZ158"/>
      <c r="QSA158"/>
      <c r="QSB158"/>
      <c r="QSC158"/>
      <c r="QSD158"/>
      <c r="QSE158"/>
      <c r="QSF158"/>
      <c r="QSG158"/>
      <c r="QSH158"/>
      <c r="QSI158"/>
      <c r="QSJ158"/>
      <c r="QSK158"/>
      <c r="QSL158"/>
      <c r="QSM158"/>
      <c r="QSN158"/>
      <c r="QSO158"/>
      <c r="QSP158"/>
      <c r="QSQ158"/>
      <c r="QSR158"/>
      <c r="QSS158"/>
      <c r="QST158"/>
      <c r="QSU158"/>
      <c r="QSV158"/>
      <c r="QSW158"/>
      <c r="QSX158"/>
      <c r="QSY158"/>
      <c r="QSZ158"/>
      <c r="QTA158"/>
      <c r="QTB158"/>
      <c r="QTC158"/>
      <c r="QTD158"/>
      <c r="QTE158"/>
      <c r="QTF158"/>
      <c r="QTG158"/>
      <c r="QTH158"/>
      <c r="QTI158"/>
      <c r="QTJ158"/>
      <c r="QTK158"/>
      <c r="QTL158"/>
      <c r="QTM158"/>
      <c r="QTN158"/>
      <c r="QTO158"/>
      <c r="QTP158"/>
      <c r="QTQ158"/>
      <c r="QTR158"/>
      <c r="QTS158"/>
      <c r="QTT158"/>
      <c r="QTU158"/>
      <c r="QTV158"/>
      <c r="QTW158"/>
      <c r="QTX158"/>
      <c r="QTY158"/>
      <c r="QTZ158"/>
      <c r="QUA158"/>
      <c r="QUB158"/>
      <c r="QUC158"/>
      <c r="QUD158"/>
      <c r="QUE158"/>
      <c r="QUF158"/>
      <c r="QUG158"/>
      <c r="QUH158"/>
      <c r="QUI158"/>
      <c r="QUJ158"/>
      <c r="QUK158"/>
      <c r="QUL158"/>
      <c r="QUM158"/>
      <c r="QUN158"/>
      <c r="QUO158"/>
      <c r="QUP158"/>
      <c r="QUQ158"/>
      <c r="QUR158"/>
      <c r="QUS158"/>
      <c r="QUT158"/>
      <c r="QUU158"/>
      <c r="QUV158"/>
      <c r="QUW158"/>
      <c r="QUX158"/>
      <c r="QUY158"/>
      <c r="QUZ158"/>
      <c r="QVA158"/>
      <c r="QVB158"/>
      <c r="QVC158"/>
      <c r="QVD158"/>
      <c r="QVE158"/>
      <c r="QVF158"/>
      <c r="QVG158"/>
      <c r="QVH158"/>
      <c r="QVI158"/>
      <c r="QVJ158"/>
      <c r="QVK158"/>
      <c r="QVL158"/>
      <c r="QVM158"/>
      <c r="QVN158"/>
      <c r="QVO158"/>
      <c r="QVP158"/>
      <c r="QVQ158"/>
      <c r="QVR158"/>
      <c r="QVS158"/>
      <c r="QVT158"/>
      <c r="QVU158"/>
      <c r="QVV158"/>
      <c r="QVW158"/>
      <c r="QVX158"/>
      <c r="QVY158"/>
      <c r="QVZ158"/>
      <c r="QWA158"/>
      <c r="QWB158"/>
      <c r="QWC158"/>
      <c r="QWD158"/>
      <c r="QWE158"/>
      <c r="QWF158"/>
      <c r="QWG158"/>
      <c r="QWH158"/>
      <c r="QWI158"/>
      <c r="QWJ158"/>
      <c r="QWK158"/>
      <c r="QWL158"/>
      <c r="QWM158"/>
      <c r="QWN158"/>
      <c r="QWO158"/>
      <c r="QWP158"/>
      <c r="QWQ158"/>
      <c r="QWR158"/>
      <c r="QWS158"/>
      <c r="QWT158"/>
      <c r="QWU158"/>
      <c r="QWV158"/>
      <c r="QWW158"/>
      <c r="QWX158"/>
      <c r="QWY158"/>
      <c r="QWZ158"/>
      <c r="QXA158"/>
      <c r="QXB158"/>
      <c r="QXC158"/>
      <c r="QXD158"/>
      <c r="QXE158"/>
      <c r="QXF158"/>
      <c r="QXG158"/>
      <c r="QXH158"/>
      <c r="QXI158"/>
      <c r="QXJ158"/>
      <c r="QXK158"/>
      <c r="QXL158"/>
      <c r="QXM158"/>
      <c r="QXN158"/>
      <c r="QXO158"/>
      <c r="QXP158"/>
      <c r="QXQ158"/>
      <c r="QXR158"/>
      <c r="QXS158"/>
      <c r="QXT158"/>
      <c r="QXU158"/>
      <c r="QXV158"/>
      <c r="QXW158"/>
      <c r="QXX158"/>
      <c r="QXY158"/>
      <c r="QXZ158"/>
      <c r="QYA158"/>
      <c r="QYB158"/>
      <c r="QYC158"/>
      <c r="QYD158"/>
      <c r="QYE158"/>
      <c r="QYF158"/>
      <c r="QYG158"/>
      <c r="QYH158"/>
      <c r="QYI158"/>
      <c r="QYJ158"/>
      <c r="QYK158"/>
      <c r="QYL158"/>
      <c r="QYM158"/>
      <c r="QYN158"/>
      <c r="QYO158"/>
      <c r="QYP158"/>
      <c r="QYQ158"/>
      <c r="QYR158"/>
      <c r="QYS158"/>
      <c r="QYT158"/>
      <c r="QYU158"/>
      <c r="QYV158"/>
      <c r="QYW158"/>
      <c r="QYX158"/>
      <c r="QYY158"/>
      <c r="QYZ158"/>
      <c r="QZA158"/>
      <c r="QZB158"/>
      <c r="QZC158"/>
      <c r="QZD158"/>
      <c r="QZE158"/>
      <c r="QZF158"/>
      <c r="QZG158"/>
      <c r="QZH158"/>
      <c r="QZI158"/>
      <c r="QZJ158"/>
      <c r="QZK158"/>
      <c r="QZL158"/>
      <c r="QZM158"/>
      <c r="QZN158"/>
      <c r="QZO158"/>
      <c r="QZP158"/>
      <c r="QZQ158"/>
      <c r="QZR158"/>
      <c r="QZS158"/>
      <c r="QZT158"/>
      <c r="QZU158"/>
      <c r="QZV158"/>
      <c r="QZW158"/>
      <c r="QZX158"/>
      <c r="QZY158"/>
      <c r="QZZ158"/>
      <c r="RAA158"/>
      <c r="RAB158"/>
      <c r="RAC158"/>
      <c r="RAD158"/>
      <c r="RAE158"/>
      <c r="RAF158"/>
      <c r="RAG158"/>
      <c r="RAH158"/>
      <c r="RAI158"/>
      <c r="RAJ158"/>
      <c r="RAK158"/>
      <c r="RAL158"/>
      <c r="RAM158"/>
      <c r="RAN158"/>
      <c r="RAO158"/>
      <c r="RAP158"/>
      <c r="RAQ158"/>
      <c r="RAR158"/>
      <c r="RAS158"/>
      <c r="RAT158"/>
      <c r="RAU158"/>
      <c r="RAV158"/>
      <c r="RAW158"/>
      <c r="RAX158"/>
      <c r="RAY158"/>
      <c r="RAZ158"/>
      <c r="RBA158"/>
      <c r="RBB158"/>
      <c r="RBC158"/>
      <c r="RBD158"/>
      <c r="RBE158"/>
      <c r="RBF158"/>
      <c r="RBG158"/>
      <c r="RBH158"/>
      <c r="RBI158"/>
      <c r="RBJ158"/>
      <c r="RBK158"/>
      <c r="RBL158"/>
      <c r="RBM158"/>
      <c r="RBN158"/>
      <c r="RBO158"/>
      <c r="RBP158"/>
      <c r="RBQ158"/>
      <c r="RBR158"/>
      <c r="RBS158"/>
      <c r="RBT158"/>
      <c r="RBU158"/>
      <c r="RBV158"/>
      <c r="RBW158"/>
      <c r="RBX158"/>
      <c r="RBY158"/>
      <c r="RBZ158"/>
      <c r="RCA158"/>
      <c r="RCB158"/>
      <c r="RCC158"/>
      <c r="RCD158"/>
      <c r="RCE158"/>
      <c r="RCF158"/>
      <c r="RCG158"/>
      <c r="RCH158"/>
      <c r="RCI158"/>
      <c r="RCJ158"/>
      <c r="RCK158"/>
      <c r="RCL158"/>
      <c r="RCM158"/>
      <c r="RCN158"/>
      <c r="RCO158"/>
      <c r="RCP158"/>
      <c r="RCQ158"/>
      <c r="RCR158"/>
      <c r="RCS158"/>
      <c r="RCT158"/>
      <c r="RCU158"/>
      <c r="RCV158"/>
      <c r="RCW158"/>
      <c r="RCX158"/>
      <c r="RCY158"/>
      <c r="RCZ158"/>
      <c r="RDA158"/>
      <c r="RDB158"/>
      <c r="RDC158"/>
      <c r="RDD158"/>
      <c r="RDE158"/>
      <c r="RDF158"/>
      <c r="RDG158"/>
      <c r="RDH158"/>
      <c r="RDI158"/>
      <c r="RDJ158"/>
      <c r="RDK158"/>
      <c r="RDL158"/>
      <c r="RDM158"/>
      <c r="RDN158"/>
      <c r="RDO158"/>
      <c r="RDP158"/>
      <c r="RDQ158"/>
      <c r="RDR158"/>
      <c r="RDS158"/>
      <c r="RDT158"/>
      <c r="RDU158"/>
      <c r="RDV158"/>
      <c r="RDW158"/>
      <c r="RDX158"/>
      <c r="RDY158"/>
      <c r="RDZ158"/>
      <c r="REA158"/>
      <c r="REB158"/>
      <c r="REC158"/>
      <c r="RED158"/>
      <c r="REE158"/>
      <c r="REF158"/>
      <c r="REG158"/>
      <c r="REH158"/>
      <c r="REI158"/>
      <c r="REJ158"/>
      <c r="REK158"/>
      <c r="REL158"/>
      <c r="REM158"/>
      <c r="REN158"/>
      <c r="REO158"/>
      <c r="REP158"/>
      <c r="REQ158"/>
      <c r="RER158"/>
      <c r="RES158"/>
      <c r="RET158"/>
      <c r="REU158"/>
      <c r="REV158"/>
      <c r="REW158"/>
      <c r="REX158"/>
      <c r="REY158"/>
      <c r="REZ158"/>
      <c r="RFA158"/>
      <c r="RFB158"/>
      <c r="RFC158"/>
      <c r="RFD158"/>
      <c r="RFE158"/>
      <c r="RFF158"/>
      <c r="RFG158"/>
      <c r="RFH158"/>
      <c r="RFI158"/>
      <c r="RFJ158"/>
      <c r="RFK158"/>
      <c r="RFL158"/>
      <c r="RFM158"/>
      <c r="RFN158"/>
      <c r="RFO158"/>
      <c r="RFP158"/>
      <c r="RFQ158"/>
      <c r="RFR158"/>
      <c r="RFS158"/>
      <c r="RFT158"/>
      <c r="RFU158"/>
      <c r="RFV158"/>
      <c r="RFW158"/>
      <c r="RFX158"/>
      <c r="RFY158"/>
      <c r="RFZ158"/>
      <c r="RGA158"/>
      <c r="RGB158"/>
      <c r="RGC158"/>
      <c r="RGD158"/>
      <c r="RGE158"/>
      <c r="RGF158"/>
      <c r="RGG158"/>
      <c r="RGH158"/>
      <c r="RGI158"/>
      <c r="RGJ158"/>
      <c r="RGK158"/>
      <c r="RGL158"/>
      <c r="RGM158"/>
      <c r="RGN158"/>
      <c r="RGO158"/>
      <c r="RGP158"/>
      <c r="RGQ158"/>
      <c r="RGR158"/>
      <c r="RGS158"/>
      <c r="RGT158"/>
      <c r="RGU158"/>
      <c r="RGV158"/>
      <c r="RGW158"/>
      <c r="RGX158"/>
      <c r="RGY158"/>
      <c r="RGZ158"/>
      <c r="RHA158"/>
      <c r="RHB158"/>
      <c r="RHC158"/>
      <c r="RHD158"/>
      <c r="RHE158"/>
      <c r="RHF158"/>
      <c r="RHG158"/>
      <c r="RHH158"/>
      <c r="RHI158"/>
      <c r="RHJ158"/>
      <c r="RHK158"/>
      <c r="RHL158"/>
      <c r="RHM158"/>
      <c r="RHN158"/>
      <c r="RHO158"/>
      <c r="RHP158"/>
      <c r="RHQ158"/>
      <c r="RHR158"/>
      <c r="RHS158"/>
      <c r="RHT158"/>
      <c r="RHU158"/>
      <c r="RHV158"/>
      <c r="RHW158"/>
      <c r="RHX158"/>
      <c r="RHY158"/>
      <c r="RHZ158"/>
      <c r="RIA158"/>
      <c r="RIB158"/>
      <c r="RIC158"/>
      <c r="RID158"/>
      <c r="RIE158"/>
      <c r="RIF158"/>
      <c r="RIG158"/>
      <c r="RIH158"/>
      <c r="RII158"/>
      <c r="RIJ158"/>
      <c r="RIK158"/>
      <c r="RIL158"/>
      <c r="RIM158"/>
      <c r="RIN158"/>
      <c r="RIO158"/>
      <c r="RIP158"/>
      <c r="RIQ158"/>
      <c r="RIR158"/>
      <c r="RIS158"/>
      <c r="RIT158"/>
      <c r="RIU158"/>
      <c r="RIV158"/>
      <c r="RIW158"/>
      <c r="RIX158"/>
      <c r="RIY158"/>
      <c r="RIZ158"/>
      <c r="RJA158"/>
      <c r="RJB158"/>
      <c r="RJC158"/>
      <c r="RJD158"/>
      <c r="RJE158"/>
      <c r="RJF158"/>
      <c r="RJG158"/>
      <c r="RJH158"/>
      <c r="RJI158"/>
      <c r="RJJ158"/>
      <c r="RJK158"/>
      <c r="RJL158"/>
      <c r="RJM158"/>
      <c r="RJN158"/>
      <c r="RJO158"/>
      <c r="RJP158"/>
      <c r="RJQ158"/>
      <c r="RJR158"/>
      <c r="RJS158"/>
      <c r="RJT158"/>
      <c r="RJU158"/>
      <c r="RJV158"/>
      <c r="RJW158"/>
      <c r="RJX158"/>
      <c r="RJY158"/>
      <c r="RJZ158"/>
      <c r="RKA158"/>
      <c r="RKB158"/>
      <c r="RKC158"/>
      <c r="RKD158"/>
      <c r="RKE158"/>
      <c r="RKF158"/>
      <c r="RKG158"/>
      <c r="RKH158"/>
      <c r="RKI158"/>
      <c r="RKJ158"/>
      <c r="RKK158"/>
      <c r="RKL158"/>
      <c r="RKM158"/>
      <c r="RKN158"/>
      <c r="RKO158"/>
      <c r="RKP158"/>
      <c r="RKQ158"/>
      <c r="RKR158"/>
      <c r="RKS158"/>
      <c r="RKT158"/>
      <c r="RKU158"/>
      <c r="RKV158"/>
      <c r="RKW158"/>
      <c r="RKX158"/>
      <c r="RKY158"/>
      <c r="RKZ158"/>
      <c r="RLA158"/>
      <c r="RLB158"/>
      <c r="RLC158"/>
      <c r="RLD158"/>
      <c r="RLE158"/>
      <c r="RLF158"/>
      <c r="RLG158"/>
      <c r="RLH158"/>
      <c r="RLI158"/>
      <c r="RLJ158"/>
      <c r="RLK158"/>
      <c r="RLL158"/>
      <c r="RLM158"/>
      <c r="RLN158"/>
      <c r="RLO158"/>
      <c r="RLP158"/>
      <c r="RLQ158"/>
      <c r="RLR158"/>
      <c r="RLS158"/>
      <c r="RLT158"/>
      <c r="RLU158"/>
      <c r="RLV158"/>
      <c r="RLW158"/>
      <c r="RLX158"/>
      <c r="RLY158"/>
      <c r="RLZ158"/>
      <c r="RMA158"/>
      <c r="RMB158"/>
      <c r="RMC158"/>
      <c r="RMD158"/>
      <c r="RME158"/>
      <c r="RMF158"/>
      <c r="RMG158"/>
      <c r="RMH158"/>
      <c r="RMI158"/>
      <c r="RMJ158"/>
      <c r="RMK158"/>
      <c r="RML158"/>
      <c r="RMM158"/>
      <c r="RMN158"/>
      <c r="RMO158"/>
      <c r="RMP158"/>
      <c r="RMQ158"/>
      <c r="RMR158"/>
      <c r="RMS158"/>
      <c r="RMT158"/>
      <c r="RMU158"/>
      <c r="RMV158"/>
      <c r="RMW158"/>
      <c r="RMX158"/>
      <c r="RMY158"/>
      <c r="RMZ158"/>
      <c r="RNA158"/>
      <c r="RNB158"/>
      <c r="RNC158"/>
      <c r="RND158"/>
      <c r="RNE158"/>
      <c r="RNF158"/>
      <c r="RNG158"/>
      <c r="RNH158"/>
      <c r="RNI158"/>
      <c r="RNJ158"/>
      <c r="RNK158"/>
      <c r="RNL158"/>
      <c r="RNM158"/>
      <c r="RNN158"/>
      <c r="RNO158"/>
      <c r="RNP158"/>
      <c r="RNQ158"/>
      <c r="RNR158"/>
      <c r="RNS158"/>
      <c r="RNT158"/>
      <c r="RNU158"/>
      <c r="RNV158"/>
      <c r="RNW158"/>
      <c r="RNX158"/>
      <c r="RNY158"/>
      <c r="RNZ158"/>
      <c r="ROA158"/>
      <c r="ROB158"/>
      <c r="ROC158"/>
      <c r="ROD158"/>
      <c r="ROE158"/>
      <c r="ROF158"/>
      <c r="ROG158"/>
      <c r="ROH158"/>
      <c r="ROI158"/>
      <c r="ROJ158"/>
      <c r="ROK158"/>
      <c r="ROL158"/>
      <c r="ROM158"/>
      <c r="RON158"/>
      <c r="ROO158"/>
      <c r="ROP158"/>
      <c r="ROQ158"/>
      <c r="ROR158"/>
      <c r="ROS158"/>
      <c r="ROT158"/>
      <c r="ROU158"/>
      <c r="ROV158"/>
      <c r="ROW158"/>
      <c r="ROX158"/>
      <c r="ROY158"/>
      <c r="ROZ158"/>
      <c r="RPA158"/>
      <c r="RPB158"/>
      <c r="RPC158"/>
      <c r="RPD158"/>
      <c r="RPE158"/>
      <c r="RPF158"/>
      <c r="RPG158"/>
      <c r="RPH158"/>
      <c r="RPI158"/>
      <c r="RPJ158"/>
      <c r="RPK158"/>
      <c r="RPL158"/>
      <c r="RPM158"/>
      <c r="RPN158"/>
      <c r="RPO158"/>
      <c r="RPP158"/>
      <c r="RPQ158"/>
      <c r="RPR158"/>
      <c r="RPS158"/>
      <c r="RPT158"/>
      <c r="RPU158"/>
      <c r="RPV158"/>
      <c r="RPW158"/>
      <c r="RPX158"/>
      <c r="RPY158"/>
      <c r="RPZ158"/>
      <c r="RQA158"/>
      <c r="RQB158"/>
      <c r="RQC158"/>
      <c r="RQD158"/>
      <c r="RQE158"/>
      <c r="RQF158"/>
      <c r="RQG158"/>
      <c r="RQH158"/>
      <c r="RQI158"/>
      <c r="RQJ158"/>
      <c r="RQK158"/>
      <c r="RQL158"/>
      <c r="RQM158"/>
      <c r="RQN158"/>
      <c r="RQO158"/>
      <c r="RQP158"/>
      <c r="RQQ158"/>
      <c r="RQR158"/>
      <c r="RQS158"/>
      <c r="RQT158"/>
      <c r="RQU158"/>
      <c r="RQV158"/>
      <c r="RQW158"/>
      <c r="RQX158"/>
      <c r="RQY158"/>
      <c r="RQZ158"/>
      <c r="RRA158"/>
      <c r="RRB158"/>
      <c r="RRC158"/>
      <c r="RRD158"/>
      <c r="RRE158"/>
      <c r="RRF158"/>
      <c r="RRG158"/>
      <c r="RRH158"/>
      <c r="RRI158"/>
      <c r="RRJ158"/>
      <c r="RRK158"/>
      <c r="RRL158"/>
      <c r="RRM158"/>
      <c r="RRN158"/>
      <c r="RRO158"/>
      <c r="RRP158"/>
      <c r="RRQ158"/>
      <c r="RRR158"/>
      <c r="RRS158"/>
      <c r="RRT158"/>
      <c r="RRU158"/>
      <c r="RRV158"/>
      <c r="RRW158"/>
      <c r="RRX158"/>
      <c r="RRY158"/>
      <c r="RRZ158"/>
      <c r="RSA158"/>
      <c r="RSB158"/>
      <c r="RSC158"/>
      <c r="RSD158"/>
      <c r="RSE158"/>
      <c r="RSF158"/>
      <c r="RSG158"/>
      <c r="RSH158"/>
      <c r="RSI158"/>
      <c r="RSJ158"/>
      <c r="RSK158"/>
      <c r="RSL158"/>
      <c r="RSM158"/>
      <c r="RSN158"/>
      <c r="RSO158"/>
      <c r="RSP158"/>
      <c r="RSQ158"/>
      <c r="RSR158"/>
      <c r="RSS158"/>
      <c r="RST158"/>
      <c r="RSU158"/>
      <c r="RSV158"/>
      <c r="RSW158"/>
      <c r="RSX158"/>
      <c r="RSY158"/>
      <c r="RSZ158"/>
      <c r="RTA158"/>
      <c r="RTB158"/>
      <c r="RTC158"/>
      <c r="RTD158"/>
      <c r="RTE158"/>
      <c r="RTF158"/>
      <c r="RTG158"/>
      <c r="RTH158"/>
      <c r="RTI158"/>
      <c r="RTJ158"/>
      <c r="RTK158"/>
      <c r="RTL158"/>
      <c r="RTM158"/>
      <c r="RTN158"/>
      <c r="RTO158"/>
      <c r="RTP158"/>
      <c r="RTQ158"/>
      <c r="RTR158"/>
      <c r="RTS158"/>
      <c r="RTT158"/>
      <c r="RTU158"/>
      <c r="RTV158"/>
      <c r="RTW158"/>
      <c r="RTX158"/>
      <c r="RTY158"/>
      <c r="RTZ158"/>
      <c r="RUA158"/>
      <c r="RUB158"/>
      <c r="RUC158"/>
      <c r="RUD158"/>
      <c r="RUE158"/>
      <c r="RUF158"/>
      <c r="RUG158"/>
      <c r="RUH158"/>
      <c r="RUI158"/>
      <c r="RUJ158"/>
      <c r="RUK158"/>
      <c r="RUL158"/>
      <c r="RUM158"/>
      <c r="RUN158"/>
      <c r="RUO158"/>
      <c r="RUP158"/>
      <c r="RUQ158"/>
      <c r="RUR158"/>
      <c r="RUS158"/>
      <c r="RUT158"/>
      <c r="RUU158"/>
      <c r="RUV158"/>
      <c r="RUW158"/>
      <c r="RUX158"/>
      <c r="RUY158"/>
      <c r="RUZ158"/>
      <c r="RVA158"/>
      <c r="RVB158"/>
      <c r="RVC158"/>
      <c r="RVD158"/>
      <c r="RVE158"/>
      <c r="RVF158"/>
      <c r="RVG158"/>
      <c r="RVH158"/>
      <c r="RVI158"/>
      <c r="RVJ158"/>
      <c r="RVK158"/>
      <c r="RVL158"/>
      <c r="RVM158"/>
      <c r="RVN158"/>
      <c r="RVO158"/>
      <c r="RVP158"/>
      <c r="RVQ158"/>
      <c r="RVR158"/>
      <c r="RVS158"/>
      <c r="RVT158"/>
      <c r="RVU158"/>
      <c r="RVV158"/>
      <c r="RVW158"/>
      <c r="RVX158"/>
      <c r="RVY158"/>
      <c r="RVZ158"/>
      <c r="RWA158"/>
      <c r="RWB158"/>
      <c r="RWC158"/>
      <c r="RWD158"/>
      <c r="RWE158"/>
      <c r="RWF158"/>
      <c r="RWG158"/>
      <c r="RWH158"/>
      <c r="RWI158"/>
      <c r="RWJ158"/>
      <c r="RWK158"/>
      <c r="RWL158"/>
      <c r="RWM158"/>
      <c r="RWN158"/>
      <c r="RWO158"/>
      <c r="RWP158"/>
      <c r="RWQ158"/>
      <c r="RWR158"/>
      <c r="RWS158"/>
      <c r="RWT158"/>
      <c r="RWU158"/>
      <c r="RWV158"/>
      <c r="RWW158"/>
      <c r="RWX158"/>
      <c r="RWY158"/>
      <c r="RWZ158"/>
      <c r="RXA158"/>
      <c r="RXB158"/>
      <c r="RXC158"/>
      <c r="RXD158"/>
      <c r="RXE158"/>
      <c r="RXF158"/>
      <c r="RXG158"/>
      <c r="RXH158"/>
      <c r="RXI158"/>
      <c r="RXJ158"/>
      <c r="RXK158"/>
      <c r="RXL158"/>
      <c r="RXM158"/>
      <c r="RXN158"/>
      <c r="RXO158"/>
      <c r="RXP158"/>
      <c r="RXQ158"/>
      <c r="RXR158"/>
      <c r="RXS158"/>
      <c r="RXT158"/>
      <c r="RXU158"/>
      <c r="RXV158"/>
      <c r="RXW158"/>
      <c r="RXX158"/>
      <c r="RXY158"/>
      <c r="RXZ158"/>
      <c r="RYA158"/>
      <c r="RYB158"/>
      <c r="RYC158"/>
      <c r="RYD158"/>
      <c r="RYE158"/>
      <c r="RYF158"/>
      <c r="RYG158"/>
      <c r="RYH158"/>
      <c r="RYI158"/>
      <c r="RYJ158"/>
      <c r="RYK158"/>
      <c r="RYL158"/>
      <c r="RYM158"/>
      <c r="RYN158"/>
      <c r="RYO158"/>
      <c r="RYP158"/>
      <c r="RYQ158"/>
      <c r="RYR158"/>
      <c r="RYS158"/>
      <c r="RYT158"/>
      <c r="RYU158"/>
      <c r="RYV158"/>
      <c r="RYW158"/>
      <c r="RYX158"/>
      <c r="RYY158"/>
      <c r="RYZ158"/>
      <c r="RZA158"/>
      <c r="RZB158"/>
      <c r="RZC158"/>
      <c r="RZD158"/>
      <c r="RZE158"/>
      <c r="RZF158"/>
      <c r="RZG158"/>
      <c r="RZH158"/>
      <c r="RZI158"/>
      <c r="RZJ158"/>
      <c r="RZK158"/>
      <c r="RZL158"/>
      <c r="RZM158"/>
      <c r="RZN158"/>
      <c r="RZO158"/>
      <c r="RZP158"/>
      <c r="RZQ158"/>
      <c r="RZR158"/>
      <c r="RZS158"/>
      <c r="RZT158"/>
      <c r="RZU158"/>
      <c r="RZV158"/>
      <c r="RZW158"/>
      <c r="RZX158"/>
      <c r="RZY158"/>
      <c r="RZZ158"/>
      <c r="SAA158"/>
      <c r="SAB158"/>
      <c r="SAC158"/>
      <c r="SAD158"/>
      <c r="SAE158"/>
      <c r="SAF158"/>
      <c r="SAG158"/>
      <c r="SAH158"/>
      <c r="SAI158"/>
      <c r="SAJ158"/>
      <c r="SAK158"/>
      <c r="SAL158"/>
      <c r="SAM158"/>
      <c r="SAN158"/>
      <c r="SAO158"/>
      <c r="SAP158"/>
      <c r="SAQ158"/>
      <c r="SAR158"/>
      <c r="SAS158"/>
      <c r="SAT158"/>
      <c r="SAU158"/>
      <c r="SAV158"/>
      <c r="SAW158"/>
      <c r="SAX158"/>
      <c r="SAY158"/>
      <c r="SAZ158"/>
      <c r="SBA158"/>
      <c r="SBB158"/>
      <c r="SBC158"/>
      <c r="SBD158"/>
      <c r="SBE158"/>
      <c r="SBF158"/>
      <c r="SBG158"/>
      <c r="SBH158"/>
      <c r="SBI158"/>
      <c r="SBJ158"/>
      <c r="SBK158"/>
      <c r="SBL158"/>
      <c r="SBM158"/>
      <c r="SBN158"/>
      <c r="SBO158"/>
      <c r="SBP158"/>
      <c r="SBQ158"/>
      <c r="SBR158"/>
      <c r="SBS158"/>
      <c r="SBT158"/>
      <c r="SBU158"/>
      <c r="SBV158"/>
      <c r="SBW158"/>
      <c r="SBX158"/>
      <c r="SBY158"/>
      <c r="SBZ158"/>
      <c r="SCA158"/>
      <c r="SCB158"/>
      <c r="SCC158"/>
      <c r="SCD158"/>
      <c r="SCE158"/>
      <c r="SCF158"/>
      <c r="SCG158"/>
      <c r="SCH158"/>
      <c r="SCI158"/>
      <c r="SCJ158"/>
      <c r="SCK158"/>
      <c r="SCL158"/>
      <c r="SCM158"/>
      <c r="SCN158"/>
      <c r="SCO158"/>
      <c r="SCP158"/>
      <c r="SCQ158"/>
      <c r="SCR158"/>
      <c r="SCS158"/>
      <c r="SCT158"/>
      <c r="SCU158"/>
      <c r="SCV158"/>
      <c r="SCW158"/>
      <c r="SCX158"/>
      <c r="SCY158"/>
      <c r="SCZ158"/>
      <c r="SDA158"/>
      <c r="SDB158"/>
      <c r="SDC158"/>
      <c r="SDD158"/>
      <c r="SDE158"/>
      <c r="SDF158"/>
      <c r="SDG158"/>
      <c r="SDH158"/>
      <c r="SDI158"/>
      <c r="SDJ158"/>
      <c r="SDK158"/>
      <c r="SDL158"/>
      <c r="SDM158"/>
      <c r="SDN158"/>
      <c r="SDO158"/>
      <c r="SDP158"/>
      <c r="SDQ158"/>
      <c r="SDR158"/>
      <c r="SDS158"/>
      <c r="SDT158"/>
      <c r="SDU158"/>
      <c r="SDV158"/>
      <c r="SDW158"/>
      <c r="SDX158"/>
      <c r="SDY158"/>
      <c r="SDZ158"/>
      <c r="SEA158"/>
      <c r="SEB158"/>
      <c r="SEC158"/>
      <c r="SED158"/>
      <c r="SEE158"/>
      <c r="SEF158"/>
      <c r="SEG158"/>
      <c r="SEH158"/>
      <c r="SEI158"/>
      <c r="SEJ158"/>
      <c r="SEK158"/>
      <c r="SEL158"/>
      <c r="SEM158"/>
      <c r="SEN158"/>
      <c r="SEO158"/>
      <c r="SEP158"/>
      <c r="SEQ158"/>
      <c r="SER158"/>
      <c r="SES158"/>
      <c r="SET158"/>
      <c r="SEU158"/>
      <c r="SEV158"/>
      <c r="SEW158"/>
      <c r="SEX158"/>
      <c r="SEY158"/>
      <c r="SEZ158"/>
      <c r="SFA158"/>
      <c r="SFB158"/>
      <c r="SFC158"/>
      <c r="SFD158"/>
      <c r="SFE158"/>
      <c r="SFF158"/>
      <c r="SFG158"/>
      <c r="SFH158"/>
      <c r="SFI158"/>
      <c r="SFJ158"/>
      <c r="SFK158"/>
      <c r="SFL158"/>
      <c r="SFM158"/>
      <c r="SFN158"/>
      <c r="SFO158"/>
      <c r="SFP158"/>
      <c r="SFQ158"/>
      <c r="SFR158"/>
      <c r="SFS158"/>
      <c r="SFT158"/>
      <c r="SFU158"/>
      <c r="SFV158"/>
      <c r="SFW158"/>
      <c r="SFX158"/>
      <c r="SFY158"/>
      <c r="SFZ158"/>
      <c r="SGA158"/>
      <c r="SGB158"/>
      <c r="SGC158"/>
      <c r="SGD158"/>
      <c r="SGE158"/>
      <c r="SGF158"/>
      <c r="SGG158"/>
      <c r="SGH158"/>
      <c r="SGI158"/>
      <c r="SGJ158"/>
      <c r="SGK158"/>
      <c r="SGL158"/>
      <c r="SGM158"/>
      <c r="SGN158"/>
      <c r="SGO158"/>
      <c r="SGP158"/>
      <c r="SGQ158"/>
      <c r="SGR158"/>
      <c r="SGS158"/>
      <c r="SGT158"/>
      <c r="SGU158"/>
      <c r="SGV158"/>
      <c r="SGW158"/>
      <c r="SGX158"/>
      <c r="SGY158"/>
      <c r="SGZ158"/>
      <c r="SHA158"/>
      <c r="SHB158"/>
      <c r="SHC158"/>
      <c r="SHD158"/>
      <c r="SHE158"/>
      <c r="SHF158"/>
      <c r="SHG158"/>
      <c r="SHH158"/>
      <c r="SHI158"/>
      <c r="SHJ158"/>
      <c r="SHK158"/>
      <c r="SHL158"/>
      <c r="SHM158"/>
      <c r="SHN158"/>
      <c r="SHO158"/>
      <c r="SHP158"/>
      <c r="SHQ158"/>
      <c r="SHR158"/>
      <c r="SHS158"/>
      <c r="SHT158"/>
      <c r="SHU158"/>
      <c r="SHV158"/>
      <c r="SHW158"/>
      <c r="SHX158"/>
      <c r="SHY158"/>
      <c r="SHZ158"/>
      <c r="SIA158"/>
      <c r="SIB158"/>
      <c r="SIC158"/>
      <c r="SID158"/>
      <c r="SIE158"/>
      <c r="SIF158"/>
      <c r="SIG158"/>
      <c r="SIH158"/>
      <c r="SII158"/>
      <c r="SIJ158"/>
      <c r="SIK158"/>
      <c r="SIL158"/>
      <c r="SIM158"/>
      <c r="SIN158"/>
      <c r="SIO158"/>
      <c r="SIP158"/>
      <c r="SIQ158"/>
      <c r="SIR158"/>
      <c r="SIS158"/>
      <c r="SIT158"/>
      <c r="SIU158"/>
      <c r="SIV158"/>
      <c r="SIW158"/>
      <c r="SIX158"/>
      <c r="SIY158"/>
      <c r="SIZ158"/>
      <c r="SJA158"/>
      <c r="SJB158"/>
      <c r="SJC158"/>
      <c r="SJD158"/>
      <c r="SJE158"/>
      <c r="SJF158"/>
      <c r="SJG158"/>
      <c r="SJH158"/>
      <c r="SJI158"/>
      <c r="SJJ158"/>
      <c r="SJK158"/>
      <c r="SJL158"/>
      <c r="SJM158"/>
      <c r="SJN158"/>
      <c r="SJO158"/>
      <c r="SJP158"/>
      <c r="SJQ158"/>
      <c r="SJR158"/>
      <c r="SJS158"/>
      <c r="SJT158"/>
      <c r="SJU158"/>
      <c r="SJV158"/>
      <c r="SJW158"/>
      <c r="SJX158"/>
      <c r="SJY158"/>
      <c r="SJZ158"/>
      <c r="SKA158"/>
      <c r="SKB158"/>
      <c r="SKC158"/>
      <c r="SKD158"/>
      <c r="SKE158"/>
      <c r="SKF158"/>
      <c r="SKG158"/>
      <c r="SKH158"/>
      <c r="SKI158"/>
      <c r="SKJ158"/>
      <c r="SKK158"/>
      <c r="SKL158"/>
      <c r="SKM158"/>
      <c r="SKN158"/>
      <c r="SKO158"/>
      <c r="SKP158"/>
      <c r="SKQ158"/>
      <c r="SKR158"/>
      <c r="SKS158"/>
      <c r="SKT158"/>
      <c r="SKU158"/>
      <c r="SKV158"/>
      <c r="SKW158"/>
      <c r="SKX158"/>
      <c r="SKY158"/>
      <c r="SKZ158"/>
      <c r="SLA158"/>
      <c r="SLB158"/>
      <c r="SLC158"/>
      <c r="SLD158"/>
      <c r="SLE158"/>
      <c r="SLF158"/>
      <c r="SLG158"/>
      <c r="SLH158"/>
      <c r="SLI158"/>
      <c r="SLJ158"/>
      <c r="SLK158"/>
      <c r="SLL158"/>
      <c r="SLM158"/>
      <c r="SLN158"/>
      <c r="SLO158"/>
      <c r="SLP158"/>
      <c r="SLQ158"/>
      <c r="SLR158"/>
      <c r="SLS158"/>
      <c r="SLT158"/>
      <c r="SLU158"/>
      <c r="SLV158"/>
      <c r="SLW158"/>
      <c r="SLX158"/>
      <c r="SLY158"/>
      <c r="SLZ158"/>
      <c r="SMA158"/>
      <c r="SMB158"/>
      <c r="SMC158"/>
      <c r="SMD158"/>
      <c r="SME158"/>
      <c r="SMF158"/>
      <c r="SMG158"/>
      <c r="SMH158"/>
      <c r="SMI158"/>
      <c r="SMJ158"/>
      <c r="SMK158"/>
      <c r="SML158"/>
      <c r="SMM158"/>
      <c r="SMN158"/>
      <c r="SMO158"/>
      <c r="SMP158"/>
      <c r="SMQ158"/>
      <c r="SMR158"/>
      <c r="SMS158"/>
      <c r="SMT158"/>
      <c r="SMU158"/>
      <c r="SMV158"/>
      <c r="SMW158"/>
      <c r="SMX158"/>
      <c r="SMY158"/>
      <c r="SMZ158"/>
      <c r="SNA158"/>
      <c r="SNB158"/>
      <c r="SNC158"/>
      <c r="SND158"/>
      <c r="SNE158"/>
      <c r="SNF158"/>
      <c r="SNG158"/>
      <c r="SNH158"/>
      <c r="SNI158"/>
      <c r="SNJ158"/>
      <c r="SNK158"/>
      <c r="SNL158"/>
      <c r="SNM158"/>
      <c r="SNN158"/>
      <c r="SNO158"/>
      <c r="SNP158"/>
      <c r="SNQ158"/>
      <c r="SNR158"/>
      <c r="SNS158"/>
      <c r="SNT158"/>
      <c r="SNU158"/>
      <c r="SNV158"/>
      <c r="SNW158"/>
      <c r="SNX158"/>
      <c r="SNY158"/>
      <c r="SNZ158"/>
      <c r="SOA158"/>
      <c r="SOB158"/>
      <c r="SOC158"/>
      <c r="SOD158"/>
      <c r="SOE158"/>
      <c r="SOF158"/>
      <c r="SOG158"/>
      <c r="SOH158"/>
      <c r="SOI158"/>
      <c r="SOJ158"/>
      <c r="SOK158"/>
      <c r="SOL158"/>
      <c r="SOM158"/>
      <c r="SON158"/>
      <c r="SOO158"/>
      <c r="SOP158"/>
      <c r="SOQ158"/>
      <c r="SOR158"/>
      <c r="SOS158"/>
      <c r="SOT158"/>
      <c r="SOU158"/>
      <c r="SOV158"/>
      <c r="SOW158"/>
      <c r="SOX158"/>
      <c r="SOY158"/>
      <c r="SOZ158"/>
      <c r="SPA158"/>
      <c r="SPB158"/>
      <c r="SPC158"/>
      <c r="SPD158"/>
      <c r="SPE158"/>
      <c r="SPF158"/>
      <c r="SPG158"/>
      <c r="SPH158"/>
      <c r="SPI158"/>
      <c r="SPJ158"/>
      <c r="SPK158"/>
      <c r="SPL158"/>
      <c r="SPM158"/>
      <c r="SPN158"/>
      <c r="SPO158"/>
      <c r="SPP158"/>
      <c r="SPQ158"/>
      <c r="SPR158"/>
      <c r="SPS158"/>
      <c r="SPT158"/>
      <c r="SPU158"/>
      <c r="SPV158"/>
      <c r="SPW158"/>
      <c r="SPX158"/>
      <c r="SPY158"/>
      <c r="SPZ158"/>
      <c r="SQA158"/>
      <c r="SQB158"/>
      <c r="SQC158"/>
      <c r="SQD158"/>
      <c r="SQE158"/>
      <c r="SQF158"/>
      <c r="SQG158"/>
      <c r="SQH158"/>
      <c r="SQI158"/>
      <c r="SQJ158"/>
      <c r="SQK158"/>
      <c r="SQL158"/>
      <c r="SQM158"/>
      <c r="SQN158"/>
      <c r="SQO158"/>
      <c r="SQP158"/>
      <c r="SQQ158"/>
      <c r="SQR158"/>
      <c r="SQS158"/>
      <c r="SQT158"/>
      <c r="SQU158"/>
      <c r="SQV158"/>
      <c r="SQW158"/>
      <c r="SQX158"/>
      <c r="SQY158"/>
      <c r="SQZ158"/>
      <c r="SRA158"/>
      <c r="SRB158"/>
      <c r="SRC158"/>
      <c r="SRD158"/>
      <c r="SRE158"/>
      <c r="SRF158"/>
      <c r="SRG158"/>
      <c r="SRH158"/>
      <c r="SRI158"/>
      <c r="SRJ158"/>
      <c r="SRK158"/>
      <c r="SRL158"/>
      <c r="SRM158"/>
      <c r="SRN158"/>
      <c r="SRO158"/>
      <c r="SRP158"/>
      <c r="SRQ158"/>
      <c r="SRR158"/>
      <c r="SRS158"/>
      <c r="SRT158"/>
      <c r="SRU158"/>
      <c r="SRV158"/>
      <c r="SRW158"/>
      <c r="SRX158"/>
      <c r="SRY158"/>
      <c r="SRZ158"/>
      <c r="SSA158"/>
      <c r="SSB158"/>
      <c r="SSC158"/>
      <c r="SSD158"/>
      <c r="SSE158"/>
      <c r="SSF158"/>
      <c r="SSG158"/>
      <c r="SSH158"/>
      <c r="SSI158"/>
      <c r="SSJ158"/>
      <c r="SSK158"/>
      <c r="SSL158"/>
      <c r="SSM158"/>
      <c r="SSN158"/>
      <c r="SSO158"/>
      <c r="SSP158"/>
      <c r="SSQ158"/>
      <c r="SSR158"/>
      <c r="SSS158"/>
      <c r="SST158"/>
      <c r="SSU158"/>
      <c r="SSV158"/>
      <c r="SSW158"/>
      <c r="SSX158"/>
      <c r="SSY158"/>
      <c r="SSZ158"/>
      <c r="STA158"/>
      <c r="STB158"/>
      <c r="STC158"/>
      <c r="STD158"/>
      <c r="STE158"/>
      <c r="STF158"/>
      <c r="STG158"/>
      <c r="STH158"/>
      <c r="STI158"/>
      <c r="STJ158"/>
      <c r="STK158"/>
      <c r="STL158"/>
      <c r="STM158"/>
      <c r="STN158"/>
      <c r="STO158"/>
      <c r="STP158"/>
      <c r="STQ158"/>
      <c r="STR158"/>
      <c r="STS158"/>
      <c r="STT158"/>
      <c r="STU158"/>
      <c r="STV158"/>
      <c r="STW158"/>
      <c r="STX158"/>
      <c r="STY158"/>
      <c r="STZ158"/>
      <c r="SUA158"/>
      <c r="SUB158"/>
      <c r="SUC158"/>
      <c r="SUD158"/>
      <c r="SUE158"/>
      <c r="SUF158"/>
      <c r="SUG158"/>
      <c r="SUH158"/>
      <c r="SUI158"/>
      <c r="SUJ158"/>
      <c r="SUK158"/>
      <c r="SUL158"/>
      <c r="SUM158"/>
      <c r="SUN158"/>
      <c r="SUO158"/>
      <c r="SUP158"/>
      <c r="SUQ158"/>
      <c r="SUR158"/>
      <c r="SUS158"/>
      <c r="SUT158"/>
      <c r="SUU158"/>
      <c r="SUV158"/>
      <c r="SUW158"/>
      <c r="SUX158"/>
      <c r="SUY158"/>
      <c r="SUZ158"/>
      <c r="SVA158"/>
      <c r="SVB158"/>
      <c r="SVC158"/>
      <c r="SVD158"/>
      <c r="SVE158"/>
      <c r="SVF158"/>
      <c r="SVG158"/>
      <c r="SVH158"/>
      <c r="SVI158"/>
      <c r="SVJ158"/>
      <c r="SVK158"/>
      <c r="SVL158"/>
      <c r="SVM158"/>
      <c r="SVN158"/>
      <c r="SVO158"/>
      <c r="SVP158"/>
      <c r="SVQ158"/>
      <c r="SVR158"/>
      <c r="SVS158"/>
      <c r="SVT158"/>
      <c r="SVU158"/>
      <c r="SVV158"/>
      <c r="SVW158"/>
      <c r="SVX158"/>
      <c r="SVY158"/>
      <c r="SVZ158"/>
      <c r="SWA158"/>
      <c r="SWB158"/>
      <c r="SWC158"/>
      <c r="SWD158"/>
      <c r="SWE158"/>
      <c r="SWF158"/>
      <c r="SWG158"/>
      <c r="SWH158"/>
      <c r="SWI158"/>
      <c r="SWJ158"/>
      <c r="SWK158"/>
      <c r="SWL158"/>
      <c r="SWM158"/>
      <c r="SWN158"/>
      <c r="SWO158"/>
      <c r="SWP158"/>
      <c r="SWQ158"/>
      <c r="SWR158"/>
      <c r="SWS158"/>
      <c r="SWT158"/>
      <c r="SWU158"/>
      <c r="SWV158"/>
      <c r="SWW158"/>
      <c r="SWX158"/>
      <c r="SWY158"/>
      <c r="SWZ158"/>
      <c r="SXA158"/>
      <c r="SXB158"/>
      <c r="SXC158"/>
      <c r="SXD158"/>
      <c r="SXE158"/>
      <c r="SXF158"/>
      <c r="SXG158"/>
      <c r="SXH158"/>
      <c r="SXI158"/>
      <c r="SXJ158"/>
      <c r="SXK158"/>
      <c r="SXL158"/>
      <c r="SXM158"/>
      <c r="SXN158"/>
      <c r="SXO158"/>
      <c r="SXP158"/>
      <c r="SXQ158"/>
      <c r="SXR158"/>
      <c r="SXS158"/>
      <c r="SXT158"/>
      <c r="SXU158"/>
      <c r="SXV158"/>
      <c r="SXW158"/>
      <c r="SXX158"/>
      <c r="SXY158"/>
      <c r="SXZ158"/>
      <c r="SYA158"/>
      <c r="SYB158"/>
      <c r="SYC158"/>
      <c r="SYD158"/>
      <c r="SYE158"/>
      <c r="SYF158"/>
      <c r="SYG158"/>
      <c r="SYH158"/>
      <c r="SYI158"/>
      <c r="SYJ158"/>
      <c r="SYK158"/>
      <c r="SYL158"/>
      <c r="SYM158"/>
      <c r="SYN158"/>
      <c r="SYO158"/>
      <c r="SYP158"/>
      <c r="SYQ158"/>
      <c r="SYR158"/>
      <c r="SYS158"/>
      <c r="SYT158"/>
      <c r="SYU158"/>
      <c r="SYV158"/>
      <c r="SYW158"/>
      <c r="SYX158"/>
      <c r="SYY158"/>
      <c r="SYZ158"/>
      <c r="SZA158"/>
      <c r="SZB158"/>
      <c r="SZC158"/>
      <c r="SZD158"/>
      <c r="SZE158"/>
      <c r="SZF158"/>
      <c r="SZG158"/>
      <c r="SZH158"/>
      <c r="SZI158"/>
      <c r="SZJ158"/>
      <c r="SZK158"/>
      <c r="SZL158"/>
      <c r="SZM158"/>
      <c r="SZN158"/>
      <c r="SZO158"/>
      <c r="SZP158"/>
      <c r="SZQ158"/>
      <c r="SZR158"/>
      <c r="SZS158"/>
      <c r="SZT158"/>
      <c r="SZU158"/>
      <c r="SZV158"/>
      <c r="SZW158"/>
      <c r="SZX158"/>
      <c r="SZY158"/>
      <c r="SZZ158"/>
      <c r="TAA158"/>
      <c r="TAB158"/>
      <c r="TAC158"/>
      <c r="TAD158"/>
      <c r="TAE158"/>
      <c r="TAF158"/>
      <c r="TAG158"/>
      <c r="TAH158"/>
      <c r="TAI158"/>
      <c r="TAJ158"/>
      <c r="TAK158"/>
      <c r="TAL158"/>
      <c r="TAM158"/>
      <c r="TAN158"/>
      <c r="TAO158"/>
      <c r="TAP158"/>
      <c r="TAQ158"/>
      <c r="TAR158"/>
      <c r="TAS158"/>
      <c r="TAT158"/>
      <c r="TAU158"/>
      <c r="TAV158"/>
      <c r="TAW158"/>
      <c r="TAX158"/>
      <c r="TAY158"/>
      <c r="TAZ158"/>
      <c r="TBA158"/>
      <c r="TBB158"/>
      <c r="TBC158"/>
      <c r="TBD158"/>
      <c r="TBE158"/>
      <c r="TBF158"/>
      <c r="TBG158"/>
      <c r="TBH158"/>
      <c r="TBI158"/>
      <c r="TBJ158"/>
      <c r="TBK158"/>
      <c r="TBL158"/>
      <c r="TBM158"/>
      <c r="TBN158"/>
      <c r="TBO158"/>
      <c r="TBP158"/>
      <c r="TBQ158"/>
      <c r="TBR158"/>
      <c r="TBS158"/>
      <c r="TBT158"/>
      <c r="TBU158"/>
      <c r="TBV158"/>
      <c r="TBW158"/>
      <c r="TBX158"/>
      <c r="TBY158"/>
      <c r="TBZ158"/>
      <c r="TCA158"/>
      <c r="TCB158"/>
      <c r="TCC158"/>
      <c r="TCD158"/>
      <c r="TCE158"/>
      <c r="TCF158"/>
      <c r="TCG158"/>
      <c r="TCH158"/>
      <c r="TCI158"/>
      <c r="TCJ158"/>
      <c r="TCK158"/>
      <c r="TCL158"/>
      <c r="TCM158"/>
      <c r="TCN158"/>
      <c r="TCO158"/>
      <c r="TCP158"/>
      <c r="TCQ158"/>
      <c r="TCR158"/>
      <c r="TCS158"/>
      <c r="TCT158"/>
      <c r="TCU158"/>
      <c r="TCV158"/>
      <c r="TCW158"/>
      <c r="TCX158"/>
      <c r="TCY158"/>
      <c r="TCZ158"/>
      <c r="TDA158"/>
      <c r="TDB158"/>
      <c r="TDC158"/>
      <c r="TDD158"/>
      <c r="TDE158"/>
      <c r="TDF158"/>
      <c r="TDG158"/>
      <c r="TDH158"/>
      <c r="TDI158"/>
      <c r="TDJ158"/>
      <c r="TDK158"/>
      <c r="TDL158"/>
      <c r="TDM158"/>
      <c r="TDN158"/>
      <c r="TDO158"/>
      <c r="TDP158"/>
      <c r="TDQ158"/>
      <c r="TDR158"/>
      <c r="TDS158"/>
      <c r="TDT158"/>
      <c r="TDU158"/>
      <c r="TDV158"/>
      <c r="TDW158"/>
      <c r="TDX158"/>
      <c r="TDY158"/>
      <c r="TDZ158"/>
      <c r="TEA158"/>
      <c r="TEB158"/>
      <c r="TEC158"/>
      <c r="TED158"/>
      <c r="TEE158"/>
      <c r="TEF158"/>
      <c r="TEG158"/>
      <c r="TEH158"/>
      <c r="TEI158"/>
      <c r="TEJ158"/>
      <c r="TEK158"/>
      <c r="TEL158"/>
      <c r="TEM158"/>
      <c r="TEN158"/>
      <c r="TEO158"/>
      <c r="TEP158"/>
      <c r="TEQ158"/>
      <c r="TER158"/>
      <c r="TES158"/>
      <c r="TET158"/>
      <c r="TEU158"/>
      <c r="TEV158"/>
      <c r="TEW158"/>
      <c r="TEX158"/>
      <c r="TEY158"/>
      <c r="TEZ158"/>
      <c r="TFA158"/>
      <c r="TFB158"/>
      <c r="TFC158"/>
      <c r="TFD158"/>
      <c r="TFE158"/>
      <c r="TFF158"/>
      <c r="TFG158"/>
      <c r="TFH158"/>
      <c r="TFI158"/>
      <c r="TFJ158"/>
      <c r="TFK158"/>
      <c r="TFL158"/>
      <c r="TFM158"/>
      <c r="TFN158"/>
      <c r="TFO158"/>
      <c r="TFP158"/>
      <c r="TFQ158"/>
      <c r="TFR158"/>
      <c r="TFS158"/>
      <c r="TFT158"/>
      <c r="TFU158"/>
      <c r="TFV158"/>
      <c r="TFW158"/>
      <c r="TFX158"/>
      <c r="TFY158"/>
      <c r="TFZ158"/>
      <c r="TGA158"/>
      <c r="TGB158"/>
      <c r="TGC158"/>
      <c r="TGD158"/>
      <c r="TGE158"/>
      <c r="TGF158"/>
      <c r="TGG158"/>
      <c r="TGH158"/>
      <c r="TGI158"/>
      <c r="TGJ158"/>
      <c r="TGK158"/>
      <c r="TGL158"/>
      <c r="TGM158"/>
      <c r="TGN158"/>
      <c r="TGO158"/>
      <c r="TGP158"/>
      <c r="TGQ158"/>
      <c r="TGR158"/>
      <c r="TGS158"/>
      <c r="TGT158"/>
      <c r="TGU158"/>
      <c r="TGV158"/>
      <c r="TGW158"/>
      <c r="TGX158"/>
      <c r="TGY158"/>
      <c r="TGZ158"/>
      <c r="THA158"/>
      <c r="THB158"/>
      <c r="THC158"/>
      <c r="THD158"/>
      <c r="THE158"/>
      <c r="THF158"/>
      <c r="THG158"/>
      <c r="THH158"/>
      <c r="THI158"/>
      <c r="THJ158"/>
      <c r="THK158"/>
      <c r="THL158"/>
      <c r="THM158"/>
      <c r="THN158"/>
      <c r="THO158"/>
      <c r="THP158"/>
      <c r="THQ158"/>
      <c r="THR158"/>
      <c r="THS158"/>
      <c r="THT158"/>
      <c r="THU158"/>
      <c r="THV158"/>
      <c r="THW158"/>
      <c r="THX158"/>
      <c r="THY158"/>
      <c r="THZ158"/>
      <c r="TIA158"/>
      <c r="TIB158"/>
      <c r="TIC158"/>
      <c r="TID158"/>
      <c r="TIE158"/>
      <c r="TIF158"/>
      <c r="TIG158"/>
      <c r="TIH158"/>
      <c r="TII158"/>
      <c r="TIJ158"/>
      <c r="TIK158"/>
      <c r="TIL158"/>
      <c r="TIM158"/>
      <c r="TIN158"/>
      <c r="TIO158"/>
      <c r="TIP158"/>
      <c r="TIQ158"/>
      <c r="TIR158"/>
      <c r="TIS158"/>
      <c r="TIT158"/>
      <c r="TIU158"/>
      <c r="TIV158"/>
      <c r="TIW158"/>
      <c r="TIX158"/>
      <c r="TIY158"/>
      <c r="TIZ158"/>
      <c r="TJA158"/>
      <c r="TJB158"/>
      <c r="TJC158"/>
      <c r="TJD158"/>
      <c r="TJE158"/>
      <c r="TJF158"/>
      <c r="TJG158"/>
      <c r="TJH158"/>
      <c r="TJI158"/>
      <c r="TJJ158"/>
      <c r="TJK158"/>
      <c r="TJL158"/>
      <c r="TJM158"/>
      <c r="TJN158"/>
      <c r="TJO158"/>
      <c r="TJP158"/>
      <c r="TJQ158"/>
      <c r="TJR158"/>
      <c r="TJS158"/>
      <c r="TJT158"/>
      <c r="TJU158"/>
      <c r="TJV158"/>
      <c r="TJW158"/>
      <c r="TJX158"/>
      <c r="TJY158"/>
      <c r="TJZ158"/>
      <c r="TKA158"/>
      <c r="TKB158"/>
      <c r="TKC158"/>
      <c r="TKD158"/>
      <c r="TKE158"/>
      <c r="TKF158"/>
      <c r="TKG158"/>
      <c r="TKH158"/>
      <c r="TKI158"/>
      <c r="TKJ158"/>
      <c r="TKK158"/>
      <c r="TKL158"/>
      <c r="TKM158"/>
      <c r="TKN158"/>
      <c r="TKO158"/>
      <c r="TKP158"/>
      <c r="TKQ158"/>
      <c r="TKR158"/>
      <c r="TKS158"/>
      <c r="TKT158"/>
      <c r="TKU158"/>
      <c r="TKV158"/>
      <c r="TKW158"/>
      <c r="TKX158"/>
      <c r="TKY158"/>
      <c r="TKZ158"/>
      <c r="TLA158"/>
      <c r="TLB158"/>
      <c r="TLC158"/>
      <c r="TLD158"/>
      <c r="TLE158"/>
      <c r="TLF158"/>
      <c r="TLG158"/>
      <c r="TLH158"/>
      <c r="TLI158"/>
      <c r="TLJ158"/>
      <c r="TLK158"/>
      <c r="TLL158"/>
      <c r="TLM158"/>
      <c r="TLN158"/>
      <c r="TLO158"/>
      <c r="TLP158"/>
      <c r="TLQ158"/>
      <c r="TLR158"/>
      <c r="TLS158"/>
      <c r="TLT158"/>
      <c r="TLU158"/>
      <c r="TLV158"/>
      <c r="TLW158"/>
      <c r="TLX158"/>
      <c r="TLY158"/>
      <c r="TLZ158"/>
      <c r="TMA158"/>
      <c r="TMB158"/>
      <c r="TMC158"/>
      <c r="TMD158"/>
      <c r="TME158"/>
      <c r="TMF158"/>
      <c r="TMG158"/>
      <c r="TMH158"/>
      <c r="TMI158"/>
      <c r="TMJ158"/>
      <c r="TMK158"/>
      <c r="TML158"/>
      <c r="TMM158"/>
      <c r="TMN158"/>
      <c r="TMO158"/>
      <c r="TMP158"/>
      <c r="TMQ158"/>
      <c r="TMR158"/>
      <c r="TMS158"/>
      <c r="TMT158"/>
      <c r="TMU158"/>
      <c r="TMV158"/>
      <c r="TMW158"/>
      <c r="TMX158"/>
      <c r="TMY158"/>
      <c r="TMZ158"/>
      <c r="TNA158"/>
      <c r="TNB158"/>
      <c r="TNC158"/>
      <c r="TND158"/>
      <c r="TNE158"/>
      <c r="TNF158"/>
      <c r="TNG158"/>
      <c r="TNH158"/>
      <c r="TNI158"/>
      <c r="TNJ158"/>
      <c r="TNK158"/>
      <c r="TNL158"/>
      <c r="TNM158"/>
      <c r="TNN158"/>
      <c r="TNO158"/>
      <c r="TNP158"/>
      <c r="TNQ158"/>
      <c r="TNR158"/>
      <c r="TNS158"/>
      <c r="TNT158"/>
      <c r="TNU158"/>
      <c r="TNV158"/>
      <c r="TNW158"/>
      <c r="TNX158"/>
      <c r="TNY158"/>
      <c r="TNZ158"/>
      <c r="TOA158"/>
      <c r="TOB158"/>
      <c r="TOC158"/>
      <c r="TOD158"/>
      <c r="TOE158"/>
      <c r="TOF158"/>
      <c r="TOG158"/>
      <c r="TOH158"/>
      <c r="TOI158"/>
      <c r="TOJ158"/>
      <c r="TOK158"/>
      <c r="TOL158"/>
      <c r="TOM158"/>
      <c r="TON158"/>
      <c r="TOO158"/>
      <c r="TOP158"/>
      <c r="TOQ158"/>
      <c r="TOR158"/>
      <c r="TOS158"/>
      <c r="TOT158"/>
      <c r="TOU158"/>
      <c r="TOV158"/>
      <c r="TOW158"/>
      <c r="TOX158"/>
      <c r="TOY158"/>
      <c r="TOZ158"/>
      <c r="TPA158"/>
      <c r="TPB158"/>
      <c r="TPC158"/>
      <c r="TPD158"/>
      <c r="TPE158"/>
      <c r="TPF158"/>
      <c r="TPG158"/>
      <c r="TPH158"/>
      <c r="TPI158"/>
      <c r="TPJ158"/>
      <c r="TPK158"/>
      <c r="TPL158"/>
      <c r="TPM158"/>
      <c r="TPN158"/>
      <c r="TPO158"/>
      <c r="TPP158"/>
      <c r="TPQ158"/>
      <c r="TPR158"/>
      <c r="TPS158"/>
      <c r="TPT158"/>
      <c r="TPU158"/>
      <c r="TPV158"/>
      <c r="TPW158"/>
      <c r="TPX158"/>
      <c r="TPY158"/>
      <c r="TPZ158"/>
      <c r="TQA158"/>
      <c r="TQB158"/>
      <c r="TQC158"/>
      <c r="TQD158"/>
      <c r="TQE158"/>
      <c r="TQF158"/>
      <c r="TQG158"/>
      <c r="TQH158"/>
      <c r="TQI158"/>
      <c r="TQJ158"/>
      <c r="TQK158"/>
      <c r="TQL158"/>
      <c r="TQM158"/>
      <c r="TQN158"/>
      <c r="TQO158"/>
      <c r="TQP158"/>
      <c r="TQQ158"/>
      <c r="TQR158"/>
      <c r="TQS158"/>
      <c r="TQT158"/>
      <c r="TQU158"/>
      <c r="TQV158"/>
      <c r="TQW158"/>
      <c r="TQX158"/>
      <c r="TQY158"/>
      <c r="TQZ158"/>
      <c r="TRA158"/>
      <c r="TRB158"/>
      <c r="TRC158"/>
      <c r="TRD158"/>
      <c r="TRE158"/>
      <c r="TRF158"/>
      <c r="TRG158"/>
      <c r="TRH158"/>
      <c r="TRI158"/>
      <c r="TRJ158"/>
      <c r="TRK158"/>
      <c r="TRL158"/>
      <c r="TRM158"/>
      <c r="TRN158"/>
      <c r="TRO158"/>
      <c r="TRP158"/>
      <c r="TRQ158"/>
      <c r="TRR158"/>
      <c r="TRS158"/>
      <c r="TRT158"/>
      <c r="TRU158"/>
      <c r="TRV158"/>
      <c r="TRW158"/>
      <c r="TRX158"/>
      <c r="TRY158"/>
      <c r="TRZ158"/>
      <c r="TSA158"/>
      <c r="TSB158"/>
      <c r="TSC158"/>
      <c r="TSD158"/>
      <c r="TSE158"/>
      <c r="TSF158"/>
      <c r="TSG158"/>
      <c r="TSH158"/>
      <c r="TSI158"/>
      <c r="TSJ158"/>
      <c r="TSK158"/>
      <c r="TSL158"/>
      <c r="TSM158"/>
      <c r="TSN158"/>
      <c r="TSO158"/>
      <c r="TSP158"/>
      <c r="TSQ158"/>
      <c r="TSR158"/>
      <c r="TSS158"/>
      <c r="TST158"/>
      <c r="TSU158"/>
      <c r="TSV158"/>
      <c r="TSW158"/>
      <c r="TSX158"/>
      <c r="TSY158"/>
      <c r="TSZ158"/>
      <c r="TTA158"/>
      <c r="TTB158"/>
      <c r="TTC158"/>
      <c r="TTD158"/>
      <c r="TTE158"/>
      <c r="TTF158"/>
      <c r="TTG158"/>
      <c r="TTH158"/>
      <c r="TTI158"/>
      <c r="TTJ158"/>
      <c r="TTK158"/>
      <c r="TTL158"/>
      <c r="TTM158"/>
      <c r="TTN158"/>
      <c r="TTO158"/>
      <c r="TTP158"/>
      <c r="TTQ158"/>
      <c r="TTR158"/>
      <c r="TTS158"/>
      <c r="TTT158"/>
      <c r="TTU158"/>
      <c r="TTV158"/>
      <c r="TTW158"/>
      <c r="TTX158"/>
      <c r="TTY158"/>
      <c r="TTZ158"/>
      <c r="TUA158"/>
      <c r="TUB158"/>
      <c r="TUC158"/>
      <c r="TUD158"/>
      <c r="TUE158"/>
      <c r="TUF158"/>
      <c r="TUG158"/>
      <c r="TUH158"/>
      <c r="TUI158"/>
      <c r="TUJ158"/>
      <c r="TUK158"/>
      <c r="TUL158"/>
      <c r="TUM158"/>
      <c r="TUN158"/>
      <c r="TUO158"/>
      <c r="TUP158"/>
      <c r="TUQ158"/>
      <c r="TUR158"/>
      <c r="TUS158"/>
      <c r="TUT158"/>
      <c r="TUU158"/>
      <c r="TUV158"/>
      <c r="TUW158"/>
      <c r="TUX158"/>
      <c r="TUY158"/>
      <c r="TUZ158"/>
      <c r="TVA158"/>
      <c r="TVB158"/>
      <c r="TVC158"/>
      <c r="TVD158"/>
      <c r="TVE158"/>
      <c r="TVF158"/>
      <c r="TVG158"/>
      <c r="TVH158"/>
      <c r="TVI158"/>
      <c r="TVJ158"/>
      <c r="TVK158"/>
      <c r="TVL158"/>
      <c r="TVM158"/>
      <c r="TVN158"/>
      <c r="TVO158"/>
      <c r="TVP158"/>
      <c r="TVQ158"/>
      <c r="TVR158"/>
      <c r="TVS158"/>
      <c r="TVT158"/>
      <c r="TVU158"/>
      <c r="TVV158"/>
      <c r="TVW158"/>
      <c r="TVX158"/>
      <c r="TVY158"/>
      <c r="TVZ158"/>
      <c r="TWA158"/>
      <c r="TWB158"/>
      <c r="TWC158"/>
      <c r="TWD158"/>
      <c r="TWE158"/>
      <c r="TWF158"/>
      <c r="TWG158"/>
      <c r="TWH158"/>
      <c r="TWI158"/>
      <c r="TWJ158"/>
      <c r="TWK158"/>
      <c r="TWL158"/>
      <c r="TWM158"/>
      <c r="TWN158"/>
      <c r="TWO158"/>
      <c r="TWP158"/>
      <c r="TWQ158"/>
      <c r="TWR158"/>
      <c r="TWS158"/>
      <c r="TWT158"/>
      <c r="TWU158"/>
      <c r="TWV158"/>
      <c r="TWW158"/>
      <c r="TWX158"/>
      <c r="TWY158"/>
      <c r="TWZ158"/>
      <c r="TXA158"/>
      <c r="TXB158"/>
      <c r="TXC158"/>
      <c r="TXD158"/>
      <c r="TXE158"/>
      <c r="TXF158"/>
      <c r="TXG158"/>
      <c r="TXH158"/>
      <c r="TXI158"/>
      <c r="TXJ158"/>
      <c r="TXK158"/>
      <c r="TXL158"/>
      <c r="TXM158"/>
      <c r="TXN158"/>
      <c r="TXO158"/>
      <c r="TXP158"/>
      <c r="TXQ158"/>
      <c r="TXR158"/>
      <c r="TXS158"/>
      <c r="TXT158"/>
      <c r="TXU158"/>
      <c r="TXV158"/>
      <c r="TXW158"/>
      <c r="TXX158"/>
      <c r="TXY158"/>
      <c r="TXZ158"/>
      <c r="TYA158"/>
      <c r="TYB158"/>
      <c r="TYC158"/>
      <c r="TYD158"/>
      <c r="TYE158"/>
      <c r="TYF158"/>
      <c r="TYG158"/>
      <c r="TYH158"/>
      <c r="TYI158"/>
      <c r="TYJ158"/>
      <c r="TYK158"/>
      <c r="TYL158"/>
      <c r="TYM158"/>
      <c r="TYN158"/>
      <c r="TYO158"/>
      <c r="TYP158"/>
      <c r="TYQ158"/>
      <c r="TYR158"/>
      <c r="TYS158"/>
      <c r="TYT158"/>
      <c r="TYU158"/>
      <c r="TYV158"/>
      <c r="TYW158"/>
      <c r="TYX158"/>
      <c r="TYY158"/>
      <c r="TYZ158"/>
      <c r="TZA158"/>
      <c r="TZB158"/>
      <c r="TZC158"/>
      <c r="TZD158"/>
      <c r="TZE158"/>
      <c r="TZF158"/>
      <c r="TZG158"/>
      <c r="TZH158"/>
      <c r="TZI158"/>
      <c r="TZJ158"/>
      <c r="TZK158"/>
      <c r="TZL158"/>
      <c r="TZM158"/>
      <c r="TZN158"/>
      <c r="TZO158"/>
      <c r="TZP158"/>
      <c r="TZQ158"/>
      <c r="TZR158"/>
      <c r="TZS158"/>
      <c r="TZT158"/>
      <c r="TZU158"/>
      <c r="TZV158"/>
      <c r="TZW158"/>
      <c r="TZX158"/>
      <c r="TZY158"/>
      <c r="TZZ158"/>
      <c r="UAA158"/>
      <c r="UAB158"/>
      <c r="UAC158"/>
      <c r="UAD158"/>
      <c r="UAE158"/>
      <c r="UAF158"/>
      <c r="UAG158"/>
      <c r="UAH158"/>
      <c r="UAI158"/>
      <c r="UAJ158"/>
      <c r="UAK158"/>
      <c r="UAL158"/>
      <c r="UAM158"/>
      <c r="UAN158"/>
      <c r="UAO158"/>
      <c r="UAP158"/>
      <c r="UAQ158"/>
      <c r="UAR158"/>
      <c r="UAS158"/>
      <c r="UAT158"/>
      <c r="UAU158"/>
      <c r="UAV158"/>
      <c r="UAW158"/>
      <c r="UAX158"/>
      <c r="UAY158"/>
      <c r="UAZ158"/>
      <c r="UBA158"/>
      <c r="UBB158"/>
      <c r="UBC158"/>
      <c r="UBD158"/>
      <c r="UBE158"/>
      <c r="UBF158"/>
      <c r="UBG158"/>
      <c r="UBH158"/>
      <c r="UBI158"/>
      <c r="UBJ158"/>
      <c r="UBK158"/>
      <c r="UBL158"/>
      <c r="UBM158"/>
      <c r="UBN158"/>
      <c r="UBO158"/>
      <c r="UBP158"/>
      <c r="UBQ158"/>
      <c r="UBR158"/>
      <c r="UBS158"/>
      <c r="UBT158"/>
      <c r="UBU158"/>
      <c r="UBV158"/>
      <c r="UBW158"/>
      <c r="UBX158"/>
      <c r="UBY158"/>
      <c r="UBZ158"/>
      <c r="UCA158"/>
      <c r="UCB158"/>
      <c r="UCC158"/>
      <c r="UCD158"/>
      <c r="UCE158"/>
      <c r="UCF158"/>
      <c r="UCG158"/>
      <c r="UCH158"/>
      <c r="UCI158"/>
      <c r="UCJ158"/>
      <c r="UCK158"/>
      <c r="UCL158"/>
      <c r="UCM158"/>
      <c r="UCN158"/>
      <c r="UCO158"/>
      <c r="UCP158"/>
      <c r="UCQ158"/>
      <c r="UCR158"/>
      <c r="UCS158"/>
      <c r="UCT158"/>
      <c r="UCU158"/>
      <c r="UCV158"/>
      <c r="UCW158"/>
      <c r="UCX158"/>
      <c r="UCY158"/>
      <c r="UCZ158"/>
      <c r="UDA158"/>
      <c r="UDB158"/>
      <c r="UDC158"/>
      <c r="UDD158"/>
      <c r="UDE158"/>
      <c r="UDF158"/>
      <c r="UDG158"/>
      <c r="UDH158"/>
      <c r="UDI158"/>
      <c r="UDJ158"/>
      <c r="UDK158"/>
      <c r="UDL158"/>
      <c r="UDM158"/>
      <c r="UDN158"/>
      <c r="UDO158"/>
      <c r="UDP158"/>
      <c r="UDQ158"/>
      <c r="UDR158"/>
      <c r="UDS158"/>
      <c r="UDT158"/>
      <c r="UDU158"/>
      <c r="UDV158"/>
      <c r="UDW158"/>
      <c r="UDX158"/>
      <c r="UDY158"/>
      <c r="UDZ158"/>
      <c r="UEA158"/>
      <c r="UEB158"/>
      <c r="UEC158"/>
      <c r="UED158"/>
      <c r="UEE158"/>
      <c r="UEF158"/>
      <c r="UEG158"/>
      <c r="UEH158"/>
      <c r="UEI158"/>
      <c r="UEJ158"/>
      <c r="UEK158"/>
      <c r="UEL158"/>
      <c r="UEM158"/>
      <c r="UEN158"/>
      <c r="UEO158"/>
      <c r="UEP158"/>
      <c r="UEQ158"/>
      <c r="UER158"/>
      <c r="UES158"/>
      <c r="UET158"/>
      <c r="UEU158"/>
      <c r="UEV158"/>
      <c r="UEW158"/>
      <c r="UEX158"/>
      <c r="UEY158"/>
      <c r="UEZ158"/>
      <c r="UFA158"/>
      <c r="UFB158"/>
      <c r="UFC158"/>
      <c r="UFD158"/>
      <c r="UFE158"/>
      <c r="UFF158"/>
      <c r="UFG158"/>
      <c r="UFH158"/>
      <c r="UFI158"/>
      <c r="UFJ158"/>
      <c r="UFK158"/>
      <c r="UFL158"/>
      <c r="UFM158"/>
      <c r="UFN158"/>
      <c r="UFO158"/>
      <c r="UFP158"/>
      <c r="UFQ158"/>
      <c r="UFR158"/>
      <c r="UFS158"/>
      <c r="UFT158"/>
      <c r="UFU158"/>
      <c r="UFV158"/>
      <c r="UFW158"/>
      <c r="UFX158"/>
      <c r="UFY158"/>
      <c r="UFZ158"/>
      <c r="UGA158"/>
      <c r="UGB158"/>
      <c r="UGC158"/>
      <c r="UGD158"/>
      <c r="UGE158"/>
      <c r="UGF158"/>
      <c r="UGG158"/>
      <c r="UGH158"/>
      <c r="UGI158"/>
      <c r="UGJ158"/>
      <c r="UGK158"/>
      <c r="UGL158"/>
      <c r="UGM158"/>
      <c r="UGN158"/>
      <c r="UGO158"/>
      <c r="UGP158"/>
      <c r="UGQ158"/>
      <c r="UGR158"/>
      <c r="UGS158"/>
      <c r="UGT158"/>
      <c r="UGU158"/>
      <c r="UGV158"/>
      <c r="UGW158"/>
      <c r="UGX158"/>
      <c r="UGY158"/>
      <c r="UGZ158"/>
      <c r="UHA158"/>
      <c r="UHB158"/>
      <c r="UHC158"/>
      <c r="UHD158"/>
      <c r="UHE158"/>
      <c r="UHF158"/>
      <c r="UHG158"/>
      <c r="UHH158"/>
      <c r="UHI158"/>
      <c r="UHJ158"/>
      <c r="UHK158"/>
      <c r="UHL158"/>
      <c r="UHM158"/>
      <c r="UHN158"/>
      <c r="UHO158"/>
      <c r="UHP158"/>
      <c r="UHQ158"/>
      <c r="UHR158"/>
      <c r="UHS158"/>
      <c r="UHT158"/>
      <c r="UHU158"/>
      <c r="UHV158"/>
      <c r="UHW158"/>
      <c r="UHX158"/>
      <c r="UHY158"/>
      <c r="UHZ158"/>
      <c r="UIA158"/>
      <c r="UIB158"/>
      <c r="UIC158"/>
      <c r="UID158"/>
      <c r="UIE158"/>
      <c r="UIF158"/>
      <c r="UIG158"/>
      <c r="UIH158"/>
      <c r="UII158"/>
      <c r="UIJ158"/>
      <c r="UIK158"/>
      <c r="UIL158"/>
      <c r="UIM158"/>
      <c r="UIN158"/>
      <c r="UIO158"/>
      <c r="UIP158"/>
      <c r="UIQ158"/>
      <c r="UIR158"/>
      <c r="UIS158"/>
      <c r="UIT158"/>
      <c r="UIU158"/>
      <c r="UIV158"/>
      <c r="UIW158"/>
      <c r="UIX158"/>
      <c r="UIY158"/>
      <c r="UIZ158"/>
      <c r="UJA158"/>
      <c r="UJB158"/>
      <c r="UJC158"/>
      <c r="UJD158"/>
      <c r="UJE158"/>
      <c r="UJF158"/>
      <c r="UJG158"/>
      <c r="UJH158"/>
      <c r="UJI158"/>
      <c r="UJJ158"/>
      <c r="UJK158"/>
      <c r="UJL158"/>
      <c r="UJM158"/>
      <c r="UJN158"/>
      <c r="UJO158"/>
      <c r="UJP158"/>
      <c r="UJQ158"/>
      <c r="UJR158"/>
      <c r="UJS158"/>
      <c r="UJT158"/>
      <c r="UJU158"/>
      <c r="UJV158"/>
      <c r="UJW158"/>
      <c r="UJX158"/>
      <c r="UJY158"/>
      <c r="UJZ158"/>
      <c r="UKA158"/>
      <c r="UKB158"/>
      <c r="UKC158"/>
      <c r="UKD158"/>
      <c r="UKE158"/>
      <c r="UKF158"/>
      <c r="UKG158"/>
      <c r="UKH158"/>
      <c r="UKI158"/>
      <c r="UKJ158"/>
      <c r="UKK158"/>
      <c r="UKL158"/>
      <c r="UKM158"/>
      <c r="UKN158"/>
      <c r="UKO158"/>
      <c r="UKP158"/>
      <c r="UKQ158"/>
      <c r="UKR158"/>
      <c r="UKS158"/>
      <c r="UKT158"/>
      <c r="UKU158"/>
      <c r="UKV158"/>
      <c r="UKW158"/>
      <c r="UKX158"/>
      <c r="UKY158"/>
      <c r="UKZ158"/>
      <c r="ULA158"/>
      <c r="ULB158"/>
      <c r="ULC158"/>
      <c r="ULD158"/>
      <c r="ULE158"/>
      <c r="ULF158"/>
      <c r="ULG158"/>
      <c r="ULH158"/>
      <c r="ULI158"/>
      <c r="ULJ158"/>
      <c r="ULK158"/>
      <c r="ULL158"/>
      <c r="ULM158"/>
      <c r="ULN158"/>
      <c r="ULO158"/>
      <c r="ULP158"/>
      <c r="ULQ158"/>
      <c r="ULR158"/>
      <c r="ULS158"/>
      <c r="ULT158"/>
      <c r="ULU158"/>
      <c r="ULV158"/>
      <c r="ULW158"/>
      <c r="ULX158"/>
      <c r="ULY158"/>
      <c r="ULZ158"/>
      <c r="UMA158"/>
      <c r="UMB158"/>
      <c r="UMC158"/>
      <c r="UMD158"/>
      <c r="UME158"/>
      <c r="UMF158"/>
      <c r="UMG158"/>
      <c r="UMH158"/>
      <c r="UMI158"/>
      <c r="UMJ158"/>
      <c r="UMK158"/>
      <c r="UML158"/>
      <c r="UMM158"/>
      <c r="UMN158"/>
      <c r="UMO158"/>
      <c r="UMP158"/>
      <c r="UMQ158"/>
      <c r="UMR158"/>
      <c r="UMS158"/>
      <c r="UMT158"/>
      <c r="UMU158"/>
      <c r="UMV158"/>
      <c r="UMW158"/>
      <c r="UMX158"/>
      <c r="UMY158"/>
      <c r="UMZ158"/>
      <c r="UNA158"/>
      <c r="UNB158"/>
      <c r="UNC158"/>
      <c r="UND158"/>
      <c r="UNE158"/>
      <c r="UNF158"/>
      <c r="UNG158"/>
      <c r="UNH158"/>
      <c r="UNI158"/>
      <c r="UNJ158"/>
      <c r="UNK158"/>
      <c r="UNL158"/>
      <c r="UNM158"/>
      <c r="UNN158"/>
      <c r="UNO158"/>
      <c r="UNP158"/>
      <c r="UNQ158"/>
      <c r="UNR158"/>
      <c r="UNS158"/>
      <c r="UNT158"/>
      <c r="UNU158"/>
      <c r="UNV158"/>
      <c r="UNW158"/>
      <c r="UNX158"/>
      <c r="UNY158"/>
      <c r="UNZ158"/>
      <c r="UOA158"/>
      <c r="UOB158"/>
      <c r="UOC158"/>
      <c r="UOD158"/>
      <c r="UOE158"/>
      <c r="UOF158"/>
      <c r="UOG158"/>
      <c r="UOH158"/>
      <c r="UOI158"/>
      <c r="UOJ158"/>
      <c r="UOK158"/>
      <c r="UOL158"/>
      <c r="UOM158"/>
      <c r="UON158"/>
      <c r="UOO158"/>
      <c r="UOP158"/>
      <c r="UOQ158"/>
      <c r="UOR158"/>
      <c r="UOS158"/>
      <c r="UOT158"/>
      <c r="UOU158"/>
      <c r="UOV158"/>
      <c r="UOW158"/>
      <c r="UOX158"/>
      <c r="UOY158"/>
      <c r="UOZ158"/>
      <c r="UPA158"/>
      <c r="UPB158"/>
      <c r="UPC158"/>
      <c r="UPD158"/>
      <c r="UPE158"/>
      <c r="UPF158"/>
      <c r="UPG158"/>
      <c r="UPH158"/>
      <c r="UPI158"/>
      <c r="UPJ158"/>
      <c r="UPK158"/>
      <c r="UPL158"/>
      <c r="UPM158"/>
      <c r="UPN158"/>
      <c r="UPO158"/>
      <c r="UPP158"/>
      <c r="UPQ158"/>
      <c r="UPR158"/>
      <c r="UPS158"/>
      <c r="UPT158"/>
      <c r="UPU158"/>
      <c r="UPV158"/>
      <c r="UPW158"/>
      <c r="UPX158"/>
      <c r="UPY158"/>
      <c r="UPZ158"/>
      <c r="UQA158"/>
      <c r="UQB158"/>
      <c r="UQC158"/>
      <c r="UQD158"/>
      <c r="UQE158"/>
      <c r="UQF158"/>
      <c r="UQG158"/>
      <c r="UQH158"/>
      <c r="UQI158"/>
      <c r="UQJ158"/>
      <c r="UQK158"/>
      <c r="UQL158"/>
      <c r="UQM158"/>
      <c r="UQN158"/>
      <c r="UQO158"/>
      <c r="UQP158"/>
      <c r="UQQ158"/>
      <c r="UQR158"/>
      <c r="UQS158"/>
      <c r="UQT158"/>
      <c r="UQU158"/>
      <c r="UQV158"/>
      <c r="UQW158"/>
      <c r="UQX158"/>
      <c r="UQY158"/>
      <c r="UQZ158"/>
      <c r="URA158"/>
      <c r="URB158"/>
      <c r="URC158"/>
      <c r="URD158"/>
      <c r="URE158"/>
      <c r="URF158"/>
      <c r="URG158"/>
      <c r="URH158"/>
      <c r="URI158"/>
      <c r="URJ158"/>
      <c r="URK158"/>
      <c r="URL158"/>
      <c r="URM158"/>
      <c r="URN158"/>
      <c r="URO158"/>
      <c r="URP158"/>
      <c r="URQ158"/>
      <c r="URR158"/>
      <c r="URS158"/>
      <c r="URT158"/>
      <c r="URU158"/>
      <c r="URV158"/>
      <c r="URW158"/>
      <c r="URX158"/>
      <c r="URY158"/>
      <c r="URZ158"/>
      <c r="USA158"/>
      <c r="USB158"/>
      <c r="USC158"/>
      <c r="USD158"/>
      <c r="USE158"/>
      <c r="USF158"/>
      <c r="USG158"/>
      <c r="USH158"/>
      <c r="USI158"/>
      <c r="USJ158"/>
      <c r="USK158"/>
      <c r="USL158"/>
      <c r="USM158"/>
      <c r="USN158"/>
      <c r="USO158"/>
      <c r="USP158"/>
      <c r="USQ158"/>
      <c r="USR158"/>
      <c r="USS158"/>
      <c r="UST158"/>
      <c r="USU158"/>
      <c r="USV158"/>
      <c r="USW158"/>
      <c r="USX158"/>
      <c r="USY158"/>
      <c r="USZ158"/>
      <c r="UTA158"/>
      <c r="UTB158"/>
      <c r="UTC158"/>
      <c r="UTD158"/>
      <c r="UTE158"/>
      <c r="UTF158"/>
      <c r="UTG158"/>
      <c r="UTH158"/>
      <c r="UTI158"/>
      <c r="UTJ158"/>
      <c r="UTK158"/>
      <c r="UTL158"/>
      <c r="UTM158"/>
      <c r="UTN158"/>
      <c r="UTO158"/>
      <c r="UTP158"/>
      <c r="UTQ158"/>
      <c r="UTR158"/>
      <c r="UTS158"/>
      <c r="UTT158"/>
      <c r="UTU158"/>
      <c r="UTV158"/>
      <c r="UTW158"/>
      <c r="UTX158"/>
      <c r="UTY158"/>
      <c r="UTZ158"/>
      <c r="UUA158"/>
      <c r="UUB158"/>
      <c r="UUC158"/>
      <c r="UUD158"/>
      <c r="UUE158"/>
      <c r="UUF158"/>
      <c r="UUG158"/>
      <c r="UUH158"/>
      <c r="UUI158"/>
      <c r="UUJ158"/>
      <c r="UUK158"/>
      <c r="UUL158"/>
      <c r="UUM158"/>
      <c r="UUN158"/>
      <c r="UUO158"/>
      <c r="UUP158"/>
      <c r="UUQ158"/>
      <c r="UUR158"/>
      <c r="UUS158"/>
      <c r="UUT158"/>
      <c r="UUU158"/>
      <c r="UUV158"/>
      <c r="UUW158"/>
      <c r="UUX158"/>
      <c r="UUY158"/>
      <c r="UUZ158"/>
      <c r="UVA158"/>
      <c r="UVB158"/>
      <c r="UVC158"/>
      <c r="UVD158"/>
      <c r="UVE158"/>
      <c r="UVF158"/>
      <c r="UVG158"/>
      <c r="UVH158"/>
      <c r="UVI158"/>
      <c r="UVJ158"/>
      <c r="UVK158"/>
      <c r="UVL158"/>
      <c r="UVM158"/>
      <c r="UVN158"/>
      <c r="UVO158"/>
      <c r="UVP158"/>
      <c r="UVQ158"/>
      <c r="UVR158"/>
      <c r="UVS158"/>
      <c r="UVT158"/>
      <c r="UVU158"/>
      <c r="UVV158"/>
      <c r="UVW158"/>
      <c r="UVX158"/>
      <c r="UVY158"/>
      <c r="UVZ158"/>
      <c r="UWA158"/>
      <c r="UWB158"/>
      <c r="UWC158"/>
      <c r="UWD158"/>
      <c r="UWE158"/>
      <c r="UWF158"/>
      <c r="UWG158"/>
      <c r="UWH158"/>
      <c r="UWI158"/>
      <c r="UWJ158"/>
      <c r="UWK158"/>
      <c r="UWL158"/>
      <c r="UWM158"/>
      <c r="UWN158"/>
      <c r="UWO158"/>
      <c r="UWP158"/>
      <c r="UWQ158"/>
      <c r="UWR158"/>
      <c r="UWS158"/>
      <c r="UWT158"/>
      <c r="UWU158"/>
      <c r="UWV158"/>
      <c r="UWW158"/>
      <c r="UWX158"/>
      <c r="UWY158"/>
      <c r="UWZ158"/>
      <c r="UXA158"/>
      <c r="UXB158"/>
      <c r="UXC158"/>
      <c r="UXD158"/>
      <c r="UXE158"/>
      <c r="UXF158"/>
      <c r="UXG158"/>
      <c r="UXH158"/>
      <c r="UXI158"/>
      <c r="UXJ158"/>
      <c r="UXK158"/>
      <c r="UXL158"/>
      <c r="UXM158"/>
      <c r="UXN158"/>
      <c r="UXO158"/>
      <c r="UXP158"/>
      <c r="UXQ158"/>
      <c r="UXR158"/>
      <c r="UXS158"/>
      <c r="UXT158"/>
      <c r="UXU158"/>
      <c r="UXV158"/>
      <c r="UXW158"/>
      <c r="UXX158"/>
      <c r="UXY158"/>
      <c r="UXZ158"/>
      <c r="UYA158"/>
      <c r="UYB158"/>
      <c r="UYC158"/>
      <c r="UYD158"/>
      <c r="UYE158"/>
      <c r="UYF158"/>
      <c r="UYG158"/>
      <c r="UYH158"/>
      <c r="UYI158"/>
      <c r="UYJ158"/>
      <c r="UYK158"/>
      <c r="UYL158"/>
      <c r="UYM158"/>
      <c r="UYN158"/>
      <c r="UYO158"/>
      <c r="UYP158"/>
      <c r="UYQ158"/>
      <c r="UYR158"/>
      <c r="UYS158"/>
      <c r="UYT158"/>
      <c r="UYU158"/>
      <c r="UYV158"/>
      <c r="UYW158"/>
      <c r="UYX158"/>
      <c r="UYY158"/>
      <c r="UYZ158"/>
      <c r="UZA158"/>
      <c r="UZB158"/>
      <c r="UZC158"/>
      <c r="UZD158"/>
      <c r="UZE158"/>
      <c r="UZF158"/>
      <c r="UZG158"/>
      <c r="UZH158"/>
      <c r="UZI158"/>
      <c r="UZJ158"/>
      <c r="UZK158"/>
      <c r="UZL158"/>
      <c r="UZM158"/>
      <c r="UZN158"/>
      <c r="UZO158"/>
      <c r="UZP158"/>
      <c r="UZQ158"/>
      <c r="UZR158"/>
      <c r="UZS158"/>
      <c r="UZT158"/>
      <c r="UZU158"/>
      <c r="UZV158"/>
      <c r="UZW158"/>
      <c r="UZX158"/>
      <c r="UZY158"/>
      <c r="UZZ158"/>
      <c r="VAA158"/>
      <c r="VAB158"/>
      <c r="VAC158"/>
      <c r="VAD158"/>
      <c r="VAE158"/>
      <c r="VAF158"/>
      <c r="VAG158"/>
      <c r="VAH158"/>
      <c r="VAI158"/>
      <c r="VAJ158"/>
      <c r="VAK158"/>
      <c r="VAL158"/>
      <c r="VAM158"/>
      <c r="VAN158"/>
      <c r="VAO158"/>
      <c r="VAP158"/>
      <c r="VAQ158"/>
      <c r="VAR158"/>
      <c r="VAS158"/>
      <c r="VAT158"/>
      <c r="VAU158"/>
      <c r="VAV158"/>
      <c r="VAW158"/>
      <c r="VAX158"/>
      <c r="VAY158"/>
      <c r="VAZ158"/>
      <c r="VBA158"/>
      <c r="VBB158"/>
      <c r="VBC158"/>
      <c r="VBD158"/>
      <c r="VBE158"/>
      <c r="VBF158"/>
      <c r="VBG158"/>
      <c r="VBH158"/>
      <c r="VBI158"/>
      <c r="VBJ158"/>
      <c r="VBK158"/>
      <c r="VBL158"/>
      <c r="VBM158"/>
      <c r="VBN158"/>
      <c r="VBO158"/>
      <c r="VBP158"/>
      <c r="VBQ158"/>
      <c r="VBR158"/>
      <c r="VBS158"/>
      <c r="VBT158"/>
      <c r="VBU158"/>
      <c r="VBV158"/>
      <c r="VBW158"/>
      <c r="VBX158"/>
      <c r="VBY158"/>
      <c r="VBZ158"/>
      <c r="VCA158"/>
      <c r="VCB158"/>
      <c r="VCC158"/>
      <c r="VCD158"/>
      <c r="VCE158"/>
      <c r="VCF158"/>
      <c r="VCG158"/>
      <c r="VCH158"/>
      <c r="VCI158"/>
      <c r="VCJ158"/>
      <c r="VCK158"/>
      <c r="VCL158"/>
      <c r="VCM158"/>
      <c r="VCN158"/>
      <c r="VCO158"/>
      <c r="VCP158"/>
      <c r="VCQ158"/>
      <c r="VCR158"/>
      <c r="VCS158"/>
      <c r="VCT158"/>
      <c r="VCU158"/>
      <c r="VCV158"/>
      <c r="VCW158"/>
      <c r="VCX158"/>
      <c r="VCY158"/>
      <c r="VCZ158"/>
      <c r="VDA158"/>
      <c r="VDB158"/>
      <c r="VDC158"/>
      <c r="VDD158"/>
      <c r="VDE158"/>
      <c r="VDF158"/>
      <c r="VDG158"/>
      <c r="VDH158"/>
      <c r="VDI158"/>
      <c r="VDJ158"/>
      <c r="VDK158"/>
      <c r="VDL158"/>
      <c r="VDM158"/>
      <c r="VDN158"/>
      <c r="VDO158"/>
      <c r="VDP158"/>
      <c r="VDQ158"/>
      <c r="VDR158"/>
      <c r="VDS158"/>
      <c r="VDT158"/>
      <c r="VDU158"/>
      <c r="VDV158"/>
      <c r="VDW158"/>
      <c r="VDX158"/>
      <c r="VDY158"/>
      <c r="VDZ158"/>
      <c r="VEA158"/>
      <c r="VEB158"/>
      <c r="VEC158"/>
      <c r="VED158"/>
      <c r="VEE158"/>
      <c r="VEF158"/>
      <c r="VEG158"/>
      <c r="VEH158"/>
      <c r="VEI158"/>
      <c r="VEJ158"/>
      <c r="VEK158"/>
      <c r="VEL158"/>
      <c r="VEM158"/>
      <c r="VEN158"/>
      <c r="VEO158"/>
      <c r="VEP158"/>
      <c r="VEQ158"/>
      <c r="VER158"/>
      <c r="VES158"/>
      <c r="VET158"/>
      <c r="VEU158"/>
      <c r="VEV158"/>
      <c r="VEW158"/>
      <c r="VEX158"/>
      <c r="VEY158"/>
      <c r="VEZ158"/>
      <c r="VFA158"/>
      <c r="VFB158"/>
      <c r="VFC158"/>
      <c r="VFD158"/>
      <c r="VFE158"/>
      <c r="VFF158"/>
      <c r="VFG158"/>
      <c r="VFH158"/>
      <c r="VFI158"/>
      <c r="VFJ158"/>
      <c r="VFK158"/>
      <c r="VFL158"/>
      <c r="VFM158"/>
      <c r="VFN158"/>
      <c r="VFO158"/>
      <c r="VFP158"/>
      <c r="VFQ158"/>
      <c r="VFR158"/>
      <c r="VFS158"/>
      <c r="VFT158"/>
      <c r="VFU158"/>
      <c r="VFV158"/>
      <c r="VFW158"/>
      <c r="VFX158"/>
      <c r="VFY158"/>
      <c r="VFZ158"/>
      <c r="VGA158"/>
      <c r="VGB158"/>
      <c r="VGC158"/>
      <c r="VGD158"/>
      <c r="VGE158"/>
      <c r="VGF158"/>
      <c r="VGG158"/>
      <c r="VGH158"/>
      <c r="VGI158"/>
      <c r="VGJ158"/>
      <c r="VGK158"/>
      <c r="VGL158"/>
      <c r="VGM158"/>
      <c r="VGN158"/>
      <c r="VGO158"/>
      <c r="VGP158"/>
      <c r="VGQ158"/>
      <c r="VGR158"/>
      <c r="VGS158"/>
      <c r="VGT158"/>
      <c r="VGU158"/>
      <c r="VGV158"/>
      <c r="VGW158"/>
      <c r="VGX158"/>
      <c r="VGY158"/>
      <c r="VGZ158"/>
      <c r="VHA158"/>
      <c r="VHB158"/>
      <c r="VHC158"/>
      <c r="VHD158"/>
      <c r="VHE158"/>
      <c r="VHF158"/>
      <c r="VHG158"/>
      <c r="VHH158"/>
      <c r="VHI158"/>
      <c r="VHJ158"/>
      <c r="VHK158"/>
      <c r="VHL158"/>
      <c r="VHM158"/>
      <c r="VHN158"/>
      <c r="VHO158"/>
      <c r="VHP158"/>
      <c r="VHQ158"/>
      <c r="VHR158"/>
      <c r="VHS158"/>
      <c r="VHT158"/>
      <c r="VHU158"/>
      <c r="VHV158"/>
      <c r="VHW158"/>
      <c r="VHX158"/>
      <c r="VHY158"/>
      <c r="VHZ158"/>
      <c r="VIA158"/>
      <c r="VIB158"/>
      <c r="VIC158"/>
      <c r="VID158"/>
      <c r="VIE158"/>
      <c r="VIF158"/>
      <c r="VIG158"/>
      <c r="VIH158"/>
      <c r="VII158"/>
      <c r="VIJ158"/>
      <c r="VIK158"/>
      <c r="VIL158"/>
      <c r="VIM158"/>
      <c r="VIN158"/>
      <c r="VIO158"/>
      <c r="VIP158"/>
      <c r="VIQ158"/>
      <c r="VIR158"/>
      <c r="VIS158"/>
      <c r="VIT158"/>
      <c r="VIU158"/>
      <c r="VIV158"/>
      <c r="VIW158"/>
      <c r="VIX158"/>
      <c r="VIY158"/>
      <c r="VIZ158"/>
      <c r="VJA158"/>
      <c r="VJB158"/>
      <c r="VJC158"/>
      <c r="VJD158"/>
      <c r="VJE158"/>
      <c r="VJF158"/>
      <c r="VJG158"/>
      <c r="VJH158"/>
      <c r="VJI158"/>
      <c r="VJJ158"/>
      <c r="VJK158"/>
      <c r="VJL158"/>
      <c r="VJM158"/>
      <c r="VJN158"/>
      <c r="VJO158"/>
      <c r="VJP158"/>
      <c r="VJQ158"/>
      <c r="VJR158"/>
      <c r="VJS158"/>
      <c r="VJT158"/>
      <c r="VJU158"/>
      <c r="VJV158"/>
      <c r="VJW158"/>
      <c r="VJX158"/>
      <c r="VJY158"/>
      <c r="VJZ158"/>
      <c r="VKA158"/>
      <c r="VKB158"/>
      <c r="VKC158"/>
      <c r="VKD158"/>
      <c r="VKE158"/>
      <c r="VKF158"/>
      <c r="VKG158"/>
      <c r="VKH158"/>
      <c r="VKI158"/>
      <c r="VKJ158"/>
      <c r="VKK158"/>
      <c r="VKL158"/>
      <c r="VKM158"/>
      <c r="VKN158"/>
      <c r="VKO158"/>
      <c r="VKP158"/>
      <c r="VKQ158"/>
      <c r="VKR158"/>
      <c r="VKS158"/>
      <c r="VKT158"/>
      <c r="VKU158"/>
      <c r="VKV158"/>
      <c r="VKW158"/>
      <c r="VKX158"/>
      <c r="VKY158"/>
      <c r="VKZ158"/>
      <c r="VLA158"/>
      <c r="VLB158"/>
      <c r="VLC158"/>
      <c r="VLD158"/>
      <c r="VLE158"/>
      <c r="VLF158"/>
      <c r="VLG158"/>
      <c r="VLH158"/>
      <c r="VLI158"/>
      <c r="VLJ158"/>
      <c r="VLK158"/>
      <c r="VLL158"/>
      <c r="VLM158"/>
      <c r="VLN158"/>
      <c r="VLO158"/>
      <c r="VLP158"/>
      <c r="VLQ158"/>
      <c r="VLR158"/>
      <c r="VLS158"/>
      <c r="VLT158"/>
      <c r="VLU158"/>
      <c r="VLV158"/>
      <c r="VLW158"/>
      <c r="VLX158"/>
      <c r="VLY158"/>
      <c r="VLZ158"/>
      <c r="VMA158"/>
      <c r="VMB158"/>
      <c r="VMC158"/>
      <c r="VMD158"/>
      <c r="VME158"/>
      <c r="VMF158"/>
      <c r="VMG158"/>
      <c r="VMH158"/>
      <c r="VMI158"/>
      <c r="VMJ158"/>
      <c r="VMK158"/>
      <c r="VML158"/>
      <c r="VMM158"/>
      <c r="VMN158"/>
      <c r="VMO158"/>
      <c r="VMP158"/>
      <c r="VMQ158"/>
      <c r="VMR158"/>
      <c r="VMS158"/>
      <c r="VMT158"/>
      <c r="VMU158"/>
      <c r="VMV158"/>
      <c r="VMW158"/>
      <c r="VMX158"/>
      <c r="VMY158"/>
      <c r="VMZ158"/>
      <c r="VNA158"/>
      <c r="VNB158"/>
      <c r="VNC158"/>
      <c r="VND158"/>
      <c r="VNE158"/>
      <c r="VNF158"/>
      <c r="VNG158"/>
      <c r="VNH158"/>
      <c r="VNI158"/>
      <c r="VNJ158"/>
      <c r="VNK158"/>
      <c r="VNL158"/>
      <c r="VNM158"/>
      <c r="VNN158"/>
      <c r="VNO158"/>
      <c r="VNP158"/>
      <c r="VNQ158"/>
      <c r="VNR158"/>
      <c r="VNS158"/>
      <c r="VNT158"/>
      <c r="VNU158"/>
      <c r="VNV158"/>
      <c r="VNW158"/>
      <c r="VNX158"/>
      <c r="VNY158"/>
      <c r="VNZ158"/>
      <c r="VOA158"/>
      <c r="VOB158"/>
      <c r="VOC158"/>
      <c r="VOD158"/>
      <c r="VOE158"/>
      <c r="VOF158"/>
      <c r="VOG158"/>
      <c r="VOH158"/>
      <c r="VOI158"/>
      <c r="VOJ158"/>
      <c r="VOK158"/>
      <c r="VOL158"/>
      <c r="VOM158"/>
      <c r="VON158"/>
      <c r="VOO158"/>
      <c r="VOP158"/>
      <c r="VOQ158"/>
      <c r="VOR158"/>
      <c r="VOS158"/>
      <c r="VOT158"/>
      <c r="VOU158"/>
      <c r="VOV158"/>
      <c r="VOW158"/>
      <c r="VOX158"/>
      <c r="VOY158"/>
      <c r="VOZ158"/>
      <c r="VPA158"/>
      <c r="VPB158"/>
      <c r="VPC158"/>
      <c r="VPD158"/>
      <c r="VPE158"/>
      <c r="VPF158"/>
      <c r="VPG158"/>
      <c r="VPH158"/>
      <c r="VPI158"/>
      <c r="VPJ158"/>
      <c r="VPK158"/>
      <c r="VPL158"/>
      <c r="VPM158"/>
      <c r="VPN158"/>
      <c r="VPO158"/>
      <c r="VPP158"/>
      <c r="VPQ158"/>
      <c r="VPR158"/>
      <c r="VPS158"/>
      <c r="VPT158"/>
      <c r="VPU158"/>
      <c r="VPV158"/>
      <c r="VPW158"/>
      <c r="VPX158"/>
      <c r="VPY158"/>
      <c r="VPZ158"/>
      <c r="VQA158"/>
      <c r="VQB158"/>
      <c r="VQC158"/>
      <c r="VQD158"/>
      <c r="VQE158"/>
      <c r="VQF158"/>
      <c r="VQG158"/>
      <c r="VQH158"/>
      <c r="VQI158"/>
      <c r="VQJ158"/>
      <c r="VQK158"/>
      <c r="VQL158"/>
      <c r="VQM158"/>
      <c r="VQN158"/>
      <c r="VQO158"/>
      <c r="VQP158"/>
      <c r="VQQ158"/>
      <c r="VQR158"/>
      <c r="VQS158"/>
      <c r="VQT158"/>
      <c r="VQU158"/>
      <c r="VQV158"/>
      <c r="VQW158"/>
      <c r="VQX158"/>
      <c r="VQY158"/>
      <c r="VQZ158"/>
      <c r="VRA158"/>
      <c r="VRB158"/>
      <c r="VRC158"/>
      <c r="VRD158"/>
      <c r="VRE158"/>
      <c r="VRF158"/>
      <c r="VRG158"/>
      <c r="VRH158"/>
      <c r="VRI158"/>
      <c r="VRJ158"/>
      <c r="VRK158"/>
      <c r="VRL158"/>
      <c r="VRM158"/>
      <c r="VRN158"/>
      <c r="VRO158"/>
      <c r="VRP158"/>
      <c r="VRQ158"/>
      <c r="VRR158"/>
      <c r="VRS158"/>
      <c r="VRT158"/>
      <c r="VRU158"/>
      <c r="VRV158"/>
      <c r="VRW158"/>
      <c r="VRX158"/>
      <c r="VRY158"/>
      <c r="VRZ158"/>
      <c r="VSA158"/>
      <c r="VSB158"/>
      <c r="VSC158"/>
      <c r="VSD158"/>
      <c r="VSE158"/>
      <c r="VSF158"/>
      <c r="VSG158"/>
      <c r="VSH158"/>
      <c r="VSI158"/>
      <c r="VSJ158"/>
      <c r="VSK158"/>
      <c r="VSL158"/>
      <c r="VSM158"/>
      <c r="VSN158"/>
      <c r="VSO158"/>
      <c r="VSP158"/>
      <c r="VSQ158"/>
      <c r="VSR158"/>
      <c r="VSS158"/>
      <c r="VST158"/>
      <c r="VSU158"/>
      <c r="VSV158"/>
      <c r="VSW158"/>
      <c r="VSX158"/>
      <c r="VSY158"/>
      <c r="VSZ158"/>
      <c r="VTA158"/>
      <c r="VTB158"/>
      <c r="VTC158"/>
      <c r="VTD158"/>
      <c r="VTE158"/>
      <c r="VTF158"/>
      <c r="VTG158"/>
      <c r="VTH158"/>
      <c r="VTI158"/>
      <c r="VTJ158"/>
      <c r="VTK158"/>
      <c r="VTL158"/>
      <c r="VTM158"/>
      <c r="VTN158"/>
      <c r="VTO158"/>
      <c r="VTP158"/>
      <c r="VTQ158"/>
      <c r="VTR158"/>
      <c r="VTS158"/>
      <c r="VTT158"/>
      <c r="VTU158"/>
      <c r="VTV158"/>
      <c r="VTW158"/>
      <c r="VTX158"/>
      <c r="VTY158"/>
      <c r="VTZ158"/>
      <c r="VUA158"/>
      <c r="VUB158"/>
      <c r="VUC158"/>
      <c r="VUD158"/>
      <c r="VUE158"/>
      <c r="VUF158"/>
      <c r="VUG158"/>
      <c r="VUH158"/>
      <c r="VUI158"/>
      <c r="VUJ158"/>
      <c r="VUK158"/>
      <c r="VUL158"/>
      <c r="VUM158"/>
      <c r="VUN158"/>
      <c r="VUO158"/>
      <c r="VUP158"/>
      <c r="VUQ158"/>
      <c r="VUR158"/>
      <c r="VUS158"/>
      <c r="VUT158"/>
      <c r="VUU158"/>
      <c r="VUV158"/>
      <c r="VUW158"/>
      <c r="VUX158"/>
      <c r="VUY158"/>
      <c r="VUZ158"/>
      <c r="VVA158"/>
      <c r="VVB158"/>
      <c r="VVC158"/>
      <c r="VVD158"/>
      <c r="VVE158"/>
      <c r="VVF158"/>
      <c r="VVG158"/>
      <c r="VVH158"/>
      <c r="VVI158"/>
      <c r="VVJ158"/>
      <c r="VVK158"/>
      <c r="VVL158"/>
      <c r="VVM158"/>
      <c r="VVN158"/>
      <c r="VVO158"/>
      <c r="VVP158"/>
      <c r="VVQ158"/>
      <c r="VVR158"/>
      <c r="VVS158"/>
      <c r="VVT158"/>
      <c r="VVU158"/>
      <c r="VVV158"/>
      <c r="VVW158"/>
      <c r="VVX158"/>
      <c r="VVY158"/>
      <c r="VVZ158"/>
      <c r="VWA158"/>
      <c r="VWB158"/>
      <c r="VWC158"/>
      <c r="VWD158"/>
      <c r="VWE158"/>
      <c r="VWF158"/>
      <c r="VWG158"/>
      <c r="VWH158"/>
      <c r="VWI158"/>
      <c r="VWJ158"/>
      <c r="VWK158"/>
      <c r="VWL158"/>
      <c r="VWM158"/>
      <c r="VWN158"/>
      <c r="VWO158"/>
      <c r="VWP158"/>
      <c r="VWQ158"/>
      <c r="VWR158"/>
      <c r="VWS158"/>
      <c r="VWT158"/>
      <c r="VWU158"/>
      <c r="VWV158"/>
      <c r="VWW158"/>
      <c r="VWX158"/>
      <c r="VWY158"/>
      <c r="VWZ158"/>
      <c r="VXA158"/>
      <c r="VXB158"/>
      <c r="VXC158"/>
      <c r="VXD158"/>
      <c r="VXE158"/>
      <c r="VXF158"/>
      <c r="VXG158"/>
      <c r="VXH158"/>
      <c r="VXI158"/>
      <c r="VXJ158"/>
      <c r="VXK158"/>
      <c r="VXL158"/>
      <c r="VXM158"/>
      <c r="VXN158"/>
      <c r="VXO158"/>
      <c r="VXP158"/>
      <c r="VXQ158"/>
      <c r="VXR158"/>
      <c r="VXS158"/>
      <c r="VXT158"/>
      <c r="VXU158"/>
      <c r="VXV158"/>
      <c r="VXW158"/>
      <c r="VXX158"/>
      <c r="VXY158"/>
      <c r="VXZ158"/>
      <c r="VYA158"/>
      <c r="VYB158"/>
      <c r="VYC158"/>
      <c r="VYD158"/>
      <c r="VYE158"/>
      <c r="VYF158"/>
      <c r="VYG158"/>
      <c r="VYH158"/>
      <c r="VYI158"/>
      <c r="VYJ158"/>
      <c r="VYK158"/>
      <c r="VYL158"/>
      <c r="VYM158"/>
      <c r="VYN158"/>
      <c r="VYO158"/>
      <c r="VYP158"/>
      <c r="VYQ158"/>
      <c r="VYR158"/>
      <c r="VYS158"/>
      <c r="VYT158"/>
      <c r="VYU158"/>
      <c r="VYV158"/>
      <c r="VYW158"/>
      <c r="VYX158"/>
      <c r="VYY158"/>
      <c r="VYZ158"/>
      <c r="VZA158"/>
      <c r="VZB158"/>
      <c r="VZC158"/>
      <c r="VZD158"/>
      <c r="VZE158"/>
      <c r="VZF158"/>
      <c r="VZG158"/>
      <c r="VZH158"/>
      <c r="VZI158"/>
      <c r="VZJ158"/>
      <c r="VZK158"/>
      <c r="VZL158"/>
      <c r="VZM158"/>
      <c r="VZN158"/>
      <c r="VZO158"/>
      <c r="VZP158"/>
      <c r="VZQ158"/>
      <c r="VZR158"/>
      <c r="VZS158"/>
      <c r="VZT158"/>
      <c r="VZU158"/>
      <c r="VZV158"/>
      <c r="VZW158"/>
      <c r="VZX158"/>
      <c r="VZY158"/>
      <c r="VZZ158"/>
      <c r="WAA158"/>
      <c r="WAB158"/>
      <c r="WAC158"/>
      <c r="WAD158"/>
      <c r="WAE158"/>
      <c r="WAF158"/>
      <c r="WAG158"/>
      <c r="WAH158"/>
      <c r="WAI158"/>
      <c r="WAJ158"/>
      <c r="WAK158"/>
      <c r="WAL158"/>
      <c r="WAM158"/>
      <c r="WAN158"/>
      <c r="WAO158"/>
      <c r="WAP158"/>
      <c r="WAQ158"/>
      <c r="WAR158"/>
      <c r="WAS158"/>
      <c r="WAT158"/>
      <c r="WAU158"/>
      <c r="WAV158"/>
      <c r="WAW158"/>
      <c r="WAX158"/>
      <c r="WAY158"/>
      <c r="WAZ158"/>
      <c r="WBA158"/>
      <c r="WBB158"/>
      <c r="WBC158"/>
      <c r="WBD158"/>
      <c r="WBE158"/>
      <c r="WBF158"/>
      <c r="WBG158"/>
      <c r="WBH158"/>
      <c r="WBI158"/>
      <c r="WBJ158"/>
      <c r="WBK158"/>
      <c r="WBL158"/>
      <c r="WBM158"/>
      <c r="WBN158"/>
      <c r="WBO158"/>
      <c r="WBP158"/>
      <c r="WBQ158"/>
      <c r="WBR158"/>
      <c r="WBS158"/>
      <c r="WBT158"/>
      <c r="WBU158"/>
      <c r="WBV158"/>
      <c r="WBW158"/>
      <c r="WBX158"/>
      <c r="WBY158"/>
      <c r="WBZ158"/>
      <c r="WCA158"/>
      <c r="WCB158"/>
      <c r="WCC158"/>
      <c r="WCD158"/>
      <c r="WCE158"/>
      <c r="WCF158"/>
      <c r="WCG158"/>
      <c r="WCH158"/>
      <c r="WCI158"/>
      <c r="WCJ158"/>
      <c r="WCK158"/>
      <c r="WCL158"/>
      <c r="WCM158"/>
      <c r="WCN158"/>
      <c r="WCO158"/>
      <c r="WCP158"/>
      <c r="WCQ158"/>
      <c r="WCR158"/>
      <c r="WCS158"/>
      <c r="WCT158"/>
      <c r="WCU158"/>
      <c r="WCV158"/>
      <c r="WCW158"/>
      <c r="WCX158"/>
      <c r="WCY158"/>
      <c r="WCZ158"/>
      <c r="WDA158"/>
      <c r="WDB158"/>
      <c r="WDC158"/>
      <c r="WDD158"/>
      <c r="WDE158"/>
      <c r="WDF158"/>
      <c r="WDG158"/>
      <c r="WDH158"/>
      <c r="WDI158"/>
      <c r="WDJ158"/>
      <c r="WDK158"/>
      <c r="WDL158"/>
      <c r="WDM158"/>
      <c r="WDN158"/>
      <c r="WDO158"/>
      <c r="WDP158"/>
      <c r="WDQ158"/>
      <c r="WDR158"/>
      <c r="WDS158"/>
      <c r="WDT158"/>
      <c r="WDU158"/>
      <c r="WDV158"/>
      <c r="WDW158"/>
      <c r="WDX158"/>
      <c r="WDY158"/>
      <c r="WDZ158"/>
      <c r="WEA158"/>
      <c r="WEB158"/>
      <c r="WEC158"/>
      <c r="WED158"/>
      <c r="WEE158"/>
      <c r="WEF158"/>
      <c r="WEG158"/>
      <c r="WEH158"/>
      <c r="WEI158"/>
      <c r="WEJ158"/>
      <c r="WEK158"/>
      <c r="WEL158"/>
      <c r="WEM158"/>
      <c r="WEN158"/>
      <c r="WEO158"/>
      <c r="WEP158"/>
      <c r="WEQ158"/>
      <c r="WER158"/>
      <c r="WES158"/>
      <c r="WET158"/>
      <c r="WEU158"/>
      <c r="WEV158"/>
      <c r="WEW158"/>
      <c r="WEX158"/>
      <c r="WEY158"/>
      <c r="WEZ158"/>
      <c r="WFA158"/>
      <c r="WFB158"/>
      <c r="WFC158"/>
      <c r="WFD158"/>
      <c r="WFE158"/>
      <c r="WFF158"/>
      <c r="WFG158"/>
      <c r="WFH158"/>
      <c r="WFI158"/>
      <c r="WFJ158"/>
      <c r="WFK158"/>
      <c r="WFL158"/>
      <c r="WFM158"/>
      <c r="WFN158"/>
      <c r="WFO158"/>
      <c r="WFP158"/>
      <c r="WFQ158"/>
      <c r="WFR158"/>
      <c r="WFS158"/>
      <c r="WFT158"/>
      <c r="WFU158"/>
      <c r="WFV158"/>
      <c r="WFW158"/>
      <c r="WFX158"/>
      <c r="WFY158"/>
      <c r="WFZ158"/>
      <c r="WGA158"/>
      <c r="WGB158"/>
      <c r="WGC158"/>
      <c r="WGD158"/>
      <c r="WGE158"/>
      <c r="WGF158"/>
      <c r="WGG158"/>
      <c r="WGH158"/>
      <c r="WGI158"/>
      <c r="WGJ158"/>
      <c r="WGK158"/>
      <c r="WGL158"/>
      <c r="WGM158"/>
      <c r="WGN158"/>
      <c r="WGO158"/>
      <c r="WGP158"/>
      <c r="WGQ158"/>
      <c r="WGR158"/>
      <c r="WGS158"/>
      <c r="WGT158"/>
      <c r="WGU158"/>
      <c r="WGV158"/>
      <c r="WGW158"/>
      <c r="WGX158"/>
      <c r="WGY158"/>
      <c r="WGZ158"/>
      <c r="WHA158"/>
      <c r="WHB158"/>
      <c r="WHC158"/>
      <c r="WHD158"/>
      <c r="WHE158"/>
      <c r="WHF158"/>
      <c r="WHG158"/>
      <c r="WHH158"/>
      <c r="WHI158"/>
      <c r="WHJ158"/>
      <c r="WHK158"/>
      <c r="WHL158"/>
      <c r="WHM158"/>
      <c r="WHN158"/>
      <c r="WHO158"/>
      <c r="WHP158"/>
      <c r="WHQ158"/>
      <c r="WHR158"/>
      <c r="WHS158"/>
      <c r="WHT158"/>
      <c r="WHU158"/>
      <c r="WHV158"/>
      <c r="WHW158"/>
      <c r="WHX158"/>
      <c r="WHY158"/>
      <c r="WHZ158"/>
      <c r="WIA158"/>
      <c r="WIB158"/>
      <c r="WIC158"/>
      <c r="WID158"/>
      <c r="WIE158"/>
      <c r="WIF158"/>
      <c r="WIG158"/>
      <c r="WIH158"/>
      <c r="WII158"/>
      <c r="WIJ158"/>
      <c r="WIK158"/>
      <c r="WIL158"/>
      <c r="WIM158"/>
      <c r="WIN158"/>
      <c r="WIO158"/>
      <c r="WIP158"/>
      <c r="WIQ158"/>
      <c r="WIR158"/>
      <c r="WIS158"/>
      <c r="WIT158"/>
      <c r="WIU158"/>
      <c r="WIV158"/>
      <c r="WIW158"/>
      <c r="WIX158"/>
      <c r="WIY158"/>
      <c r="WIZ158"/>
      <c r="WJA158"/>
      <c r="WJB158"/>
      <c r="WJC158"/>
      <c r="WJD158"/>
      <c r="WJE158"/>
      <c r="WJF158"/>
      <c r="WJG158"/>
      <c r="WJH158"/>
      <c r="WJI158"/>
      <c r="WJJ158"/>
      <c r="WJK158"/>
      <c r="WJL158"/>
      <c r="WJM158"/>
      <c r="WJN158"/>
      <c r="WJO158"/>
      <c r="WJP158"/>
      <c r="WJQ158"/>
      <c r="WJR158"/>
      <c r="WJS158"/>
      <c r="WJT158"/>
      <c r="WJU158"/>
      <c r="WJV158"/>
      <c r="WJW158"/>
      <c r="WJX158"/>
      <c r="WJY158"/>
      <c r="WJZ158"/>
      <c r="WKA158"/>
      <c r="WKB158"/>
      <c r="WKC158"/>
      <c r="WKD158"/>
      <c r="WKE158"/>
      <c r="WKF158"/>
      <c r="WKG158"/>
      <c r="WKH158"/>
      <c r="WKI158"/>
      <c r="WKJ158"/>
      <c r="WKK158"/>
      <c r="WKL158"/>
      <c r="WKM158"/>
      <c r="WKN158"/>
      <c r="WKO158"/>
      <c r="WKP158"/>
      <c r="WKQ158"/>
      <c r="WKR158"/>
      <c r="WKS158"/>
      <c r="WKT158"/>
      <c r="WKU158"/>
      <c r="WKV158"/>
      <c r="WKW158"/>
      <c r="WKX158"/>
      <c r="WKY158"/>
      <c r="WKZ158"/>
      <c r="WLA158"/>
      <c r="WLB158"/>
      <c r="WLC158"/>
      <c r="WLD158"/>
      <c r="WLE158"/>
      <c r="WLF158"/>
      <c r="WLG158"/>
      <c r="WLH158"/>
      <c r="WLI158"/>
      <c r="WLJ158"/>
      <c r="WLK158"/>
      <c r="WLL158"/>
      <c r="WLM158"/>
      <c r="WLN158"/>
      <c r="WLO158"/>
      <c r="WLP158"/>
      <c r="WLQ158"/>
      <c r="WLR158"/>
      <c r="WLS158"/>
      <c r="WLT158"/>
      <c r="WLU158"/>
      <c r="WLV158"/>
      <c r="WLW158"/>
      <c r="WLX158"/>
      <c r="WLY158"/>
      <c r="WLZ158"/>
      <c r="WMA158"/>
      <c r="WMB158"/>
      <c r="WMC158"/>
      <c r="WMD158"/>
      <c r="WME158"/>
      <c r="WMF158"/>
      <c r="WMG158"/>
      <c r="WMH158"/>
      <c r="WMI158"/>
      <c r="WMJ158"/>
      <c r="WMK158"/>
      <c r="WML158"/>
      <c r="WMM158"/>
      <c r="WMN158"/>
      <c r="WMO158"/>
      <c r="WMP158"/>
      <c r="WMQ158"/>
      <c r="WMR158"/>
      <c r="WMS158"/>
      <c r="WMT158"/>
      <c r="WMU158"/>
      <c r="WMV158"/>
      <c r="WMW158"/>
      <c r="WMX158"/>
      <c r="WMY158"/>
      <c r="WMZ158"/>
      <c r="WNA158"/>
      <c r="WNB158"/>
      <c r="WNC158"/>
      <c r="WND158"/>
      <c r="WNE158"/>
      <c r="WNF158"/>
      <c r="WNG158"/>
      <c r="WNH158"/>
      <c r="WNI158"/>
      <c r="WNJ158"/>
      <c r="WNK158"/>
      <c r="WNL158"/>
      <c r="WNM158"/>
      <c r="WNN158"/>
      <c r="WNO158"/>
      <c r="WNP158"/>
      <c r="WNQ158"/>
      <c r="WNR158"/>
      <c r="WNS158"/>
      <c r="WNT158"/>
      <c r="WNU158"/>
      <c r="WNV158"/>
      <c r="WNW158"/>
      <c r="WNX158"/>
      <c r="WNY158"/>
      <c r="WNZ158"/>
      <c r="WOA158"/>
      <c r="WOB158"/>
      <c r="WOC158"/>
      <c r="WOD158"/>
      <c r="WOE158"/>
      <c r="WOF158"/>
      <c r="WOG158"/>
      <c r="WOH158"/>
      <c r="WOI158"/>
      <c r="WOJ158"/>
      <c r="WOK158"/>
      <c r="WOL158"/>
      <c r="WOM158"/>
      <c r="WON158"/>
      <c r="WOO158"/>
      <c r="WOP158"/>
      <c r="WOQ158"/>
      <c r="WOR158"/>
      <c r="WOS158"/>
      <c r="WOT158"/>
      <c r="WOU158"/>
      <c r="WOV158"/>
      <c r="WOW158"/>
      <c r="WOX158"/>
      <c r="WOY158"/>
      <c r="WOZ158"/>
      <c r="WPA158"/>
      <c r="WPB158"/>
      <c r="WPC158"/>
      <c r="WPD158"/>
      <c r="WPE158"/>
      <c r="WPF158"/>
      <c r="WPG158"/>
      <c r="WPH158"/>
      <c r="WPI158"/>
      <c r="WPJ158"/>
      <c r="WPK158"/>
      <c r="WPL158"/>
      <c r="WPM158"/>
      <c r="WPN158"/>
      <c r="WPO158"/>
      <c r="WPP158"/>
      <c r="WPQ158"/>
      <c r="WPR158"/>
      <c r="WPS158"/>
      <c r="WPT158"/>
      <c r="WPU158"/>
      <c r="WPV158"/>
      <c r="WPW158"/>
      <c r="WPX158"/>
      <c r="WPY158"/>
      <c r="WPZ158"/>
      <c r="WQA158"/>
      <c r="WQB158"/>
      <c r="WQC158"/>
      <c r="WQD158"/>
      <c r="WQE158"/>
      <c r="WQF158"/>
      <c r="WQG158"/>
      <c r="WQH158"/>
      <c r="WQI158"/>
      <c r="WQJ158"/>
      <c r="WQK158"/>
      <c r="WQL158"/>
      <c r="WQM158"/>
      <c r="WQN158"/>
      <c r="WQO158"/>
      <c r="WQP158"/>
      <c r="WQQ158"/>
      <c r="WQR158"/>
      <c r="WQS158"/>
      <c r="WQT158"/>
      <c r="WQU158"/>
      <c r="WQV158"/>
      <c r="WQW158"/>
      <c r="WQX158"/>
      <c r="WQY158"/>
      <c r="WQZ158"/>
      <c r="WRA158"/>
      <c r="WRB158"/>
      <c r="WRC158"/>
      <c r="WRD158"/>
      <c r="WRE158"/>
      <c r="WRF158"/>
      <c r="WRG158"/>
      <c r="WRH158"/>
      <c r="WRI158"/>
      <c r="WRJ158"/>
      <c r="WRK158"/>
      <c r="WRL158"/>
      <c r="WRM158"/>
      <c r="WRN158"/>
      <c r="WRO158"/>
      <c r="WRP158"/>
      <c r="WRQ158"/>
      <c r="WRR158"/>
      <c r="WRS158"/>
      <c r="WRT158"/>
      <c r="WRU158"/>
      <c r="WRV158"/>
      <c r="WRW158"/>
      <c r="WRX158"/>
      <c r="WRY158"/>
      <c r="WRZ158"/>
      <c r="WSA158"/>
      <c r="WSB158"/>
      <c r="WSC158"/>
      <c r="WSD158"/>
      <c r="WSE158"/>
      <c r="WSF158"/>
      <c r="WSG158"/>
      <c r="WSH158"/>
      <c r="WSI158"/>
      <c r="WSJ158"/>
      <c r="WSK158"/>
      <c r="WSL158"/>
      <c r="WSM158"/>
      <c r="WSN158"/>
      <c r="WSO158"/>
      <c r="WSP158"/>
      <c r="WSQ158"/>
      <c r="WSR158"/>
      <c r="WSS158"/>
      <c r="WST158"/>
      <c r="WSU158"/>
      <c r="WSV158"/>
      <c r="WSW158"/>
      <c r="WSX158"/>
      <c r="WSY158"/>
      <c r="WSZ158"/>
      <c r="WTA158"/>
      <c r="WTB158"/>
      <c r="WTC158"/>
      <c r="WTD158"/>
      <c r="WTE158"/>
      <c r="WTF158"/>
      <c r="WTG158"/>
      <c r="WTH158"/>
      <c r="WTI158"/>
      <c r="WTJ158"/>
      <c r="WTK158"/>
      <c r="WTL158"/>
      <c r="WTM158"/>
      <c r="WTN158"/>
      <c r="WTO158"/>
      <c r="WTP158"/>
      <c r="WTQ158"/>
      <c r="WTR158"/>
      <c r="WTS158"/>
      <c r="WTT158"/>
      <c r="WTU158"/>
      <c r="WTV158"/>
      <c r="WTW158"/>
      <c r="WTX158"/>
      <c r="WTY158"/>
      <c r="WTZ158"/>
      <c r="WUA158"/>
      <c r="WUB158"/>
      <c r="WUC158"/>
      <c r="WUD158"/>
      <c r="WUE158"/>
      <c r="WUF158"/>
      <c r="WUG158"/>
      <c r="WUH158"/>
      <c r="WUI158"/>
      <c r="WUJ158"/>
      <c r="WUK158"/>
      <c r="WUL158"/>
      <c r="WUM158"/>
      <c r="WUN158"/>
      <c r="WUO158"/>
      <c r="WUP158"/>
      <c r="WUQ158"/>
      <c r="WUR158"/>
      <c r="WUS158"/>
      <c r="WUT158"/>
      <c r="WUU158"/>
      <c r="WUV158"/>
      <c r="WUW158"/>
      <c r="WUX158"/>
      <c r="WUY158"/>
      <c r="WUZ158"/>
      <c r="WVA158"/>
      <c r="WVB158"/>
      <c r="WVC158"/>
      <c r="WVD158"/>
      <c r="WVE158"/>
      <c r="WVF158"/>
      <c r="WVG158"/>
      <c r="WVH158"/>
      <c r="WVI158"/>
      <c r="WVJ158"/>
      <c r="WVK158"/>
      <c r="WVL158"/>
      <c r="WVM158"/>
      <c r="WVN158"/>
      <c r="WVO158"/>
      <c r="WVP158"/>
      <c r="WVQ158"/>
      <c r="WVR158"/>
      <c r="WVS158"/>
      <c r="WVT158"/>
      <c r="WVU158"/>
      <c r="WVV158"/>
      <c r="WVW158"/>
      <c r="WVX158"/>
      <c r="WVY158"/>
      <c r="WVZ158"/>
      <c r="WWA158"/>
      <c r="WWB158"/>
      <c r="WWC158"/>
      <c r="WWD158"/>
      <c r="WWE158"/>
      <c r="WWF158"/>
      <c r="WWG158"/>
      <c r="WWH158"/>
      <c r="WWI158"/>
      <c r="WWJ158"/>
      <c r="WWK158"/>
      <c r="WWL158"/>
      <c r="WWM158"/>
      <c r="WWN158"/>
      <c r="WWO158"/>
      <c r="WWP158"/>
      <c r="WWQ158"/>
      <c r="WWR158"/>
      <c r="WWS158"/>
      <c r="WWT158"/>
      <c r="WWU158"/>
      <c r="WWV158"/>
      <c r="WWW158"/>
      <c r="WWX158"/>
      <c r="WWY158"/>
      <c r="WWZ158"/>
      <c r="WXA158"/>
      <c r="WXB158"/>
      <c r="WXC158"/>
      <c r="WXD158"/>
      <c r="WXE158"/>
      <c r="WXF158"/>
      <c r="WXG158"/>
      <c r="WXH158"/>
      <c r="WXI158"/>
      <c r="WXJ158"/>
      <c r="WXK158"/>
      <c r="WXL158"/>
      <c r="WXM158"/>
      <c r="WXN158"/>
      <c r="WXO158"/>
      <c r="WXP158"/>
      <c r="WXQ158"/>
      <c r="WXR158"/>
      <c r="WXS158"/>
      <c r="WXT158"/>
      <c r="WXU158"/>
      <c r="WXV158"/>
      <c r="WXW158"/>
      <c r="WXX158"/>
      <c r="WXY158"/>
      <c r="WXZ158"/>
      <c r="WYA158"/>
      <c r="WYB158"/>
      <c r="WYC158"/>
      <c r="WYD158"/>
      <c r="WYE158"/>
      <c r="WYF158"/>
      <c r="WYG158"/>
      <c r="WYH158"/>
      <c r="WYI158"/>
      <c r="WYJ158"/>
      <c r="WYK158"/>
      <c r="WYL158"/>
      <c r="WYM158"/>
      <c r="WYN158"/>
      <c r="WYO158"/>
      <c r="WYP158"/>
      <c r="WYQ158"/>
      <c r="WYR158"/>
      <c r="WYS158"/>
      <c r="WYT158"/>
      <c r="WYU158"/>
      <c r="WYV158"/>
      <c r="WYW158"/>
      <c r="WYX158"/>
      <c r="WYY158"/>
      <c r="WYZ158"/>
      <c r="WZA158"/>
      <c r="WZB158"/>
      <c r="WZC158"/>
      <c r="WZD158"/>
      <c r="WZE158"/>
      <c r="WZF158"/>
      <c r="WZG158"/>
      <c r="WZH158"/>
      <c r="WZI158"/>
      <c r="WZJ158"/>
      <c r="WZK158"/>
      <c r="WZL158"/>
      <c r="WZM158"/>
      <c r="WZN158"/>
      <c r="WZO158"/>
      <c r="WZP158"/>
      <c r="WZQ158"/>
      <c r="WZR158"/>
      <c r="WZS158"/>
      <c r="WZT158"/>
      <c r="WZU158"/>
      <c r="WZV158"/>
      <c r="WZW158"/>
      <c r="WZX158"/>
      <c r="WZY158"/>
      <c r="WZZ158"/>
      <c r="XAA158"/>
      <c r="XAB158"/>
      <c r="XAC158"/>
      <c r="XAD158"/>
      <c r="XAE158"/>
      <c r="XAF158"/>
      <c r="XAG158"/>
      <c r="XAH158"/>
      <c r="XAI158"/>
      <c r="XAJ158"/>
      <c r="XAK158"/>
      <c r="XAL158"/>
      <c r="XAM158"/>
      <c r="XAN158"/>
      <c r="XAO158"/>
      <c r="XAP158"/>
      <c r="XAQ158"/>
      <c r="XAR158"/>
      <c r="XAS158"/>
      <c r="XAT158"/>
      <c r="XAU158"/>
      <c r="XAV158"/>
      <c r="XAW158"/>
      <c r="XAX158"/>
      <c r="XAY158"/>
      <c r="XAZ158"/>
      <c r="XBA158"/>
      <c r="XBB158"/>
      <c r="XBC158"/>
      <c r="XBD158"/>
      <c r="XBE158"/>
      <c r="XBF158"/>
      <c r="XBG158"/>
      <c r="XBH158"/>
      <c r="XBI158"/>
      <c r="XBJ158"/>
      <c r="XBK158"/>
      <c r="XBL158"/>
      <c r="XBM158"/>
      <c r="XBN158"/>
      <c r="XBO158"/>
      <c r="XBP158"/>
      <c r="XBQ158"/>
      <c r="XBR158"/>
      <c r="XBS158"/>
      <c r="XBT158"/>
      <c r="XBU158"/>
      <c r="XBV158"/>
      <c r="XBW158"/>
      <c r="XBX158"/>
      <c r="XBY158"/>
      <c r="XBZ158"/>
      <c r="XCA158"/>
      <c r="XCB158"/>
      <c r="XCC158"/>
      <c r="XCD158"/>
      <c r="XCE158"/>
      <c r="XCF158"/>
      <c r="XCG158"/>
      <c r="XCH158"/>
      <c r="XCI158"/>
      <c r="XCJ158"/>
      <c r="XCK158"/>
      <c r="XCL158"/>
      <c r="XCM158"/>
      <c r="XCN158"/>
      <c r="XCO158"/>
      <c r="XCP158"/>
      <c r="XCQ158"/>
      <c r="XCR158"/>
      <c r="XCS158"/>
      <c r="XCT158"/>
      <c r="XCU158"/>
      <c r="XCV158"/>
      <c r="XCW158"/>
      <c r="XCX158"/>
      <c r="XCY158"/>
      <c r="XCZ158"/>
      <c r="XDA158"/>
      <c r="XDB158"/>
      <c r="XDC158"/>
      <c r="XDD158"/>
      <c r="XDE158"/>
      <c r="XDF158"/>
      <c r="XDG158"/>
      <c r="XDH158"/>
      <c r="XDI158"/>
      <c r="XDJ158"/>
      <c r="XDK158"/>
      <c r="XDL158"/>
      <c r="XDM158"/>
      <c r="XDN158"/>
      <c r="XDO158"/>
      <c r="XDP158"/>
      <c r="XDQ158"/>
      <c r="XDR158"/>
      <c r="XDS158"/>
      <c r="XDT158"/>
      <c r="XDU158"/>
      <c r="XDV158"/>
      <c r="XDW158"/>
      <c r="XDX158"/>
      <c r="XDY158"/>
      <c r="XDZ158"/>
      <c r="XEA158"/>
      <c r="XEB158"/>
      <c r="XEC158"/>
      <c r="XED158"/>
      <c r="XEE158"/>
      <c r="XEF158"/>
      <c r="XEG158"/>
      <c r="XEH158"/>
      <c r="XEI158"/>
      <c r="XEJ158"/>
      <c r="XEK158"/>
      <c r="XEL158"/>
      <c r="XEM158"/>
      <c r="XEN158"/>
      <c r="XEO158"/>
      <c r="XEP158"/>
      <c r="XEQ158"/>
      <c r="XER158"/>
      <c r="XES158"/>
      <c r="XET158"/>
      <c r="XEU158"/>
      <c r="XEV158"/>
      <c r="XEW158"/>
      <c r="XEX158"/>
      <c r="XEY158"/>
    </row>
    <row r="159" spans="1:16379" s="63" customFormat="1">
      <c r="A159" s="37" t="s">
        <v>3632</v>
      </c>
      <c r="B159" s="9"/>
      <c r="C159" s="54" t="s">
        <v>3613</v>
      </c>
      <c r="D159" s="40">
        <v>9772408</v>
      </c>
      <c r="E159" s="40"/>
      <c r="F159" s="55"/>
      <c r="G159" s="37"/>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c r="AX159"/>
      <c r="AY159"/>
      <c r="AZ159"/>
      <c r="BA159"/>
      <c r="BB159"/>
      <c r="BC159"/>
      <c r="BD159"/>
      <c r="BE159"/>
      <c r="BF159"/>
      <c r="BG159"/>
      <c r="BH159"/>
      <c r="BI159"/>
      <c r="BJ159"/>
      <c r="BK159"/>
      <c r="BL159"/>
      <c r="BM159"/>
      <c r="BN159"/>
      <c r="BO159"/>
      <c r="BP159"/>
      <c r="BQ159"/>
      <c r="BR159"/>
      <c r="BS159"/>
      <c r="BT159"/>
      <c r="BU159"/>
      <c r="BV159"/>
      <c r="BW159"/>
      <c r="BX159"/>
      <c r="BY159"/>
      <c r="BZ159"/>
      <c r="CA159"/>
      <c r="CB159"/>
      <c r="CC159"/>
      <c r="CD159"/>
      <c r="CE159"/>
      <c r="CF159"/>
      <c r="CG159"/>
      <c r="CH159"/>
      <c r="CI159"/>
      <c r="CJ159"/>
      <c r="CK159"/>
      <c r="CL159"/>
      <c r="CM159"/>
      <c r="CN159"/>
      <c r="CO159"/>
      <c r="CP159"/>
      <c r="CQ159"/>
      <c r="CR159"/>
      <c r="CS159"/>
      <c r="CT159"/>
      <c r="CU159"/>
      <c r="CV159"/>
      <c r="CW159"/>
      <c r="CX159"/>
      <c r="CY159"/>
      <c r="CZ159"/>
      <c r="DA159"/>
      <c r="DB159"/>
      <c r="DC159"/>
      <c r="DD159"/>
      <c r="DE159"/>
      <c r="DF159"/>
      <c r="DG159"/>
      <c r="DH159"/>
      <c r="DI159"/>
      <c r="DJ159"/>
      <c r="DK159"/>
      <c r="DL159"/>
      <c r="DM159"/>
      <c r="DN159"/>
      <c r="DO159"/>
      <c r="DP159"/>
      <c r="DQ159"/>
      <c r="DR159"/>
      <c r="DS159"/>
      <c r="DT159"/>
      <c r="DU159"/>
      <c r="DV159"/>
      <c r="DW159"/>
      <c r="DX159"/>
      <c r="DY159"/>
      <c r="DZ159"/>
      <c r="EA159"/>
      <c r="EB159"/>
      <c r="EC159"/>
      <c r="ED159"/>
      <c r="EE159"/>
      <c r="EF159"/>
      <c r="EG159"/>
      <c r="EH159"/>
      <c r="EI159"/>
      <c r="EJ159"/>
      <c r="EK159"/>
      <c r="EL159"/>
      <c r="EM159"/>
      <c r="EN159"/>
      <c r="EO159"/>
      <c r="EP159"/>
      <c r="EQ159"/>
      <c r="ER159"/>
      <c r="ES159"/>
      <c r="ET159"/>
      <c r="EU159"/>
      <c r="EV159"/>
      <c r="EW159"/>
      <c r="EX159"/>
      <c r="EY159"/>
      <c r="EZ159"/>
      <c r="FA159"/>
      <c r="FB159"/>
      <c r="FC159"/>
      <c r="FD159"/>
      <c r="FE159"/>
      <c r="FF159"/>
      <c r="FG159"/>
      <c r="FH159"/>
      <c r="FI159"/>
      <c r="FJ159"/>
      <c r="FK159"/>
      <c r="FL159"/>
      <c r="FM159"/>
      <c r="FN159"/>
      <c r="FO159"/>
      <c r="FP159"/>
      <c r="FQ159"/>
      <c r="FR159"/>
      <c r="FS159"/>
      <c r="FT159"/>
      <c r="FU159"/>
      <c r="FV159"/>
      <c r="FW159"/>
      <c r="FX159"/>
      <c r="FY159"/>
      <c r="FZ159"/>
      <c r="GA159"/>
      <c r="GB159"/>
      <c r="GC159"/>
      <c r="GD159"/>
      <c r="GE159"/>
      <c r="GF159"/>
      <c r="GG159"/>
      <c r="GH159"/>
      <c r="GI159"/>
      <c r="GJ159"/>
      <c r="GK159"/>
      <c r="GL159"/>
      <c r="GM159"/>
      <c r="GN159"/>
      <c r="GO159"/>
      <c r="GP159"/>
      <c r="GQ159"/>
      <c r="GR159"/>
      <c r="GS159"/>
      <c r="GT159"/>
      <c r="GU159"/>
      <c r="GV159"/>
      <c r="GW159"/>
      <c r="GX159"/>
      <c r="GY159"/>
      <c r="GZ159"/>
      <c r="HA159"/>
      <c r="HB159"/>
      <c r="HC159"/>
      <c r="HD159"/>
      <c r="HE159"/>
      <c r="HF159"/>
      <c r="HG159"/>
      <c r="HH159"/>
      <c r="HI159"/>
      <c r="HJ159"/>
      <c r="HK159"/>
      <c r="HL159"/>
      <c r="HM159"/>
      <c r="HN159"/>
      <c r="HO159"/>
      <c r="HP159"/>
      <c r="HQ159"/>
      <c r="HR159"/>
      <c r="HS159"/>
      <c r="HT159"/>
      <c r="HU159"/>
      <c r="HV159"/>
      <c r="HW159"/>
      <c r="HX159"/>
      <c r="HY159"/>
      <c r="HZ159"/>
      <c r="IA159"/>
      <c r="IB159"/>
      <c r="IC159"/>
      <c r="ID159"/>
      <c r="IE159"/>
      <c r="IF159"/>
      <c r="IG159"/>
      <c r="IH159"/>
      <c r="II159"/>
      <c r="IJ159"/>
      <c r="IK159"/>
      <c r="IL159"/>
      <c r="IM159"/>
      <c r="IN159"/>
      <c r="IO159"/>
      <c r="IP159"/>
      <c r="IQ159"/>
      <c r="IR159"/>
      <c r="IS159"/>
      <c r="IT159"/>
      <c r="IU159"/>
      <c r="IV159"/>
      <c r="IW159"/>
      <c r="IX159"/>
      <c r="IY159"/>
      <c r="IZ159"/>
      <c r="JA159"/>
      <c r="JB159"/>
      <c r="JC159"/>
      <c r="JD159"/>
      <c r="JE159"/>
      <c r="JF159"/>
      <c r="JG159"/>
      <c r="JH159"/>
      <c r="JI159"/>
      <c r="JJ159"/>
      <c r="JK159"/>
      <c r="JL159"/>
      <c r="JM159"/>
      <c r="JN159"/>
      <c r="JO159"/>
      <c r="JP159"/>
      <c r="JQ159"/>
      <c r="JR159"/>
      <c r="JS159"/>
      <c r="JT159"/>
      <c r="JU159"/>
      <c r="JV159"/>
      <c r="JW159"/>
      <c r="JX159"/>
      <c r="JY159"/>
      <c r="JZ159"/>
      <c r="KA159"/>
      <c r="KB159"/>
      <c r="KC159"/>
      <c r="KD159"/>
      <c r="KE159"/>
      <c r="KF159"/>
      <c r="KG159"/>
      <c r="KH159"/>
      <c r="KI159"/>
      <c r="KJ159"/>
      <c r="KK159"/>
      <c r="KL159"/>
      <c r="KM159"/>
      <c r="KN159"/>
      <c r="KO159"/>
      <c r="KP159"/>
      <c r="KQ159"/>
      <c r="KR159"/>
      <c r="KS159"/>
      <c r="KT159"/>
      <c r="KU159"/>
      <c r="KV159"/>
      <c r="KW159"/>
      <c r="KX159"/>
      <c r="KY159"/>
      <c r="KZ159"/>
      <c r="LA159"/>
      <c r="LB159"/>
      <c r="LC159"/>
      <c r="LD159"/>
      <c r="LE159"/>
      <c r="LF159"/>
      <c r="LG159"/>
      <c r="LH159"/>
      <c r="LI159"/>
      <c r="LJ159"/>
      <c r="LK159"/>
      <c r="LL159"/>
      <c r="LM159"/>
      <c r="LN159"/>
      <c r="LO159"/>
      <c r="LP159"/>
      <c r="LQ159"/>
      <c r="LR159"/>
      <c r="LS159"/>
      <c r="LT159"/>
      <c r="LU159"/>
      <c r="LV159"/>
      <c r="LW159"/>
      <c r="LX159"/>
      <c r="LY159"/>
      <c r="LZ159"/>
      <c r="MA159"/>
      <c r="MB159"/>
      <c r="MC159"/>
      <c r="MD159"/>
      <c r="ME159"/>
      <c r="MF159"/>
      <c r="MG159"/>
      <c r="MH159"/>
      <c r="MI159"/>
      <c r="MJ159"/>
      <c r="MK159"/>
      <c r="ML159"/>
      <c r="MM159"/>
      <c r="MN159"/>
      <c r="MO159"/>
      <c r="MP159"/>
      <c r="MQ159"/>
      <c r="MR159"/>
      <c r="MS159"/>
      <c r="MT159"/>
      <c r="MU159"/>
      <c r="MV159"/>
      <c r="MW159"/>
      <c r="MX159"/>
      <c r="MY159"/>
      <c r="MZ159"/>
      <c r="NA159"/>
      <c r="NB159"/>
      <c r="NC159"/>
      <c r="ND159"/>
      <c r="NE159"/>
      <c r="NF159"/>
      <c r="NG159"/>
      <c r="NH159"/>
      <c r="NI159"/>
      <c r="NJ159"/>
      <c r="NK159"/>
      <c r="NL159"/>
      <c r="NM159"/>
      <c r="NN159"/>
      <c r="NO159"/>
      <c r="NP159"/>
      <c r="NQ159"/>
      <c r="NR159"/>
      <c r="NS159"/>
      <c r="NT159"/>
      <c r="NU159"/>
      <c r="NV159"/>
      <c r="NW159"/>
      <c r="NX159"/>
      <c r="NY159"/>
      <c r="NZ159"/>
      <c r="OA159"/>
      <c r="OB159"/>
      <c r="OC159"/>
      <c r="OD159"/>
      <c r="OE159"/>
      <c r="OF159"/>
      <c r="OG159"/>
      <c r="OH159"/>
      <c r="OI159"/>
      <c r="OJ159"/>
      <c r="OK159"/>
      <c r="OL159"/>
      <c r="OM159"/>
      <c r="ON159"/>
      <c r="OO159"/>
      <c r="OP159"/>
      <c r="OQ159"/>
      <c r="OR159"/>
      <c r="OS159"/>
      <c r="OT159"/>
      <c r="OU159"/>
      <c r="OV159"/>
      <c r="OW159"/>
      <c r="OX159"/>
      <c r="OY159"/>
      <c r="OZ159"/>
      <c r="PA159"/>
      <c r="PB159"/>
      <c r="PC159"/>
      <c r="PD159"/>
      <c r="PE159"/>
      <c r="PF159"/>
      <c r="PG159"/>
      <c r="PH159"/>
      <c r="PI159"/>
      <c r="PJ159"/>
      <c r="PK159"/>
      <c r="PL159"/>
      <c r="PM159"/>
      <c r="PN159"/>
      <c r="PO159"/>
      <c r="PP159"/>
      <c r="PQ159"/>
      <c r="PR159"/>
      <c r="PS159"/>
      <c r="PT159"/>
      <c r="PU159"/>
      <c r="PV159"/>
      <c r="PW159"/>
      <c r="PX159"/>
      <c r="PY159"/>
      <c r="PZ159"/>
      <c r="QA159"/>
      <c r="QB159"/>
      <c r="QC159"/>
      <c r="QD159"/>
      <c r="QE159"/>
      <c r="QF159"/>
      <c r="QG159"/>
      <c r="QH159"/>
      <c r="QI159"/>
      <c r="QJ159"/>
      <c r="QK159"/>
      <c r="QL159"/>
      <c r="QM159"/>
      <c r="QN159"/>
      <c r="QO159"/>
      <c r="QP159"/>
      <c r="QQ159"/>
      <c r="QR159"/>
      <c r="QS159"/>
      <c r="QT159"/>
      <c r="QU159"/>
      <c r="QV159"/>
      <c r="QW159"/>
      <c r="QX159"/>
      <c r="QY159"/>
      <c r="QZ159"/>
      <c r="RA159"/>
      <c r="RB159"/>
      <c r="RC159"/>
      <c r="RD159"/>
      <c r="RE159"/>
      <c r="RF159"/>
      <c r="RG159"/>
      <c r="RH159"/>
      <c r="RI159"/>
      <c r="RJ159"/>
      <c r="RK159"/>
      <c r="RL159"/>
      <c r="RM159"/>
      <c r="RN159"/>
      <c r="RO159"/>
      <c r="RP159"/>
      <c r="RQ159"/>
      <c r="RR159"/>
      <c r="RS159"/>
      <c r="RT159"/>
      <c r="RU159"/>
      <c r="RV159"/>
      <c r="RW159"/>
      <c r="RX159"/>
      <c r="RY159"/>
      <c r="RZ159"/>
      <c r="SA159"/>
      <c r="SB159"/>
      <c r="SC159"/>
      <c r="SD159"/>
      <c r="SE159"/>
      <c r="SF159"/>
      <c r="SG159"/>
      <c r="SH159"/>
      <c r="SI159"/>
      <c r="SJ159"/>
      <c r="SK159"/>
      <c r="SL159"/>
      <c r="SM159"/>
      <c r="SN159"/>
      <c r="SO159"/>
      <c r="SP159"/>
      <c r="SQ159"/>
      <c r="SR159"/>
      <c r="SS159"/>
      <c r="ST159"/>
      <c r="SU159"/>
      <c r="SV159"/>
      <c r="SW159"/>
      <c r="SX159"/>
      <c r="SY159"/>
      <c r="SZ159"/>
      <c r="TA159"/>
      <c r="TB159"/>
      <c r="TC159"/>
      <c r="TD159"/>
      <c r="TE159"/>
      <c r="TF159"/>
      <c r="TG159"/>
      <c r="TH159"/>
      <c r="TI159"/>
      <c r="TJ159"/>
      <c r="TK159"/>
      <c r="TL159"/>
      <c r="TM159"/>
      <c r="TN159"/>
      <c r="TO159"/>
      <c r="TP159"/>
      <c r="TQ159"/>
      <c r="TR159"/>
      <c r="TS159"/>
      <c r="TT159"/>
      <c r="TU159"/>
      <c r="TV159"/>
      <c r="TW159"/>
      <c r="TX159"/>
      <c r="TY159"/>
      <c r="TZ159"/>
      <c r="UA159"/>
      <c r="UB159"/>
      <c r="UC159"/>
      <c r="UD159"/>
      <c r="UE159"/>
      <c r="UF159"/>
      <c r="UG159"/>
      <c r="UH159"/>
      <c r="UI159"/>
      <c r="UJ159"/>
      <c r="UK159"/>
      <c r="UL159"/>
      <c r="UM159"/>
      <c r="UN159"/>
      <c r="UO159"/>
      <c r="UP159"/>
      <c r="UQ159"/>
      <c r="UR159"/>
      <c r="US159"/>
      <c r="UT159"/>
      <c r="UU159"/>
      <c r="UV159"/>
      <c r="UW159"/>
      <c r="UX159"/>
      <c r="UY159"/>
      <c r="UZ159"/>
      <c r="VA159"/>
      <c r="VB159"/>
      <c r="VC159"/>
      <c r="VD159"/>
      <c r="VE159"/>
      <c r="VF159"/>
      <c r="VG159"/>
      <c r="VH159"/>
      <c r="VI159"/>
      <c r="VJ159"/>
      <c r="VK159"/>
      <c r="VL159"/>
      <c r="VM159"/>
      <c r="VN159"/>
      <c r="VO159"/>
      <c r="VP159"/>
      <c r="VQ159"/>
      <c r="VR159"/>
      <c r="VS159"/>
      <c r="VT159"/>
      <c r="VU159"/>
      <c r="VV159"/>
      <c r="VW159"/>
      <c r="VX159"/>
      <c r="VY159"/>
      <c r="VZ159"/>
      <c r="WA159"/>
      <c r="WB159"/>
      <c r="WC159"/>
      <c r="WD159"/>
      <c r="WE159"/>
      <c r="WF159"/>
      <c r="WG159"/>
      <c r="WH159"/>
      <c r="WI159"/>
      <c r="WJ159"/>
      <c r="WK159"/>
      <c r="WL159"/>
      <c r="WM159"/>
      <c r="WN159"/>
      <c r="WO159"/>
      <c r="WP159"/>
      <c r="WQ159"/>
      <c r="WR159"/>
      <c r="WS159"/>
      <c r="WT159"/>
      <c r="WU159"/>
      <c r="WV159"/>
      <c r="WW159"/>
      <c r="WX159"/>
      <c r="WY159"/>
      <c r="WZ159"/>
      <c r="XA159"/>
      <c r="XB159"/>
      <c r="XC159"/>
      <c r="XD159"/>
      <c r="XE159"/>
      <c r="XF159"/>
      <c r="XG159"/>
      <c r="XH159"/>
      <c r="XI159"/>
      <c r="XJ159"/>
      <c r="XK159"/>
      <c r="XL159"/>
      <c r="XM159"/>
      <c r="XN159"/>
      <c r="XO159"/>
      <c r="XP159"/>
      <c r="XQ159"/>
      <c r="XR159"/>
      <c r="XS159"/>
      <c r="XT159"/>
      <c r="XU159"/>
      <c r="XV159"/>
      <c r="XW159"/>
      <c r="XX159"/>
      <c r="XY159"/>
      <c r="XZ159"/>
      <c r="YA159"/>
      <c r="YB159"/>
      <c r="YC159"/>
      <c r="YD159"/>
      <c r="YE159"/>
      <c r="YF159"/>
      <c r="YG159"/>
      <c r="YH159"/>
      <c r="YI159"/>
      <c r="YJ159"/>
      <c r="YK159"/>
      <c r="YL159"/>
      <c r="YM159"/>
      <c r="YN159"/>
      <c r="YO159"/>
      <c r="YP159"/>
      <c r="YQ159"/>
      <c r="YR159"/>
      <c r="YS159"/>
      <c r="YT159"/>
      <c r="YU159"/>
      <c r="YV159"/>
      <c r="YW159"/>
      <c r="YX159"/>
      <c r="YY159"/>
      <c r="YZ159"/>
      <c r="ZA159"/>
      <c r="ZB159"/>
      <c r="ZC159"/>
      <c r="ZD159"/>
      <c r="ZE159"/>
      <c r="ZF159"/>
      <c r="ZG159"/>
      <c r="ZH159"/>
      <c r="ZI159"/>
      <c r="ZJ159"/>
      <c r="ZK159"/>
      <c r="ZL159"/>
      <c r="ZM159"/>
      <c r="ZN159"/>
      <c r="ZO159"/>
      <c r="ZP159"/>
      <c r="ZQ159"/>
      <c r="ZR159"/>
      <c r="ZS159"/>
      <c r="ZT159"/>
      <c r="ZU159"/>
      <c r="ZV159"/>
      <c r="ZW159"/>
      <c r="ZX159"/>
      <c r="ZY159"/>
      <c r="ZZ159"/>
      <c r="AAA159"/>
      <c r="AAB159"/>
      <c r="AAC159"/>
      <c r="AAD159"/>
      <c r="AAE159"/>
      <c r="AAF159"/>
      <c r="AAG159"/>
      <c r="AAH159"/>
      <c r="AAI159"/>
      <c r="AAJ159"/>
      <c r="AAK159"/>
      <c r="AAL159"/>
      <c r="AAM159"/>
      <c r="AAN159"/>
      <c r="AAO159"/>
      <c r="AAP159"/>
      <c r="AAQ159"/>
      <c r="AAR159"/>
      <c r="AAS159"/>
      <c r="AAT159"/>
      <c r="AAU159"/>
      <c r="AAV159"/>
      <c r="AAW159"/>
      <c r="AAX159"/>
      <c r="AAY159"/>
      <c r="AAZ159"/>
      <c r="ABA159"/>
      <c r="ABB159"/>
      <c r="ABC159"/>
      <c r="ABD159"/>
      <c r="ABE159"/>
      <c r="ABF159"/>
      <c r="ABG159"/>
      <c r="ABH159"/>
      <c r="ABI159"/>
      <c r="ABJ159"/>
      <c r="ABK159"/>
      <c r="ABL159"/>
      <c r="ABM159"/>
      <c r="ABN159"/>
      <c r="ABO159"/>
      <c r="ABP159"/>
      <c r="ABQ159"/>
      <c r="ABR159"/>
      <c r="ABS159"/>
      <c r="ABT159"/>
      <c r="ABU159"/>
      <c r="ABV159"/>
      <c r="ABW159"/>
      <c r="ABX159"/>
      <c r="ABY159"/>
      <c r="ABZ159"/>
      <c r="ACA159"/>
      <c r="ACB159"/>
      <c r="ACC159"/>
      <c r="ACD159"/>
      <c r="ACE159"/>
      <c r="ACF159"/>
      <c r="ACG159"/>
      <c r="ACH159"/>
      <c r="ACI159"/>
      <c r="ACJ159"/>
      <c r="ACK159"/>
      <c r="ACL159"/>
      <c r="ACM159"/>
      <c r="ACN159"/>
      <c r="ACO159"/>
      <c r="ACP159"/>
      <c r="ACQ159"/>
      <c r="ACR159"/>
      <c r="ACS159"/>
      <c r="ACT159"/>
      <c r="ACU159"/>
      <c r="ACV159"/>
      <c r="ACW159"/>
      <c r="ACX159"/>
      <c r="ACY159"/>
      <c r="ACZ159"/>
      <c r="ADA159"/>
      <c r="ADB159"/>
      <c r="ADC159"/>
      <c r="ADD159"/>
      <c r="ADE159"/>
      <c r="ADF159"/>
      <c r="ADG159"/>
      <c r="ADH159"/>
      <c r="ADI159"/>
      <c r="ADJ159"/>
      <c r="ADK159"/>
      <c r="ADL159"/>
      <c r="ADM159"/>
      <c r="ADN159"/>
      <c r="ADO159"/>
      <c r="ADP159"/>
      <c r="ADQ159"/>
      <c r="ADR159"/>
      <c r="ADS159"/>
      <c r="ADT159"/>
      <c r="ADU159"/>
      <c r="ADV159"/>
      <c r="ADW159"/>
      <c r="ADX159"/>
      <c r="ADY159"/>
      <c r="ADZ159"/>
      <c r="AEA159"/>
      <c r="AEB159"/>
      <c r="AEC159"/>
      <c r="AED159"/>
      <c r="AEE159"/>
      <c r="AEF159"/>
      <c r="AEG159"/>
      <c r="AEH159"/>
      <c r="AEI159"/>
      <c r="AEJ159"/>
      <c r="AEK159"/>
      <c r="AEL159"/>
      <c r="AEM159"/>
      <c r="AEN159"/>
      <c r="AEO159"/>
      <c r="AEP159"/>
      <c r="AEQ159"/>
      <c r="AER159"/>
      <c r="AES159"/>
      <c r="AET159"/>
      <c r="AEU159"/>
      <c r="AEV159"/>
      <c r="AEW159"/>
      <c r="AEX159"/>
      <c r="AEY159"/>
      <c r="AEZ159"/>
      <c r="AFA159"/>
      <c r="AFB159"/>
      <c r="AFC159"/>
      <c r="AFD159"/>
      <c r="AFE159"/>
      <c r="AFF159"/>
      <c r="AFG159"/>
      <c r="AFH159"/>
      <c r="AFI159"/>
      <c r="AFJ159"/>
      <c r="AFK159"/>
      <c r="AFL159"/>
      <c r="AFM159"/>
      <c r="AFN159"/>
      <c r="AFO159"/>
      <c r="AFP159"/>
      <c r="AFQ159"/>
      <c r="AFR159"/>
      <c r="AFS159"/>
      <c r="AFT159"/>
      <c r="AFU159"/>
      <c r="AFV159"/>
      <c r="AFW159"/>
      <c r="AFX159"/>
      <c r="AFY159"/>
      <c r="AFZ159"/>
      <c r="AGA159"/>
      <c r="AGB159"/>
      <c r="AGC159"/>
      <c r="AGD159"/>
      <c r="AGE159"/>
      <c r="AGF159"/>
      <c r="AGG159"/>
      <c r="AGH159"/>
      <c r="AGI159"/>
      <c r="AGJ159"/>
      <c r="AGK159"/>
      <c r="AGL159"/>
      <c r="AGM159"/>
      <c r="AGN159"/>
      <c r="AGO159"/>
      <c r="AGP159"/>
      <c r="AGQ159"/>
      <c r="AGR159"/>
      <c r="AGS159"/>
      <c r="AGT159"/>
      <c r="AGU159"/>
      <c r="AGV159"/>
      <c r="AGW159"/>
      <c r="AGX159"/>
      <c r="AGY159"/>
      <c r="AGZ159"/>
      <c r="AHA159"/>
      <c r="AHB159"/>
      <c r="AHC159"/>
      <c r="AHD159"/>
      <c r="AHE159"/>
      <c r="AHF159"/>
      <c r="AHG159"/>
      <c r="AHH159"/>
      <c r="AHI159"/>
      <c r="AHJ159"/>
      <c r="AHK159"/>
      <c r="AHL159"/>
      <c r="AHM159"/>
      <c r="AHN159"/>
      <c r="AHO159"/>
      <c r="AHP159"/>
      <c r="AHQ159"/>
      <c r="AHR159"/>
      <c r="AHS159"/>
      <c r="AHT159"/>
      <c r="AHU159"/>
      <c r="AHV159"/>
      <c r="AHW159"/>
      <c r="AHX159"/>
      <c r="AHY159"/>
      <c r="AHZ159"/>
      <c r="AIA159"/>
      <c r="AIB159"/>
      <c r="AIC159"/>
      <c r="AID159"/>
      <c r="AIE159"/>
      <c r="AIF159"/>
      <c r="AIG159"/>
      <c r="AIH159"/>
      <c r="AII159"/>
      <c r="AIJ159"/>
      <c r="AIK159"/>
      <c r="AIL159"/>
      <c r="AIM159"/>
      <c r="AIN159"/>
      <c r="AIO159"/>
      <c r="AIP159"/>
      <c r="AIQ159"/>
      <c r="AIR159"/>
      <c r="AIS159"/>
      <c r="AIT159"/>
      <c r="AIU159"/>
      <c r="AIV159"/>
      <c r="AIW159"/>
      <c r="AIX159"/>
      <c r="AIY159"/>
      <c r="AIZ159"/>
      <c r="AJA159"/>
      <c r="AJB159"/>
      <c r="AJC159"/>
      <c r="AJD159"/>
      <c r="AJE159"/>
      <c r="AJF159"/>
      <c r="AJG159"/>
      <c r="AJH159"/>
      <c r="AJI159"/>
      <c r="AJJ159"/>
      <c r="AJK159"/>
      <c r="AJL159"/>
      <c r="AJM159"/>
      <c r="AJN159"/>
      <c r="AJO159"/>
      <c r="AJP159"/>
      <c r="AJQ159"/>
      <c r="AJR159"/>
      <c r="AJS159"/>
      <c r="AJT159"/>
      <c r="AJU159"/>
      <c r="AJV159"/>
      <c r="AJW159"/>
      <c r="AJX159"/>
      <c r="AJY159"/>
      <c r="AJZ159"/>
      <c r="AKA159"/>
      <c r="AKB159"/>
      <c r="AKC159"/>
      <c r="AKD159"/>
      <c r="AKE159"/>
      <c r="AKF159"/>
      <c r="AKG159"/>
      <c r="AKH159"/>
      <c r="AKI159"/>
      <c r="AKJ159"/>
      <c r="AKK159"/>
      <c r="AKL159"/>
      <c r="AKM159"/>
      <c r="AKN159"/>
      <c r="AKO159"/>
      <c r="AKP159"/>
      <c r="AKQ159"/>
      <c r="AKR159"/>
      <c r="AKS159"/>
      <c r="AKT159"/>
      <c r="AKU159"/>
      <c r="AKV159"/>
      <c r="AKW159"/>
      <c r="AKX159"/>
      <c r="AKY159"/>
      <c r="AKZ159"/>
      <c r="ALA159"/>
      <c r="ALB159"/>
      <c r="ALC159"/>
      <c r="ALD159"/>
      <c r="ALE159"/>
      <c r="ALF159"/>
      <c r="ALG159"/>
      <c r="ALH159"/>
      <c r="ALI159"/>
      <c r="ALJ159"/>
      <c r="ALK159"/>
      <c r="ALL159"/>
      <c r="ALM159"/>
      <c r="ALN159"/>
      <c r="ALO159"/>
      <c r="ALP159"/>
      <c r="ALQ159"/>
      <c r="ALR159"/>
      <c r="ALS159"/>
      <c r="ALT159"/>
      <c r="ALU159"/>
      <c r="ALV159"/>
      <c r="ALW159"/>
      <c r="ALX159"/>
      <c r="ALY159"/>
      <c r="ALZ159"/>
      <c r="AMA159"/>
      <c r="AMB159"/>
      <c r="AMC159"/>
      <c r="AMD159"/>
      <c r="AME159"/>
      <c r="AMF159"/>
      <c r="AMG159"/>
      <c r="AMH159"/>
      <c r="AMI159"/>
      <c r="AMJ159"/>
      <c r="AMK159"/>
      <c r="AML159"/>
      <c r="AMM159"/>
      <c r="AMN159"/>
      <c r="AMO159"/>
      <c r="AMP159"/>
      <c r="AMQ159"/>
      <c r="AMR159"/>
      <c r="AMS159"/>
      <c r="AMT159"/>
      <c r="AMU159"/>
      <c r="AMV159"/>
      <c r="AMW159"/>
      <c r="AMX159"/>
      <c r="AMY159"/>
      <c r="AMZ159"/>
      <c r="ANA159"/>
      <c r="ANB159"/>
      <c r="ANC159"/>
      <c r="AND159"/>
      <c r="ANE159"/>
      <c r="ANF159"/>
      <c r="ANG159"/>
      <c r="ANH159"/>
      <c r="ANI159"/>
      <c r="ANJ159"/>
      <c r="ANK159"/>
      <c r="ANL159"/>
      <c r="ANM159"/>
      <c r="ANN159"/>
      <c r="ANO159"/>
      <c r="ANP159"/>
      <c r="ANQ159"/>
      <c r="ANR159"/>
      <c r="ANS159"/>
      <c r="ANT159"/>
      <c r="ANU159"/>
      <c r="ANV159"/>
      <c r="ANW159"/>
      <c r="ANX159"/>
      <c r="ANY159"/>
      <c r="ANZ159"/>
      <c r="AOA159"/>
      <c r="AOB159"/>
      <c r="AOC159"/>
      <c r="AOD159"/>
      <c r="AOE159"/>
      <c r="AOF159"/>
      <c r="AOG159"/>
      <c r="AOH159"/>
      <c r="AOI159"/>
      <c r="AOJ159"/>
      <c r="AOK159"/>
      <c r="AOL159"/>
      <c r="AOM159"/>
      <c r="AON159"/>
      <c r="AOO159"/>
      <c r="AOP159"/>
      <c r="AOQ159"/>
      <c r="AOR159"/>
      <c r="AOS159"/>
      <c r="AOT159"/>
      <c r="AOU159"/>
      <c r="AOV159"/>
      <c r="AOW159"/>
      <c r="AOX159"/>
      <c r="AOY159"/>
      <c r="AOZ159"/>
      <c r="APA159"/>
      <c r="APB159"/>
      <c r="APC159"/>
      <c r="APD159"/>
      <c r="APE159"/>
      <c r="APF159"/>
      <c r="APG159"/>
      <c r="APH159"/>
      <c r="API159"/>
      <c r="APJ159"/>
      <c r="APK159"/>
      <c r="APL159"/>
      <c r="APM159"/>
      <c r="APN159"/>
      <c r="APO159"/>
      <c r="APP159"/>
      <c r="APQ159"/>
      <c r="APR159"/>
      <c r="APS159"/>
      <c r="APT159"/>
      <c r="APU159"/>
      <c r="APV159"/>
      <c r="APW159"/>
      <c r="APX159"/>
      <c r="APY159"/>
      <c r="APZ159"/>
      <c r="AQA159"/>
      <c r="AQB159"/>
      <c r="AQC159"/>
      <c r="AQD159"/>
      <c r="AQE159"/>
      <c r="AQF159"/>
      <c r="AQG159"/>
      <c r="AQH159"/>
      <c r="AQI159"/>
      <c r="AQJ159"/>
      <c r="AQK159"/>
      <c r="AQL159"/>
      <c r="AQM159"/>
      <c r="AQN159"/>
      <c r="AQO159"/>
      <c r="AQP159"/>
      <c r="AQQ159"/>
      <c r="AQR159"/>
      <c r="AQS159"/>
      <c r="AQT159"/>
      <c r="AQU159"/>
      <c r="AQV159"/>
      <c r="AQW159"/>
      <c r="AQX159"/>
      <c r="AQY159"/>
      <c r="AQZ159"/>
      <c r="ARA159"/>
      <c r="ARB159"/>
      <c r="ARC159"/>
      <c r="ARD159"/>
      <c r="ARE159"/>
      <c r="ARF159"/>
      <c r="ARG159"/>
      <c r="ARH159"/>
      <c r="ARI159"/>
      <c r="ARJ159"/>
      <c r="ARK159"/>
      <c r="ARL159"/>
      <c r="ARM159"/>
      <c r="ARN159"/>
      <c r="ARO159"/>
      <c r="ARP159"/>
      <c r="ARQ159"/>
      <c r="ARR159"/>
      <c r="ARS159"/>
      <c r="ART159"/>
      <c r="ARU159"/>
      <c r="ARV159"/>
      <c r="ARW159"/>
      <c r="ARX159"/>
      <c r="ARY159"/>
      <c r="ARZ159"/>
      <c r="ASA159"/>
      <c r="ASB159"/>
      <c r="ASC159"/>
      <c r="ASD159"/>
      <c r="ASE159"/>
      <c r="ASF159"/>
      <c r="ASG159"/>
      <c r="ASH159"/>
      <c r="ASI159"/>
      <c r="ASJ159"/>
      <c r="ASK159"/>
      <c r="ASL159"/>
      <c r="ASM159"/>
      <c r="ASN159"/>
      <c r="ASO159"/>
      <c r="ASP159"/>
      <c r="ASQ159"/>
      <c r="ASR159"/>
      <c r="ASS159"/>
      <c r="AST159"/>
      <c r="ASU159"/>
      <c r="ASV159"/>
      <c r="ASW159"/>
      <c r="ASX159"/>
      <c r="ASY159"/>
      <c r="ASZ159"/>
      <c r="ATA159"/>
      <c r="ATB159"/>
      <c r="ATC159"/>
      <c r="ATD159"/>
      <c r="ATE159"/>
      <c r="ATF159"/>
      <c r="ATG159"/>
      <c r="ATH159"/>
      <c r="ATI159"/>
      <c r="ATJ159"/>
      <c r="ATK159"/>
      <c r="ATL159"/>
      <c r="ATM159"/>
      <c r="ATN159"/>
      <c r="ATO159"/>
      <c r="ATP159"/>
      <c r="ATQ159"/>
      <c r="ATR159"/>
      <c r="ATS159"/>
      <c r="ATT159"/>
      <c r="ATU159"/>
      <c r="ATV159"/>
      <c r="ATW159"/>
      <c r="ATX159"/>
      <c r="ATY159"/>
      <c r="ATZ159"/>
      <c r="AUA159"/>
      <c r="AUB159"/>
      <c r="AUC159"/>
      <c r="AUD159"/>
      <c r="AUE159"/>
      <c r="AUF159"/>
      <c r="AUG159"/>
      <c r="AUH159"/>
      <c r="AUI159"/>
      <c r="AUJ159"/>
      <c r="AUK159"/>
      <c r="AUL159"/>
      <c r="AUM159"/>
      <c r="AUN159"/>
      <c r="AUO159"/>
      <c r="AUP159"/>
      <c r="AUQ159"/>
      <c r="AUR159"/>
      <c r="AUS159"/>
      <c r="AUT159"/>
      <c r="AUU159"/>
      <c r="AUV159"/>
      <c r="AUW159"/>
      <c r="AUX159"/>
      <c r="AUY159"/>
      <c r="AUZ159"/>
      <c r="AVA159"/>
      <c r="AVB159"/>
      <c r="AVC159"/>
      <c r="AVD159"/>
      <c r="AVE159"/>
      <c r="AVF159"/>
      <c r="AVG159"/>
      <c r="AVH159"/>
      <c r="AVI159"/>
      <c r="AVJ159"/>
      <c r="AVK159"/>
      <c r="AVL159"/>
      <c r="AVM159"/>
      <c r="AVN159"/>
      <c r="AVO159"/>
      <c r="AVP159"/>
      <c r="AVQ159"/>
      <c r="AVR159"/>
      <c r="AVS159"/>
      <c r="AVT159"/>
      <c r="AVU159"/>
      <c r="AVV159"/>
      <c r="AVW159"/>
      <c r="AVX159"/>
      <c r="AVY159"/>
      <c r="AVZ159"/>
      <c r="AWA159"/>
      <c r="AWB159"/>
      <c r="AWC159"/>
      <c r="AWD159"/>
      <c r="AWE159"/>
      <c r="AWF159"/>
      <c r="AWG159"/>
      <c r="AWH159"/>
      <c r="AWI159"/>
      <c r="AWJ159"/>
      <c r="AWK159"/>
      <c r="AWL159"/>
      <c r="AWM159"/>
      <c r="AWN159"/>
      <c r="AWO159"/>
      <c r="AWP159"/>
      <c r="AWQ159"/>
      <c r="AWR159"/>
      <c r="AWS159"/>
      <c r="AWT159"/>
      <c r="AWU159"/>
      <c r="AWV159"/>
      <c r="AWW159"/>
      <c r="AWX159"/>
      <c r="AWY159"/>
      <c r="AWZ159"/>
      <c r="AXA159"/>
      <c r="AXB159"/>
      <c r="AXC159"/>
      <c r="AXD159"/>
      <c r="AXE159"/>
      <c r="AXF159"/>
      <c r="AXG159"/>
      <c r="AXH159"/>
      <c r="AXI159"/>
      <c r="AXJ159"/>
      <c r="AXK159"/>
      <c r="AXL159"/>
      <c r="AXM159"/>
      <c r="AXN159"/>
      <c r="AXO159"/>
      <c r="AXP159"/>
      <c r="AXQ159"/>
      <c r="AXR159"/>
      <c r="AXS159"/>
      <c r="AXT159"/>
      <c r="AXU159"/>
      <c r="AXV159"/>
      <c r="AXW159"/>
      <c r="AXX159"/>
      <c r="AXY159"/>
      <c r="AXZ159"/>
      <c r="AYA159"/>
      <c r="AYB159"/>
      <c r="AYC159"/>
      <c r="AYD159"/>
      <c r="AYE159"/>
      <c r="AYF159"/>
      <c r="AYG159"/>
      <c r="AYH159"/>
      <c r="AYI159"/>
      <c r="AYJ159"/>
      <c r="AYK159"/>
      <c r="AYL159"/>
      <c r="AYM159"/>
      <c r="AYN159"/>
      <c r="AYO159"/>
      <c r="AYP159"/>
      <c r="AYQ159"/>
      <c r="AYR159"/>
      <c r="AYS159"/>
      <c r="AYT159"/>
      <c r="AYU159"/>
      <c r="AYV159"/>
      <c r="AYW159"/>
      <c r="AYX159"/>
      <c r="AYY159"/>
      <c r="AYZ159"/>
      <c r="AZA159"/>
      <c r="AZB159"/>
      <c r="AZC159"/>
      <c r="AZD159"/>
      <c r="AZE159"/>
      <c r="AZF159"/>
      <c r="AZG159"/>
      <c r="AZH159"/>
      <c r="AZI159"/>
      <c r="AZJ159"/>
      <c r="AZK159"/>
      <c r="AZL159"/>
      <c r="AZM159"/>
      <c r="AZN159"/>
      <c r="AZO159"/>
      <c r="AZP159"/>
      <c r="AZQ159"/>
      <c r="AZR159"/>
      <c r="AZS159"/>
      <c r="AZT159"/>
      <c r="AZU159"/>
      <c r="AZV159"/>
      <c r="AZW159"/>
      <c r="AZX159"/>
      <c r="AZY159"/>
      <c r="AZZ159"/>
      <c r="BAA159"/>
      <c r="BAB159"/>
      <c r="BAC159"/>
      <c r="BAD159"/>
      <c r="BAE159"/>
      <c r="BAF159"/>
      <c r="BAG159"/>
      <c r="BAH159"/>
      <c r="BAI159"/>
      <c r="BAJ159"/>
      <c r="BAK159"/>
      <c r="BAL159"/>
      <c r="BAM159"/>
      <c r="BAN159"/>
      <c r="BAO159"/>
      <c r="BAP159"/>
      <c r="BAQ159"/>
      <c r="BAR159"/>
      <c r="BAS159"/>
      <c r="BAT159"/>
      <c r="BAU159"/>
      <c r="BAV159"/>
      <c r="BAW159"/>
      <c r="BAX159"/>
      <c r="BAY159"/>
      <c r="BAZ159"/>
      <c r="BBA159"/>
      <c r="BBB159"/>
      <c r="BBC159"/>
      <c r="BBD159"/>
      <c r="BBE159"/>
      <c r="BBF159"/>
      <c r="BBG159"/>
      <c r="BBH159"/>
      <c r="BBI159"/>
      <c r="BBJ159"/>
      <c r="BBK159"/>
      <c r="BBL159"/>
      <c r="BBM159"/>
      <c r="BBN159"/>
      <c r="BBO159"/>
      <c r="BBP159"/>
      <c r="BBQ159"/>
      <c r="BBR159"/>
      <c r="BBS159"/>
      <c r="BBT159"/>
      <c r="BBU159"/>
      <c r="BBV159"/>
      <c r="BBW159"/>
      <c r="BBX159"/>
      <c r="BBY159"/>
      <c r="BBZ159"/>
      <c r="BCA159"/>
      <c r="BCB159"/>
      <c r="BCC159"/>
      <c r="BCD159"/>
      <c r="BCE159"/>
      <c r="BCF159"/>
      <c r="BCG159"/>
      <c r="BCH159"/>
      <c r="BCI159"/>
      <c r="BCJ159"/>
      <c r="BCK159"/>
      <c r="BCL159"/>
      <c r="BCM159"/>
      <c r="BCN159"/>
      <c r="BCO159"/>
      <c r="BCP159"/>
      <c r="BCQ159"/>
      <c r="BCR159"/>
      <c r="BCS159"/>
      <c r="BCT159"/>
      <c r="BCU159"/>
      <c r="BCV159"/>
      <c r="BCW159"/>
      <c r="BCX159"/>
      <c r="BCY159"/>
      <c r="BCZ159"/>
      <c r="BDA159"/>
      <c r="BDB159"/>
      <c r="BDC159"/>
      <c r="BDD159"/>
      <c r="BDE159"/>
      <c r="BDF159"/>
      <c r="BDG159"/>
      <c r="BDH159"/>
      <c r="BDI159"/>
      <c r="BDJ159"/>
      <c r="BDK159"/>
      <c r="BDL159"/>
      <c r="BDM159"/>
      <c r="BDN159"/>
      <c r="BDO159"/>
      <c r="BDP159"/>
      <c r="BDQ159"/>
      <c r="BDR159"/>
      <c r="BDS159"/>
      <c r="BDT159"/>
      <c r="BDU159"/>
      <c r="BDV159"/>
      <c r="BDW159"/>
      <c r="BDX159"/>
      <c r="BDY159"/>
      <c r="BDZ159"/>
      <c r="BEA159"/>
      <c r="BEB159"/>
      <c r="BEC159"/>
      <c r="BED159"/>
      <c r="BEE159"/>
      <c r="BEF159"/>
      <c r="BEG159"/>
      <c r="BEH159"/>
      <c r="BEI159"/>
      <c r="BEJ159"/>
      <c r="BEK159"/>
      <c r="BEL159"/>
      <c r="BEM159"/>
      <c r="BEN159"/>
      <c r="BEO159"/>
      <c r="BEP159"/>
      <c r="BEQ159"/>
      <c r="BER159"/>
      <c r="BES159"/>
      <c r="BET159"/>
      <c r="BEU159"/>
      <c r="BEV159"/>
      <c r="BEW159"/>
      <c r="BEX159"/>
      <c r="BEY159"/>
      <c r="BEZ159"/>
      <c r="BFA159"/>
      <c r="BFB159"/>
      <c r="BFC159"/>
      <c r="BFD159"/>
      <c r="BFE159"/>
      <c r="BFF159"/>
      <c r="BFG159"/>
      <c r="BFH159"/>
      <c r="BFI159"/>
      <c r="BFJ159"/>
      <c r="BFK159"/>
      <c r="BFL159"/>
      <c r="BFM159"/>
      <c r="BFN159"/>
      <c r="BFO159"/>
      <c r="BFP159"/>
      <c r="BFQ159"/>
      <c r="BFR159"/>
      <c r="BFS159"/>
      <c r="BFT159"/>
      <c r="BFU159"/>
      <c r="BFV159"/>
      <c r="BFW159"/>
      <c r="BFX159"/>
      <c r="BFY159"/>
      <c r="BFZ159"/>
      <c r="BGA159"/>
      <c r="BGB159"/>
      <c r="BGC159"/>
      <c r="BGD159"/>
      <c r="BGE159"/>
      <c r="BGF159"/>
      <c r="BGG159"/>
      <c r="BGH159"/>
      <c r="BGI159"/>
      <c r="BGJ159"/>
      <c r="BGK159"/>
      <c r="BGL159"/>
      <c r="BGM159"/>
      <c r="BGN159"/>
      <c r="BGO159"/>
      <c r="BGP159"/>
      <c r="BGQ159"/>
      <c r="BGR159"/>
      <c r="BGS159"/>
      <c r="BGT159"/>
      <c r="BGU159"/>
      <c r="BGV159"/>
      <c r="BGW159"/>
      <c r="BGX159"/>
      <c r="BGY159"/>
      <c r="BGZ159"/>
      <c r="BHA159"/>
      <c r="BHB159"/>
      <c r="BHC159"/>
      <c r="BHD159"/>
      <c r="BHE159"/>
      <c r="BHF159"/>
      <c r="BHG159"/>
      <c r="BHH159"/>
      <c r="BHI159"/>
      <c r="BHJ159"/>
      <c r="BHK159"/>
      <c r="BHL159"/>
      <c r="BHM159"/>
      <c r="BHN159"/>
      <c r="BHO159"/>
      <c r="BHP159"/>
      <c r="BHQ159"/>
      <c r="BHR159"/>
      <c r="BHS159"/>
      <c r="BHT159"/>
      <c r="BHU159"/>
      <c r="BHV159"/>
      <c r="BHW159"/>
      <c r="BHX159"/>
      <c r="BHY159"/>
      <c r="BHZ159"/>
      <c r="BIA159"/>
      <c r="BIB159"/>
      <c r="BIC159"/>
      <c r="BID159"/>
      <c r="BIE159"/>
      <c r="BIF159"/>
      <c r="BIG159"/>
      <c r="BIH159"/>
      <c r="BII159"/>
      <c r="BIJ159"/>
      <c r="BIK159"/>
      <c r="BIL159"/>
      <c r="BIM159"/>
      <c r="BIN159"/>
      <c r="BIO159"/>
      <c r="BIP159"/>
      <c r="BIQ159"/>
      <c r="BIR159"/>
      <c r="BIS159"/>
      <c r="BIT159"/>
      <c r="BIU159"/>
      <c r="BIV159"/>
      <c r="BIW159"/>
      <c r="BIX159"/>
      <c r="BIY159"/>
      <c r="BIZ159"/>
      <c r="BJA159"/>
      <c r="BJB159"/>
      <c r="BJC159"/>
      <c r="BJD159"/>
      <c r="BJE159"/>
      <c r="BJF159"/>
      <c r="BJG159"/>
      <c r="BJH159"/>
      <c r="BJI159"/>
      <c r="BJJ159"/>
      <c r="BJK159"/>
      <c r="BJL159"/>
      <c r="BJM159"/>
      <c r="BJN159"/>
      <c r="BJO159"/>
      <c r="BJP159"/>
      <c r="BJQ159"/>
      <c r="BJR159"/>
      <c r="BJS159"/>
      <c r="BJT159"/>
      <c r="BJU159"/>
      <c r="BJV159"/>
      <c r="BJW159"/>
      <c r="BJX159"/>
      <c r="BJY159"/>
      <c r="BJZ159"/>
      <c r="BKA159"/>
      <c r="BKB159"/>
      <c r="BKC159"/>
      <c r="BKD159"/>
      <c r="BKE159"/>
      <c r="BKF159"/>
      <c r="BKG159"/>
      <c r="BKH159"/>
      <c r="BKI159"/>
      <c r="BKJ159"/>
      <c r="BKK159"/>
      <c r="BKL159"/>
      <c r="BKM159"/>
      <c r="BKN159"/>
      <c r="BKO159"/>
      <c r="BKP159"/>
      <c r="BKQ159"/>
      <c r="BKR159"/>
      <c r="BKS159"/>
      <c r="BKT159"/>
      <c r="BKU159"/>
      <c r="BKV159"/>
      <c r="BKW159"/>
      <c r="BKX159"/>
      <c r="BKY159"/>
      <c r="BKZ159"/>
      <c r="BLA159"/>
      <c r="BLB159"/>
      <c r="BLC159"/>
      <c r="BLD159"/>
      <c r="BLE159"/>
      <c r="BLF159"/>
      <c r="BLG159"/>
      <c r="BLH159"/>
      <c r="BLI159"/>
      <c r="BLJ159"/>
      <c r="BLK159"/>
      <c r="BLL159"/>
      <c r="BLM159"/>
      <c r="BLN159"/>
      <c r="BLO159"/>
      <c r="BLP159"/>
      <c r="BLQ159"/>
      <c r="BLR159"/>
      <c r="BLS159"/>
      <c r="BLT159"/>
      <c r="BLU159"/>
      <c r="BLV159"/>
      <c r="BLW159"/>
      <c r="BLX159"/>
      <c r="BLY159"/>
      <c r="BLZ159"/>
      <c r="BMA159"/>
      <c r="BMB159"/>
      <c r="BMC159"/>
      <c r="BMD159"/>
      <c r="BME159"/>
      <c r="BMF159"/>
      <c r="BMG159"/>
      <c r="BMH159"/>
      <c r="BMI159"/>
      <c r="BMJ159"/>
      <c r="BMK159"/>
      <c r="BML159"/>
      <c r="BMM159"/>
      <c r="BMN159"/>
      <c r="BMO159"/>
      <c r="BMP159"/>
      <c r="BMQ159"/>
      <c r="BMR159"/>
      <c r="BMS159"/>
      <c r="BMT159"/>
      <c r="BMU159"/>
      <c r="BMV159"/>
      <c r="BMW159"/>
      <c r="BMX159"/>
      <c r="BMY159"/>
      <c r="BMZ159"/>
      <c r="BNA159"/>
      <c r="BNB159"/>
      <c r="BNC159"/>
      <c r="BND159"/>
      <c r="BNE159"/>
      <c r="BNF159"/>
      <c r="BNG159"/>
      <c r="BNH159"/>
      <c r="BNI159"/>
      <c r="BNJ159"/>
      <c r="BNK159"/>
      <c r="BNL159"/>
      <c r="BNM159"/>
      <c r="BNN159"/>
      <c r="BNO159"/>
      <c r="BNP159"/>
      <c r="BNQ159"/>
      <c r="BNR159"/>
      <c r="BNS159"/>
      <c r="BNT159"/>
      <c r="BNU159"/>
      <c r="BNV159"/>
      <c r="BNW159"/>
      <c r="BNX159"/>
      <c r="BNY159"/>
      <c r="BNZ159"/>
      <c r="BOA159"/>
      <c r="BOB159"/>
      <c r="BOC159"/>
      <c r="BOD159"/>
      <c r="BOE159"/>
      <c r="BOF159"/>
      <c r="BOG159"/>
      <c r="BOH159"/>
      <c r="BOI159"/>
      <c r="BOJ159"/>
      <c r="BOK159"/>
      <c r="BOL159"/>
      <c r="BOM159"/>
      <c r="BON159"/>
      <c r="BOO159"/>
      <c r="BOP159"/>
      <c r="BOQ159"/>
      <c r="BOR159"/>
      <c r="BOS159"/>
      <c r="BOT159"/>
      <c r="BOU159"/>
      <c r="BOV159"/>
      <c r="BOW159"/>
      <c r="BOX159"/>
      <c r="BOY159"/>
      <c r="BOZ159"/>
      <c r="BPA159"/>
      <c r="BPB159"/>
      <c r="BPC159"/>
      <c r="BPD159"/>
      <c r="BPE159"/>
      <c r="BPF159"/>
      <c r="BPG159"/>
      <c r="BPH159"/>
      <c r="BPI159"/>
      <c r="BPJ159"/>
      <c r="BPK159"/>
      <c r="BPL159"/>
      <c r="BPM159"/>
      <c r="BPN159"/>
      <c r="BPO159"/>
      <c r="BPP159"/>
      <c r="BPQ159"/>
      <c r="BPR159"/>
      <c r="BPS159"/>
      <c r="BPT159"/>
      <c r="BPU159"/>
      <c r="BPV159"/>
      <c r="BPW159"/>
      <c r="BPX159"/>
      <c r="BPY159"/>
      <c r="BPZ159"/>
      <c r="BQA159"/>
      <c r="BQB159"/>
      <c r="BQC159"/>
      <c r="BQD159"/>
      <c r="BQE159"/>
      <c r="BQF159"/>
      <c r="BQG159"/>
      <c r="BQH159"/>
      <c r="BQI159"/>
      <c r="BQJ159"/>
      <c r="BQK159"/>
      <c r="BQL159"/>
      <c r="BQM159"/>
      <c r="BQN159"/>
      <c r="BQO159"/>
      <c r="BQP159"/>
      <c r="BQQ159"/>
      <c r="BQR159"/>
      <c r="BQS159"/>
      <c r="BQT159"/>
      <c r="BQU159"/>
      <c r="BQV159"/>
      <c r="BQW159"/>
      <c r="BQX159"/>
      <c r="BQY159"/>
      <c r="BQZ159"/>
      <c r="BRA159"/>
      <c r="BRB159"/>
      <c r="BRC159"/>
      <c r="BRD159"/>
      <c r="BRE159"/>
      <c r="BRF159"/>
      <c r="BRG159"/>
      <c r="BRH159"/>
      <c r="BRI159"/>
      <c r="BRJ159"/>
      <c r="BRK159"/>
      <c r="BRL159"/>
      <c r="BRM159"/>
      <c r="BRN159"/>
      <c r="BRO159"/>
      <c r="BRP159"/>
      <c r="BRQ159"/>
      <c r="BRR159"/>
      <c r="BRS159"/>
      <c r="BRT159"/>
      <c r="BRU159"/>
      <c r="BRV159"/>
      <c r="BRW159"/>
      <c r="BRX159"/>
      <c r="BRY159"/>
      <c r="BRZ159"/>
      <c r="BSA159"/>
      <c r="BSB159"/>
      <c r="BSC159"/>
      <c r="BSD159"/>
      <c r="BSE159"/>
      <c r="BSF159"/>
      <c r="BSG159"/>
      <c r="BSH159"/>
      <c r="BSI159"/>
      <c r="BSJ159"/>
      <c r="BSK159"/>
      <c r="BSL159"/>
      <c r="BSM159"/>
      <c r="BSN159"/>
      <c r="BSO159"/>
      <c r="BSP159"/>
      <c r="BSQ159"/>
      <c r="BSR159"/>
      <c r="BSS159"/>
      <c r="BST159"/>
      <c r="BSU159"/>
      <c r="BSV159"/>
      <c r="BSW159"/>
      <c r="BSX159"/>
      <c r="BSY159"/>
      <c r="BSZ159"/>
      <c r="BTA159"/>
      <c r="BTB159"/>
      <c r="BTC159"/>
      <c r="BTD159"/>
      <c r="BTE159"/>
      <c r="BTF159"/>
      <c r="BTG159"/>
      <c r="BTH159"/>
      <c r="BTI159"/>
      <c r="BTJ159"/>
      <c r="BTK159"/>
      <c r="BTL159"/>
      <c r="BTM159"/>
      <c r="BTN159"/>
      <c r="BTO159"/>
      <c r="BTP159"/>
      <c r="BTQ159"/>
      <c r="BTR159"/>
      <c r="BTS159"/>
      <c r="BTT159"/>
      <c r="BTU159"/>
      <c r="BTV159"/>
      <c r="BTW159"/>
      <c r="BTX159"/>
      <c r="BTY159"/>
      <c r="BTZ159"/>
      <c r="BUA159"/>
      <c r="BUB159"/>
      <c r="BUC159"/>
      <c r="BUD159"/>
      <c r="BUE159"/>
      <c r="BUF159"/>
      <c r="BUG159"/>
      <c r="BUH159"/>
      <c r="BUI159"/>
      <c r="BUJ159"/>
      <c r="BUK159"/>
      <c r="BUL159"/>
      <c r="BUM159"/>
      <c r="BUN159"/>
      <c r="BUO159"/>
      <c r="BUP159"/>
      <c r="BUQ159"/>
      <c r="BUR159"/>
      <c r="BUS159"/>
      <c r="BUT159"/>
      <c r="BUU159"/>
      <c r="BUV159"/>
      <c r="BUW159"/>
      <c r="BUX159"/>
      <c r="BUY159"/>
      <c r="BUZ159"/>
      <c r="BVA159"/>
      <c r="BVB159"/>
      <c r="BVC159"/>
      <c r="BVD159"/>
      <c r="BVE159"/>
      <c r="BVF159"/>
      <c r="BVG159"/>
      <c r="BVH159"/>
      <c r="BVI159"/>
      <c r="BVJ159"/>
      <c r="BVK159"/>
      <c r="BVL159"/>
      <c r="BVM159"/>
      <c r="BVN159"/>
      <c r="BVO159"/>
      <c r="BVP159"/>
      <c r="BVQ159"/>
      <c r="BVR159"/>
      <c r="BVS159"/>
      <c r="BVT159"/>
      <c r="BVU159"/>
      <c r="BVV159"/>
      <c r="BVW159"/>
      <c r="BVX159"/>
      <c r="BVY159"/>
      <c r="BVZ159"/>
      <c r="BWA159"/>
      <c r="BWB159"/>
      <c r="BWC159"/>
      <c r="BWD159"/>
      <c r="BWE159"/>
      <c r="BWF159"/>
      <c r="BWG159"/>
      <c r="BWH159"/>
      <c r="BWI159"/>
      <c r="BWJ159"/>
      <c r="BWK159"/>
      <c r="BWL159"/>
      <c r="BWM159"/>
      <c r="BWN159"/>
      <c r="BWO159"/>
      <c r="BWP159"/>
      <c r="BWQ159"/>
      <c r="BWR159"/>
      <c r="BWS159"/>
      <c r="BWT159"/>
      <c r="BWU159"/>
      <c r="BWV159"/>
      <c r="BWW159"/>
      <c r="BWX159"/>
      <c r="BWY159"/>
      <c r="BWZ159"/>
      <c r="BXA159"/>
      <c r="BXB159"/>
      <c r="BXC159"/>
      <c r="BXD159"/>
      <c r="BXE159"/>
      <c r="BXF159"/>
      <c r="BXG159"/>
      <c r="BXH159"/>
      <c r="BXI159"/>
      <c r="BXJ159"/>
      <c r="BXK159"/>
      <c r="BXL159"/>
      <c r="BXM159"/>
      <c r="BXN159"/>
      <c r="BXO159"/>
      <c r="BXP159"/>
      <c r="BXQ159"/>
      <c r="BXR159"/>
      <c r="BXS159"/>
      <c r="BXT159"/>
      <c r="BXU159"/>
      <c r="BXV159"/>
      <c r="BXW159"/>
      <c r="BXX159"/>
      <c r="BXY159"/>
      <c r="BXZ159"/>
      <c r="BYA159"/>
      <c r="BYB159"/>
      <c r="BYC159"/>
      <c r="BYD159"/>
      <c r="BYE159"/>
      <c r="BYF159"/>
      <c r="BYG159"/>
      <c r="BYH159"/>
      <c r="BYI159"/>
      <c r="BYJ159"/>
      <c r="BYK159"/>
      <c r="BYL159"/>
      <c r="BYM159"/>
      <c r="BYN159"/>
      <c r="BYO159"/>
      <c r="BYP159"/>
      <c r="BYQ159"/>
      <c r="BYR159"/>
      <c r="BYS159"/>
      <c r="BYT159"/>
      <c r="BYU159"/>
      <c r="BYV159"/>
      <c r="BYW159"/>
      <c r="BYX159"/>
      <c r="BYY159"/>
      <c r="BYZ159"/>
      <c r="BZA159"/>
      <c r="BZB159"/>
      <c r="BZC159"/>
      <c r="BZD159"/>
      <c r="BZE159"/>
      <c r="BZF159"/>
      <c r="BZG159"/>
      <c r="BZH159"/>
      <c r="BZI159"/>
      <c r="BZJ159"/>
      <c r="BZK159"/>
      <c r="BZL159"/>
      <c r="BZM159"/>
      <c r="BZN159"/>
      <c r="BZO159"/>
      <c r="BZP159"/>
      <c r="BZQ159"/>
      <c r="BZR159"/>
      <c r="BZS159"/>
      <c r="BZT159"/>
      <c r="BZU159"/>
      <c r="BZV159"/>
      <c r="BZW159"/>
      <c r="BZX159"/>
      <c r="BZY159"/>
      <c r="BZZ159"/>
      <c r="CAA159"/>
      <c r="CAB159"/>
      <c r="CAC159"/>
      <c r="CAD159"/>
      <c r="CAE159"/>
      <c r="CAF159"/>
      <c r="CAG159"/>
      <c r="CAH159"/>
      <c r="CAI159"/>
      <c r="CAJ159"/>
      <c r="CAK159"/>
      <c r="CAL159"/>
      <c r="CAM159"/>
      <c r="CAN159"/>
      <c r="CAO159"/>
      <c r="CAP159"/>
      <c r="CAQ159"/>
      <c r="CAR159"/>
      <c r="CAS159"/>
      <c r="CAT159"/>
      <c r="CAU159"/>
      <c r="CAV159"/>
      <c r="CAW159"/>
      <c r="CAX159"/>
      <c r="CAY159"/>
      <c r="CAZ159"/>
      <c r="CBA159"/>
      <c r="CBB159"/>
      <c r="CBC159"/>
      <c r="CBD159"/>
      <c r="CBE159"/>
      <c r="CBF159"/>
      <c r="CBG159"/>
      <c r="CBH159"/>
      <c r="CBI159"/>
      <c r="CBJ159"/>
      <c r="CBK159"/>
      <c r="CBL159"/>
      <c r="CBM159"/>
      <c r="CBN159"/>
      <c r="CBO159"/>
      <c r="CBP159"/>
      <c r="CBQ159"/>
      <c r="CBR159"/>
      <c r="CBS159"/>
      <c r="CBT159"/>
      <c r="CBU159"/>
      <c r="CBV159"/>
      <c r="CBW159"/>
      <c r="CBX159"/>
      <c r="CBY159"/>
      <c r="CBZ159"/>
      <c r="CCA159"/>
      <c r="CCB159"/>
      <c r="CCC159"/>
      <c r="CCD159"/>
      <c r="CCE159"/>
      <c r="CCF159"/>
      <c r="CCG159"/>
      <c r="CCH159"/>
      <c r="CCI159"/>
      <c r="CCJ159"/>
      <c r="CCK159"/>
      <c r="CCL159"/>
      <c r="CCM159"/>
      <c r="CCN159"/>
      <c r="CCO159"/>
      <c r="CCP159"/>
      <c r="CCQ159"/>
      <c r="CCR159"/>
      <c r="CCS159"/>
      <c r="CCT159"/>
      <c r="CCU159"/>
      <c r="CCV159"/>
      <c r="CCW159"/>
      <c r="CCX159"/>
      <c r="CCY159"/>
      <c r="CCZ159"/>
      <c r="CDA159"/>
      <c r="CDB159"/>
      <c r="CDC159"/>
      <c r="CDD159"/>
      <c r="CDE159"/>
      <c r="CDF159"/>
      <c r="CDG159"/>
      <c r="CDH159"/>
      <c r="CDI159"/>
      <c r="CDJ159"/>
      <c r="CDK159"/>
      <c r="CDL159"/>
      <c r="CDM159"/>
      <c r="CDN159"/>
      <c r="CDO159"/>
      <c r="CDP159"/>
      <c r="CDQ159"/>
      <c r="CDR159"/>
      <c r="CDS159"/>
      <c r="CDT159"/>
      <c r="CDU159"/>
      <c r="CDV159"/>
      <c r="CDW159"/>
      <c r="CDX159"/>
      <c r="CDY159"/>
      <c r="CDZ159"/>
      <c r="CEA159"/>
      <c r="CEB159"/>
      <c r="CEC159"/>
      <c r="CED159"/>
      <c r="CEE159"/>
      <c r="CEF159"/>
      <c r="CEG159"/>
      <c r="CEH159"/>
      <c r="CEI159"/>
      <c r="CEJ159"/>
      <c r="CEK159"/>
      <c r="CEL159"/>
      <c r="CEM159"/>
      <c r="CEN159"/>
      <c r="CEO159"/>
      <c r="CEP159"/>
      <c r="CEQ159"/>
      <c r="CER159"/>
      <c r="CES159"/>
      <c r="CET159"/>
      <c r="CEU159"/>
      <c r="CEV159"/>
      <c r="CEW159"/>
      <c r="CEX159"/>
      <c r="CEY159"/>
      <c r="CEZ159"/>
      <c r="CFA159"/>
      <c r="CFB159"/>
      <c r="CFC159"/>
      <c r="CFD159"/>
      <c r="CFE159"/>
      <c r="CFF159"/>
      <c r="CFG159"/>
      <c r="CFH159"/>
      <c r="CFI159"/>
      <c r="CFJ159"/>
      <c r="CFK159"/>
      <c r="CFL159"/>
      <c r="CFM159"/>
      <c r="CFN159"/>
      <c r="CFO159"/>
      <c r="CFP159"/>
      <c r="CFQ159"/>
      <c r="CFR159"/>
      <c r="CFS159"/>
      <c r="CFT159"/>
      <c r="CFU159"/>
      <c r="CFV159"/>
      <c r="CFW159"/>
      <c r="CFX159"/>
      <c r="CFY159"/>
      <c r="CFZ159"/>
      <c r="CGA159"/>
      <c r="CGB159"/>
      <c r="CGC159"/>
      <c r="CGD159"/>
      <c r="CGE159"/>
      <c r="CGF159"/>
      <c r="CGG159"/>
      <c r="CGH159"/>
      <c r="CGI159"/>
      <c r="CGJ159"/>
      <c r="CGK159"/>
      <c r="CGL159"/>
      <c r="CGM159"/>
      <c r="CGN159"/>
      <c r="CGO159"/>
      <c r="CGP159"/>
      <c r="CGQ159"/>
      <c r="CGR159"/>
      <c r="CGS159"/>
      <c r="CGT159"/>
      <c r="CGU159"/>
      <c r="CGV159"/>
      <c r="CGW159"/>
      <c r="CGX159"/>
      <c r="CGY159"/>
      <c r="CGZ159"/>
      <c r="CHA159"/>
      <c r="CHB159"/>
      <c r="CHC159"/>
      <c r="CHD159"/>
      <c r="CHE159"/>
      <c r="CHF159"/>
      <c r="CHG159"/>
      <c r="CHH159"/>
      <c r="CHI159"/>
      <c r="CHJ159"/>
      <c r="CHK159"/>
      <c r="CHL159"/>
      <c r="CHM159"/>
      <c r="CHN159"/>
      <c r="CHO159"/>
      <c r="CHP159"/>
      <c r="CHQ159"/>
      <c r="CHR159"/>
      <c r="CHS159"/>
      <c r="CHT159"/>
      <c r="CHU159"/>
      <c r="CHV159"/>
      <c r="CHW159"/>
      <c r="CHX159"/>
      <c r="CHY159"/>
      <c r="CHZ159"/>
      <c r="CIA159"/>
      <c r="CIB159"/>
      <c r="CIC159"/>
      <c r="CID159"/>
      <c r="CIE159"/>
      <c r="CIF159"/>
      <c r="CIG159"/>
      <c r="CIH159"/>
      <c r="CII159"/>
      <c r="CIJ159"/>
      <c r="CIK159"/>
      <c r="CIL159"/>
      <c r="CIM159"/>
      <c r="CIN159"/>
      <c r="CIO159"/>
      <c r="CIP159"/>
      <c r="CIQ159"/>
      <c r="CIR159"/>
      <c r="CIS159"/>
      <c r="CIT159"/>
      <c r="CIU159"/>
      <c r="CIV159"/>
      <c r="CIW159"/>
      <c r="CIX159"/>
      <c r="CIY159"/>
      <c r="CIZ159"/>
      <c r="CJA159"/>
      <c r="CJB159"/>
      <c r="CJC159"/>
      <c r="CJD159"/>
      <c r="CJE159"/>
      <c r="CJF159"/>
      <c r="CJG159"/>
      <c r="CJH159"/>
      <c r="CJI159"/>
      <c r="CJJ159"/>
      <c r="CJK159"/>
      <c r="CJL159"/>
      <c r="CJM159"/>
      <c r="CJN159"/>
      <c r="CJO159"/>
      <c r="CJP159"/>
      <c r="CJQ159"/>
      <c r="CJR159"/>
      <c r="CJS159"/>
      <c r="CJT159"/>
      <c r="CJU159"/>
      <c r="CJV159"/>
      <c r="CJW159"/>
      <c r="CJX159"/>
      <c r="CJY159"/>
      <c r="CJZ159"/>
      <c r="CKA159"/>
      <c r="CKB159"/>
      <c r="CKC159"/>
      <c r="CKD159"/>
      <c r="CKE159"/>
      <c r="CKF159"/>
      <c r="CKG159"/>
      <c r="CKH159"/>
      <c r="CKI159"/>
      <c r="CKJ159"/>
      <c r="CKK159"/>
      <c r="CKL159"/>
      <c r="CKM159"/>
      <c r="CKN159"/>
      <c r="CKO159"/>
      <c r="CKP159"/>
      <c r="CKQ159"/>
      <c r="CKR159"/>
      <c r="CKS159"/>
      <c r="CKT159"/>
      <c r="CKU159"/>
      <c r="CKV159"/>
      <c r="CKW159"/>
      <c r="CKX159"/>
      <c r="CKY159"/>
      <c r="CKZ159"/>
      <c r="CLA159"/>
      <c r="CLB159"/>
      <c r="CLC159"/>
      <c r="CLD159"/>
      <c r="CLE159"/>
      <c r="CLF159"/>
      <c r="CLG159"/>
      <c r="CLH159"/>
      <c r="CLI159"/>
      <c r="CLJ159"/>
      <c r="CLK159"/>
      <c r="CLL159"/>
      <c r="CLM159"/>
      <c r="CLN159"/>
      <c r="CLO159"/>
      <c r="CLP159"/>
      <c r="CLQ159"/>
      <c r="CLR159"/>
      <c r="CLS159"/>
      <c r="CLT159"/>
      <c r="CLU159"/>
      <c r="CLV159"/>
      <c r="CLW159"/>
      <c r="CLX159"/>
      <c r="CLY159"/>
      <c r="CLZ159"/>
      <c r="CMA159"/>
      <c r="CMB159"/>
      <c r="CMC159"/>
      <c r="CMD159"/>
      <c r="CME159"/>
      <c r="CMF159"/>
      <c r="CMG159"/>
      <c r="CMH159"/>
      <c r="CMI159"/>
      <c r="CMJ159"/>
      <c r="CMK159"/>
      <c r="CML159"/>
      <c r="CMM159"/>
      <c r="CMN159"/>
      <c r="CMO159"/>
      <c r="CMP159"/>
      <c r="CMQ159"/>
      <c r="CMR159"/>
      <c r="CMS159"/>
      <c r="CMT159"/>
      <c r="CMU159"/>
      <c r="CMV159"/>
      <c r="CMW159"/>
      <c r="CMX159"/>
      <c r="CMY159"/>
      <c r="CMZ159"/>
      <c r="CNA159"/>
      <c r="CNB159"/>
      <c r="CNC159"/>
      <c r="CND159"/>
      <c r="CNE159"/>
      <c r="CNF159"/>
      <c r="CNG159"/>
      <c r="CNH159"/>
      <c r="CNI159"/>
      <c r="CNJ159"/>
      <c r="CNK159"/>
      <c r="CNL159"/>
      <c r="CNM159"/>
      <c r="CNN159"/>
      <c r="CNO159"/>
      <c r="CNP159"/>
      <c r="CNQ159"/>
      <c r="CNR159"/>
      <c r="CNS159"/>
      <c r="CNT159"/>
      <c r="CNU159"/>
      <c r="CNV159"/>
      <c r="CNW159"/>
      <c r="CNX159"/>
      <c r="CNY159"/>
      <c r="CNZ159"/>
      <c r="COA159"/>
      <c r="COB159"/>
      <c r="COC159"/>
      <c r="COD159"/>
      <c r="COE159"/>
      <c r="COF159"/>
      <c r="COG159"/>
      <c r="COH159"/>
      <c r="COI159"/>
      <c r="COJ159"/>
      <c r="COK159"/>
      <c r="COL159"/>
      <c r="COM159"/>
      <c r="CON159"/>
      <c r="COO159"/>
      <c r="COP159"/>
      <c r="COQ159"/>
      <c r="COR159"/>
      <c r="COS159"/>
      <c r="COT159"/>
      <c r="COU159"/>
      <c r="COV159"/>
      <c r="COW159"/>
      <c r="COX159"/>
      <c r="COY159"/>
      <c r="COZ159"/>
      <c r="CPA159"/>
      <c r="CPB159"/>
      <c r="CPC159"/>
      <c r="CPD159"/>
      <c r="CPE159"/>
      <c r="CPF159"/>
      <c r="CPG159"/>
      <c r="CPH159"/>
      <c r="CPI159"/>
      <c r="CPJ159"/>
      <c r="CPK159"/>
      <c r="CPL159"/>
      <c r="CPM159"/>
      <c r="CPN159"/>
      <c r="CPO159"/>
      <c r="CPP159"/>
      <c r="CPQ159"/>
      <c r="CPR159"/>
      <c r="CPS159"/>
      <c r="CPT159"/>
      <c r="CPU159"/>
      <c r="CPV159"/>
      <c r="CPW159"/>
      <c r="CPX159"/>
      <c r="CPY159"/>
      <c r="CPZ159"/>
      <c r="CQA159"/>
      <c r="CQB159"/>
      <c r="CQC159"/>
      <c r="CQD159"/>
      <c r="CQE159"/>
      <c r="CQF159"/>
      <c r="CQG159"/>
      <c r="CQH159"/>
      <c r="CQI159"/>
      <c r="CQJ159"/>
      <c r="CQK159"/>
      <c r="CQL159"/>
      <c r="CQM159"/>
      <c r="CQN159"/>
      <c r="CQO159"/>
      <c r="CQP159"/>
      <c r="CQQ159"/>
      <c r="CQR159"/>
      <c r="CQS159"/>
      <c r="CQT159"/>
      <c r="CQU159"/>
      <c r="CQV159"/>
      <c r="CQW159"/>
      <c r="CQX159"/>
      <c r="CQY159"/>
      <c r="CQZ159"/>
      <c r="CRA159"/>
      <c r="CRB159"/>
      <c r="CRC159"/>
      <c r="CRD159"/>
      <c r="CRE159"/>
      <c r="CRF159"/>
      <c r="CRG159"/>
      <c r="CRH159"/>
      <c r="CRI159"/>
      <c r="CRJ159"/>
      <c r="CRK159"/>
      <c r="CRL159"/>
      <c r="CRM159"/>
      <c r="CRN159"/>
      <c r="CRO159"/>
      <c r="CRP159"/>
      <c r="CRQ159"/>
      <c r="CRR159"/>
      <c r="CRS159"/>
      <c r="CRT159"/>
      <c r="CRU159"/>
      <c r="CRV159"/>
      <c r="CRW159"/>
      <c r="CRX159"/>
      <c r="CRY159"/>
      <c r="CRZ159"/>
      <c r="CSA159"/>
      <c r="CSB159"/>
      <c r="CSC159"/>
      <c r="CSD159"/>
      <c r="CSE159"/>
      <c r="CSF159"/>
      <c r="CSG159"/>
      <c r="CSH159"/>
      <c r="CSI159"/>
      <c r="CSJ159"/>
      <c r="CSK159"/>
      <c r="CSL159"/>
      <c r="CSM159"/>
      <c r="CSN159"/>
      <c r="CSO159"/>
      <c r="CSP159"/>
      <c r="CSQ159"/>
      <c r="CSR159"/>
      <c r="CSS159"/>
      <c r="CST159"/>
      <c r="CSU159"/>
      <c r="CSV159"/>
      <c r="CSW159"/>
      <c r="CSX159"/>
      <c r="CSY159"/>
      <c r="CSZ159"/>
      <c r="CTA159"/>
      <c r="CTB159"/>
      <c r="CTC159"/>
      <c r="CTD159"/>
      <c r="CTE159"/>
      <c r="CTF159"/>
      <c r="CTG159"/>
      <c r="CTH159"/>
      <c r="CTI159"/>
      <c r="CTJ159"/>
      <c r="CTK159"/>
      <c r="CTL159"/>
      <c r="CTM159"/>
      <c r="CTN159"/>
      <c r="CTO159"/>
      <c r="CTP159"/>
      <c r="CTQ159"/>
      <c r="CTR159"/>
      <c r="CTS159"/>
      <c r="CTT159"/>
      <c r="CTU159"/>
      <c r="CTV159"/>
      <c r="CTW159"/>
      <c r="CTX159"/>
      <c r="CTY159"/>
      <c r="CTZ159"/>
      <c r="CUA159"/>
      <c r="CUB159"/>
      <c r="CUC159"/>
      <c r="CUD159"/>
      <c r="CUE159"/>
      <c r="CUF159"/>
      <c r="CUG159"/>
      <c r="CUH159"/>
      <c r="CUI159"/>
      <c r="CUJ159"/>
      <c r="CUK159"/>
      <c r="CUL159"/>
      <c r="CUM159"/>
      <c r="CUN159"/>
      <c r="CUO159"/>
      <c r="CUP159"/>
      <c r="CUQ159"/>
      <c r="CUR159"/>
      <c r="CUS159"/>
      <c r="CUT159"/>
      <c r="CUU159"/>
      <c r="CUV159"/>
      <c r="CUW159"/>
      <c r="CUX159"/>
      <c r="CUY159"/>
      <c r="CUZ159"/>
      <c r="CVA159"/>
      <c r="CVB159"/>
      <c r="CVC159"/>
      <c r="CVD159"/>
      <c r="CVE159"/>
      <c r="CVF159"/>
      <c r="CVG159"/>
      <c r="CVH159"/>
      <c r="CVI159"/>
      <c r="CVJ159"/>
      <c r="CVK159"/>
      <c r="CVL159"/>
      <c r="CVM159"/>
      <c r="CVN159"/>
      <c r="CVO159"/>
      <c r="CVP159"/>
      <c r="CVQ159"/>
      <c r="CVR159"/>
      <c r="CVS159"/>
      <c r="CVT159"/>
      <c r="CVU159"/>
      <c r="CVV159"/>
      <c r="CVW159"/>
      <c r="CVX159"/>
      <c r="CVY159"/>
      <c r="CVZ159"/>
      <c r="CWA159"/>
      <c r="CWB159"/>
      <c r="CWC159"/>
      <c r="CWD159"/>
      <c r="CWE159"/>
      <c r="CWF159"/>
      <c r="CWG159"/>
      <c r="CWH159"/>
      <c r="CWI159"/>
      <c r="CWJ159"/>
      <c r="CWK159"/>
      <c r="CWL159"/>
      <c r="CWM159"/>
      <c r="CWN159"/>
      <c r="CWO159"/>
      <c r="CWP159"/>
      <c r="CWQ159"/>
      <c r="CWR159"/>
      <c r="CWS159"/>
      <c r="CWT159"/>
      <c r="CWU159"/>
      <c r="CWV159"/>
      <c r="CWW159"/>
      <c r="CWX159"/>
      <c r="CWY159"/>
      <c r="CWZ159"/>
      <c r="CXA159"/>
      <c r="CXB159"/>
      <c r="CXC159"/>
      <c r="CXD159"/>
      <c r="CXE159"/>
      <c r="CXF159"/>
      <c r="CXG159"/>
      <c r="CXH159"/>
      <c r="CXI159"/>
      <c r="CXJ159"/>
      <c r="CXK159"/>
      <c r="CXL159"/>
      <c r="CXM159"/>
      <c r="CXN159"/>
      <c r="CXO159"/>
      <c r="CXP159"/>
      <c r="CXQ159"/>
      <c r="CXR159"/>
      <c r="CXS159"/>
      <c r="CXT159"/>
      <c r="CXU159"/>
      <c r="CXV159"/>
      <c r="CXW159"/>
      <c r="CXX159"/>
      <c r="CXY159"/>
      <c r="CXZ159"/>
      <c r="CYA159"/>
      <c r="CYB159"/>
      <c r="CYC159"/>
      <c r="CYD159"/>
      <c r="CYE159"/>
      <c r="CYF159"/>
      <c r="CYG159"/>
      <c r="CYH159"/>
      <c r="CYI159"/>
      <c r="CYJ159"/>
      <c r="CYK159"/>
      <c r="CYL159"/>
      <c r="CYM159"/>
      <c r="CYN159"/>
      <c r="CYO159"/>
      <c r="CYP159"/>
      <c r="CYQ159"/>
      <c r="CYR159"/>
      <c r="CYS159"/>
      <c r="CYT159"/>
      <c r="CYU159"/>
      <c r="CYV159"/>
      <c r="CYW159"/>
      <c r="CYX159"/>
      <c r="CYY159"/>
      <c r="CYZ159"/>
      <c r="CZA159"/>
      <c r="CZB159"/>
      <c r="CZC159"/>
      <c r="CZD159"/>
      <c r="CZE159"/>
      <c r="CZF159"/>
      <c r="CZG159"/>
      <c r="CZH159"/>
      <c r="CZI159"/>
      <c r="CZJ159"/>
      <c r="CZK159"/>
      <c r="CZL159"/>
      <c r="CZM159"/>
      <c r="CZN159"/>
      <c r="CZO159"/>
      <c r="CZP159"/>
      <c r="CZQ159"/>
      <c r="CZR159"/>
      <c r="CZS159"/>
      <c r="CZT159"/>
      <c r="CZU159"/>
      <c r="CZV159"/>
      <c r="CZW159"/>
      <c r="CZX159"/>
      <c r="CZY159"/>
      <c r="CZZ159"/>
      <c r="DAA159"/>
      <c r="DAB159"/>
      <c r="DAC159"/>
      <c r="DAD159"/>
      <c r="DAE159"/>
      <c r="DAF159"/>
      <c r="DAG159"/>
      <c r="DAH159"/>
      <c r="DAI159"/>
      <c r="DAJ159"/>
      <c r="DAK159"/>
      <c r="DAL159"/>
      <c r="DAM159"/>
      <c r="DAN159"/>
      <c r="DAO159"/>
      <c r="DAP159"/>
      <c r="DAQ159"/>
      <c r="DAR159"/>
      <c r="DAS159"/>
      <c r="DAT159"/>
      <c r="DAU159"/>
      <c r="DAV159"/>
      <c r="DAW159"/>
      <c r="DAX159"/>
      <c r="DAY159"/>
      <c r="DAZ159"/>
      <c r="DBA159"/>
      <c r="DBB159"/>
      <c r="DBC159"/>
      <c r="DBD159"/>
      <c r="DBE159"/>
      <c r="DBF159"/>
      <c r="DBG159"/>
      <c r="DBH159"/>
      <c r="DBI159"/>
      <c r="DBJ159"/>
      <c r="DBK159"/>
      <c r="DBL159"/>
      <c r="DBM159"/>
      <c r="DBN159"/>
      <c r="DBO159"/>
      <c r="DBP159"/>
      <c r="DBQ159"/>
      <c r="DBR159"/>
      <c r="DBS159"/>
      <c r="DBT159"/>
      <c r="DBU159"/>
      <c r="DBV159"/>
      <c r="DBW159"/>
      <c r="DBX159"/>
      <c r="DBY159"/>
      <c r="DBZ159"/>
      <c r="DCA159"/>
      <c r="DCB159"/>
      <c r="DCC159"/>
      <c r="DCD159"/>
      <c r="DCE159"/>
      <c r="DCF159"/>
      <c r="DCG159"/>
      <c r="DCH159"/>
      <c r="DCI159"/>
      <c r="DCJ159"/>
      <c r="DCK159"/>
      <c r="DCL159"/>
      <c r="DCM159"/>
      <c r="DCN159"/>
      <c r="DCO159"/>
      <c r="DCP159"/>
      <c r="DCQ159"/>
      <c r="DCR159"/>
      <c r="DCS159"/>
      <c r="DCT159"/>
      <c r="DCU159"/>
      <c r="DCV159"/>
      <c r="DCW159"/>
      <c r="DCX159"/>
      <c r="DCY159"/>
      <c r="DCZ159"/>
      <c r="DDA159"/>
      <c r="DDB159"/>
      <c r="DDC159"/>
      <c r="DDD159"/>
      <c r="DDE159"/>
      <c r="DDF159"/>
      <c r="DDG159"/>
      <c r="DDH159"/>
      <c r="DDI159"/>
      <c r="DDJ159"/>
      <c r="DDK159"/>
      <c r="DDL159"/>
      <c r="DDM159"/>
      <c r="DDN159"/>
      <c r="DDO159"/>
      <c r="DDP159"/>
      <c r="DDQ159"/>
      <c r="DDR159"/>
      <c r="DDS159"/>
      <c r="DDT159"/>
      <c r="DDU159"/>
      <c r="DDV159"/>
      <c r="DDW159"/>
      <c r="DDX159"/>
      <c r="DDY159"/>
      <c r="DDZ159"/>
      <c r="DEA159"/>
      <c r="DEB159"/>
      <c r="DEC159"/>
      <c r="DED159"/>
      <c r="DEE159"/>
      <c r="DEF159"/>
      <c r="DEG159"/>
      <c r="DEH159"/>
      <c r="DEI159"/>
      <c r="DEJ159"/>
      <c r="DEK159"/>
      <c r="DEL159"/>
      <c r="DEM159"/>
      <c r="DEN159"/>
      <c r="DEO159"/>
      <c r="DEP159"/>
      <c r="DEQ159"/>
      <c r="DER159"/>
      <c r="DES159"/>
      <c r="DET159"/>
      <c r="DEU159"/>
      <c r="DEV159"/>
      <c r="DEW159"/>
      <c r="DEX159"/>
      <c r="DEY159"/>
      <c r="DEZ159"/>
      <c r="DFA159"/>
      <c r="DFB159"/>
      <c r="DFC159"/>
      <c r="DFD159"/>
      <c r="DFE159"/>
      <c r="DFF159"/>
      <c r="DFG159"/>
      <c r="DFH159"/>
      <c r="DFI159"/>
      <c r="DFJ159"/>
      <c r="DFK159"/>
      <c r="DFL159"/>
      <c r="DFM159"/>
      <c r="DFN159"/>
      <c r="DFO159"/>
      <c r="DFP159"/>
      <c r="DFQ159"/>
      <c r="DFR159"/>
      <c r="DFS159"/>
      <c r="DFT159"/>
      <c r="DFU159"/>
      <c r="DFV159"/>
      <c r="DFW159"/>
      <c r="DFX159"/>
      <c r="DFY159"/>
      <c r="DFZ159"/>
      <c r="DGA159"/>
      <c r="DGB159"/>
      <c r="DGC159"/>
      <c r="DGD159"/>
      <c r="DGE159"/>
      <c r="DGF159"/>
      <c r="DGG159"/>
      <c r="DGH159"/>
      <c r="DGI159"/>
      <c r="DGJ159"/>
      <c r="DGK159"/>
      <c r="DGL159"/>
      <c r="DGM159"/>
      <c r="DGN159"/>
      <c r="DGO159"/>
      <c r="DGP159"/>
      <c r="DGQ159"/>
      <c r="DGR159"/>
      <c r="DGS159"/>
      <c r="DGT159"/>
      <c r="DGU159"/>
      <c r="DGV159"/>
      <c r="DGW159"/>
      <c r="DGX159"/>
      <c r="DGY159"/>
      <c r="DGZ159"/>
      <c r="DHA159"/>
      <c r="DHB159"/>
      <c r="DHC159"/>
      <c r="DHD159"/>
      <c r="DHE159"/>
      <c r="DHF159"/>
      <c r="DHG159"/>
      <c r="DHH159"/>
      <c r="DHI159"/>
      <c r="DHJ159"/>
      <c r="DHK159"/>
      <c r="DHL159"/>
      <c r="DHM159"/>
      <c r="DHN159"/>
      <c r="DHO159"/>
      <c r="DHP159"/>
      <c r="DHQ159"/>
      <c r="DHR159"/>
      <c r="DHS159"/>
      <c r="DHT159"/>
      <c r="DHU159"/>
      <c r="DHV159"/>
      <c r="DHW159"/>
      <c r="DHX159"/>
      <c r="DHY159"/>
      <c r="DHZ159"/>
      <c r="DIA159"/>
      <c r="DIB159"/>
      <c r="DIC159"/>
      <c r="DID159"/>
      <c r="DIE159"/>
      <c r="DIF159"/>
      <c r="DIG159"/>
      <c r="DIH159"/>
      <c r="DII159"/>
      <c r="DIJ159"/>
      <c r="DIK159"/>
      <c r="DIL159"/>
      <c r="DIM159"/>
      <c r="DIN159"/>
      <c r="DIO159"/>
      <c r="DIP159"/>
      <c r="DIQ159"/>
      <c r="DIR159"/>
      <c r="DIS159"/>
      <c r="DIT159"/>
      <c r="DIU159"/>
      <c r="DIV159"/>
      <c r="DIW159"/>
      <c r="DIX159"/>
      <c r="DIY159"/>
      <c r="DIZ159"/>
      <c r="DJA159"/>
      <c r="DJB159"/>
      <c r="DJC159"/>
      <c r="DJD159"/>
      <c r="DJE159"/>
      <c r="DJF159"/>
      <c r="DJG159"/>
      <c r="DJH159"/>
      <c r="DJI159"/>
      <c r="DJJ159"/>
      <c r="DJK159"/>
      <c r="DJL159"/>
      <c r="DJM159"/>
      <c r="DJN159"/>
      <c r="DJO159"/>
      <c r="DJP159"/>
      <c r="DJQ159"/>
      <c r="DJR159"/>
      <c r="DJS159"/>
      <c r="DJT159"/>
      <c r="DJU159"/>
      <c r="DJV159"/>
      <c r="DJW159"/>
      <c r="DJX159"/>
      <c r="DJY159"/>
      <c r="DJZ159"/>
      <c r="DKA159"/>
      <c r="DKB159"/>
      <c r="DKC159"/>
      <c r="DKD159"/>
      <c r="DKE159"/>
      <c r="DKF159"/>
      <c r="DKG159"/>
      <c r="DKH159"/>
      <c r="DKI159"/>
      <c r="DKJ159"/>
      <c r="DKK159"/>
      <c r="DKL159"/>
      <c r="DKM159"/>
      <c r="DKN159"/>
      <c r="DKO159"/>
      <c r="DKP159"/>
      <c r="DKQ159"/>
      <c r="DKR159"/>
      <c r="DKS159"/>
      <c r="DKT159"/>
      <c r="DKU159"/>
      <c r="DKV159"/>
      <c r="DKW159"/>
      <c r="DKX159"/>
      <c r="DKY159"/>
      <c r="DKZ159"/>
      <c r="DLA159"/>
      <c r="DLB159"/>
      <c r="DLC159"/>
      <c r="DLD159"/>
      <c r="DLE159"/>
      <c r="DLF159"/>
      <c r="DLG159"/>
      <c r="DLH159"/>
      <c r="DLI159"/>
      <c r="DLJ159"/>
      <c r="DLK159"/>
      <c r="DLL159"/>
      <c r="DLM159"/>
      <c r="DLN159"/>
      <c r="DLO159"/>
      <c r="DLP159"/>
      <c r="DLQ159"/>
      <c r="DLR159"/>
      <c r="DLS159"/>
      <c r="DLT159"/>
      <c r="DLU159"/>
      <c r="DLV159"/>
      <c r="DLW159"/>
      <c r="DLX159"/>
      <c r="DLY159"/>
      <c r="DLZ159"/>
      <c r="DMA159"/>
      <c r="DMB159"/>
      <c r="DMC159"/>
      <c r="DMD159"/>
      <c r="DME159"/>
      <c r="DMF159"/>
      <c r="DMG159"/>
      <c r="DMH159"/>
      <c r="DMI159"/>
      <c r="DMJ159"/>
      <c r="DMK159"/>
      <c r="DML159"/>
      <c r="DMM159"/>
      <c r="DMN159"/>
      <c r="DMO159"/>
      <c r="DMP159"/>
      <c r="DMQ159"/>
      <c r="DMR159"/>
      <c r="DMS159"/>
      <c r="DMT159"/>
      <c r="DMU159"/>
      <c r="DMV159"/>
      <c r="DMW159"/>
      <c r="DMX159"/>
      <c r="DMY159"/>
      <c r="DMZ159"/>
      <c r="DNA159"/>
      <c r="DNB159"/>
      <c r="DNC159"/>
      <c r="DND159"/>
      <c r="DNE159"/>
      <c r="DNF159"/>
      <c r="DNG159"/>
      <c r="DNH159"/>
      <c r="DNI159"/>
      <c r="DNJ159"/>
      <c r="DNK159"/>
      <c r="DNL159"/>
      <c r="DNM159"/>
      <c r="DNN159"/>
      <c r="DNO159"/>
      <c r="DNP159"/>
      <c r="DNQ159"/>
      <c r="DNR159"/>
      <c r="DNS159"/>
      <c r="DNT159"/>
      <c r="DNU159"/>
      <c r="DNV159"/>
      <c r="DNW159"/>
      <c r="DNX159"/>
      <c r="DNY159"/>
      <c r="DNZ159"/>
      <c r="DOA159"/>
      <c r="DOB159"/>
      <c r="DOC159"/>
      <c r="DOD159"/>
      <c r="DOE159"/>
      <c r="DOF159"/>
      <c r="DOG159"/>
      <c r="DOH159"/>
      <c r="DOI159"/>
      <c r="DOJ159"/>
      <c r="DOK159"/>
      <c r="DOL159"/>
      <c r="DOM159"/>
      <c r="DON159"/>
      <c r="DOO159"/>
      <c r="DOP159"/>
      <c r="DOQ159"/>
      <c r="DOR159"/>
      <c r="DOS159"/>
      <c r="DOT159"/>
      <c r="DOU159"/>
      <c r="DOV159"/>
      <c r="DOW159"/>
      <c r="DOX159"/>
      <c r="DOY159"/>
      <c r="DOZ159"/>
      <c r="DPA159"/>
      <c r="DPB159"/>
      <c r="DPC159"/>
      <c r="DPD159"/>
      <c r="DPE159"/>
      <c r="DPF159"/>
      <c r="DPG159"/>
      <c r="DPH159"/>
      <c r="DPI159"/>
      <c r="DPJ159"/>
      <c r="DPK159"/>
      <c r="DPL159"/>
      <c r="DPM159"/>
      <c r="DPN159"/>
      <c r="DPO159"/>
      <c r="DPP159"/>
      <c r="DPQ159"/>
      <c r="DPR159"/>
      <c r="DPS159"/>
      <c r="DPT159"/>
      <c r="DPU159"/>
      <c r="DPV159"/>
      <c r="DPW159"/>
      <c r="DPX159"/>
      <c r="DPY159"/>
      <c r="DPZ159"/>
      <c r="DQA159"/>
      <c r="DQB159"/>
      <c r="DQC159"/>
      <c r="DQD159"/>
      <c r="DQE159"/>
      <c r="DQF159"/>
      <c r="DQG159"/>
      <c r="DQH159"/>
      <c r="DQI159"/>
      <c r="DQJ159"/>
      <c r="DQK159"/>
      <c r="DQL159"/>
      <c r="DQM159"/>
      <c r="DQN159"/>
      <c r="DQO159"/>
      <c r="DQP159"/>
      <c r="DQQ159"/>
      <c r="DQR159"/>
      <c r="DQS159"/>
      <c r="DQT159"/>
      <c r="DQU159"/>
      <c r="DQV159"/>
      <c r="DQW159"/>
      <c r="DQX159"/>
      <c r="DQY159"/>
      <c r="DQZ159"/>
      <c r="DRA159"/>
      <c r="DRB159"/>
      <c r="DRC159"/>
      <c r="DRD159"/>
      <c r="DRE159"/>
      <c r="DRF159"/>
      <c r="DRG159"/>
      <c r="DRH159"/>
      <c r="DRI159"/>
      <c r="DRJ159"/>
      <c r="DRK159"/>
      <c r="DRL159"/>
      <c r="DRM159"/>
      <c r="DRN159"/>
      <c r="DRO159"/>
      <c r="DRP159"/>
      <c r="DRQ159"/>
      <c r="DRR159"/>
      <c r="DRS159"/>
      <c r="DRT159"/>
      <c r="DRU159"/>
      <c r="DRV159"/>
      <c r="DRW159"/>
      <c r="DRX159"/>
      <c r="DRY159"/>
      <c r="DRZ159"/>
      <c r="DSA159"/>
      <c r="DSB159"/>
      <c r="DSC159"/>
      <c r="DSD159"/>
      <c r="DSE159"/>
      <c r="DSF159"/>
      <c r="DSG159"/>
      <c r="DSH159"/>
      <c r="DSI159"/>
      <c r="DSJ159"/>
      <c r="DSK159"/>
      <c r="DSL159"/>
      <c r="DSM159"/>
      <c r="DSN159"/>
      <c r="DSO159"/>
      <c r="DSP159"/>
      <c r="DSQ159"/>
      <c r="DSR159"/>
      <c r="DSS159"/>
      <c r="DST159"/>
      <c r="DSU159"/>
      <c r="DSV159"/>
      <c r="DSW159"/>
      <c r="DSX159"/>
      <c r="DSY159"/>
      <c r="DSZ159"/>
      <c r="DTA159"/>
      <c r="DTB159"/>
      <c r="DTC159"/>
      <c r="DTD159"/>
      <c r="DTE159"/>
      <c r="DTF159"/>
      <c r="DTG159"/>
      <c r="DTH159"/>
      <c r="DTI159"/>
      <c r="DTJ159"/>
      <c r="DTK159"/>
      <c r="DTL159"/>
      <c r="DTM159"/>
      <c r="DTN159"/>
      <c r="DTO159"/>
      <c r="DTP159"/>
      <c r="DTQ159"/>
      <c r="DTR159"/>
      <c r="DTS159"/>
      <c r="DTT159"/>
      <c r="DTU159"/>
      <c r="DTV159"/>
      <c r="DTW159"/>
      <c r="DTX159"/>
      <c r="DTY159"/>
      <c r="DTZ159"/>
      <c r="DUA159"/>
      <c r="DUB159"/>
      <c r="DUC159"/>
      <c r="DUD159"/>
      <c r="DUE159"/>
      <c r="DUF159"/>
      <c r="DUG159"/>
      <c r="DUH159"/>
      <c r="DUI159"/>
      <c r="DUJ159"/>
      <c r="DUK159"/>
      <c r="DUL159"/>
      <c r="DUM159"/>
      <c r="DUN159"/>
      <c r="DUO159"/>
      <c r="DUP159"/>
      <c r="DUQ159"/>
      <c r="DUR159"/>
      <c r="DUS159"/>
      <c r="DUT159"/>
      <c r="DUU159"/>
      <c r="DUV159"/>
      <c r="DUW159"/>
      <c r="DUX159"/>
      <c r="DUY159"/>
      <c r="DUZ159"/>
      <c r="DVA159"/>
      <c r="DVB159"/>
      <c r="DVC159"/>
      <c r="DVD159"/>
      <c r="DVE159"/>
      <c r="DVF159"/>
      <c r="DVG159"/>
      <c r="DVH159"/>
      <c r="DVI159"/>
      <c r="DVJ159"/>
      <c r="DVK159"/>
      <c r="DVL159"/>
      <c r="DVM159"/>
      <c r="DVN159"/>
      <c r="DVO159"/>
      <c r="DVP159"/>
      <c r="DVQ159"/>
      <c r="DVR159"/>
      <c r="DVS159"/>
      <c r="DVT159"/>
      <c r="DVU159"/>
      <c r="DVV159"/>
      <c r="DVW159"/>
      <c r="DVX159"/>
      <c r="DVY159"/>
      <c r="DVZ159"/>
      <c r="DWA159"/>
      <c r="DWB159"/>
      <c r="DWC159"/>
      <c r="DWD159"/>
      <c r="DWE159"/>
      <c r="DWF159"/>
      <c r="DWG159"/>
      <c r="DWH159"/>
      <c r="DWI159"/>
      <c r="DWJ159"/>
      <c r="DWK159"/>
      <c r="DWL159"/>
      <c r="DWM159"/>
      <c r="DWN159"/>
      <c r="DWO159"/>
      <c r="DWP159"/>
      <c r="DWQ159"/>
      <c r="DWR159"/>
      <c r="DWS159"/>
      <c r="DWT159"/>
      <c r="DWU159"/>
      <c r="DWV159"/>
      <c r="DWW159"/>
      <c r="DWX159"/>
      <c r="DWY159"/>
      <c r="DWZ159"/>
      <c r="DXA159"/>
      <c r="DXB159"/>
      <c r="DXC159"/>
      <c r="DXD159"/>
      <c r="DXE159"/>
      <c r="DXF159"/>
      <c r="DXG159"/>
      <c r="DXH159"/>
      <c r="DXI159"/>
      <c r="DXJ159"/>
      <c r="DXK159"/>
      <c r="DXL159"/>
      <c r="DXM159"/>
      <c r="DXN159"/>
      <c r="DXO159"/>
      <c r="DXP159"/>
      <c r="DXQ159"/>
      <c r="DXR159"/>
      <c r="DXS159"/>
      <c r="DXT159"/>
      <c r="DXU159"/>
      <c r="DXV159"/>
      <c r="DXW159"/>
      <c r="DXX159"/>
      <c r="DXY159"/>
      <c r="DXZ159"/>
      <c r="DYA159"/>
      <c r="DYB159"/>
      <c r="DYC159"/>
      <c r="DYD159"/>
      <c r="DYE159"/>
      <c r="DYF159"/>
      <c r="DYG159"/>
      <c r="DYH159"/>
      <c r="DYI159"/>
      <c r="DYJ159"/>
      <c r="DYK159"/>
      <c r="DYL159"/>
      <c r="DYM159"/>
      <c r="DYN159"/>
      <c r="DYO159"/>
      <c r="DYP159"/>
      <c r="DYQ159"/>
      <c r="DYR159"/>
      <c r="DYS159"/>
      <c r="DYT159"/>
      <c r="DYU159"/>
      <c r="DYV159"/>
      <c r="DYW159"/>
      <c r="DYX159"/>
      <c r="DYY159"/>
      <c r="DYZ159"/>
      <c r="DZA159"/>
      <c r="DZB159"/>
      <c r="DZC159"/>
      <c r="DZD159"/>
      <c r="DZE159"/>
      <c r="DZF159"/>
      <c r="DZG159"/>
      <c r="DZH159"/>
      <c r="DZI159"/>
      <c r="DZJ159"/>
      <c r="DZK159"/>
      <c r="DZL159"/>
      <c r="DZM159"/>
      <c r="DZN159"/>
      <c r="DZO159"/>
      <c r="DZP159"/>
      <c r="DZQ159"/>
      <c r="DZR159"/>
      <c r="DZS159"/>
      <c r="DZT159"/>
      <c r="DZU159"/>
      <c r="DZV159"/>
      <c r="DZW159"/>
      <c r="DZX159"/>
      <c r="DZY159"/>
      <c r="DZZ159"/>
      <c r="EAA159"/>
      <c r="EAB159"/>
      <c r="EAC159"/>
      <c r="EAD159"/>
      <c r="EAE159"/>
      <c r="EAF159"/>
      <c r="EAG159"/>
      <c r="EAH159"/>
      <c r="EAI159"/>
      <c r="EAJ159"/>
      <c r="EAK159"/>
      <c r="EAL159"/>
      <c r="EAM159"/>
      <c r="EAN159"/>
      <c r="EAO159"/>
      <c r="EAP159"/>
      <c r="EAQ159"/>
      <c r="EAR159"/>
      <c r="EAS159"/>
      <c r="EAT159"/>
      <c r="EAU159"/>
      <c r="EAV159"/>
      <c r="EAW159"/>
      <c r="EAX159"/>
      <c r="EAY159"/>
      <c r="EAZ159"/>
      <c r="EBA159"/>
      <c r="EBB159"/>
      <c r="EBC159"/>
      <c r="EBD159"/>
      <c r="EBE159"/>
      <c r="EBF159"/>
      <c r="EBG159"/>
      <c r="EBH159"/>
      <c r="EBI159"/>
      <c r="EBJ159"/>
      <c r="EBK159"/>
      <c r="EBL159"/>
      <c r="EBM159"/>
      <c r="EBN159"/>
      <c r="EBO159"/>
      <c r="EBP159"/>
      <c r="EBQ159"/>
      <c r="EBR159"/>
      <c r="EBS159"/>
      <c r="EBT159"/>
      <c r="EBU159"/>
      <c r="EBV159"/>
      <c r="EBW159"/>
      <c r="EBX159"/>
      <c r="EBY159"/>
      <c r="EBZ159"/>
      <c r="ECA159"/>
      <c r="ECB159"/>
      <c r="ECC159"/>
      <c r="ECD159"/>
      <c r="ECE159"/>
      <c r="ECF159"/>
      <c r="ECG159"/>
      <c r="ECH159"/>
      <c r="ECI159"/>
      <c r="ECJ159"/>
      <c r="ECK159"/>
      <c r="ECL159"/>
      <c r="ECM159"/>
      <c r="ECN159"/>
      <c r="ECO159"/>
      <c r="ECP159"/>
      <c r="ECQ159"/>
      <c r="ECR159"/>
      <c r="ECS159"/>
      <c r="ECT159"/>
      <c r="ECU159"/>
      <c r="ECV159"/>
      <c r="ECW159"/>
      <c r="ECX159"/>
      <c r="ECY159"/>
      <c r="ECZ159"/>
      <c r="EDA159"/>
      <c r="EDB159"/>
      <c r="EDC159"/>
      <c r="EDD159"/>
      <c r="EDE159"/>
      <c r="EDF159"/>
      <c r="EDG159"/>
      <c r="EDH159"/>
      <c r="EDI159"/>
      <c r="EDJ159"/>
      <c r="EDK159"/>
      <c r="EDL159"/>
      <c r="EDM159"/>
      <c r="EDN159"/>
      <c r="EDO159"/>
      <c r="EDP159"/>
      <c r="EDQ159"/>
      <c r="EDR159"/>
      <c r="EDS159"/>
      <c r="EDT159"/>
      <c r="EDU159"/>
      <c r="EDV159"/>
      <c r="EDW159"/>
      <c r="EDX159"/>
      <c r="EDY159"/>
      <c r="EDZ159"/>
      <c r="EEA159"/>
      <c r="EEB159"/>
      <c r="EEC159"/>
      <c r="EED159"/>
      <c r="EEE159"/>
      <c r="EEF159"/>
      <c r="EEG159"/>
      <c r="EEH159"/>
      <c r="EEI159"/>
      <c r="EEJ159"/>
      <c r="EEK159"/>
      <c r="EEL159"/>
      <c r="EEM159"/>
      <c r="EEN159"/>
      <c r="EEO159"/>
      <c r="EEP159"/>
      <c r="EEQ159"/>
      <c r="EER159"/>
      <c r="EES159"/>
      <c r="EET159"/>
      <c r="EEU159"/>
      <c r="EEV159"/>
      <c r="EEW159"/>
      <c r="EEX159"/>
      <c r="EEY159"/>
      <c r="EEZ159"/>
      <c r="EFA159"/>
      <c r="EFB159"/>
      <c r="EFC159"/>
      <c r="EFD159"/>
      <c r="EFE159"/>
      <c r="EFF159"/>
      <c r="EFG159"/>
      <c r="EFH159"/>
      <c r="EFI159"/>
      <c r="EFJ159"/>
      <c r="EFK159"/>
      <c r="EFL159"/>
      <c r="EFM159"/>
      <c r="EFN159"/>
      <c r="EFO159"/>
      <c r="EFP159"/>
      <c r="EFQ159"/>
      <c r="EFR159"/>
      <c r="EFS159"/>
      <c r="EFT159"/>
      <c r="EFU159"/>
      <c r="EFV159"/>
      <c r="EFW159"/>
      <c r="EFX159"/>
      <c r="EFY159"/>
      <c r="EFZ159"/>
      <c r="EGA159"/>
      <c r="EGB159"/>
      <c r="EGC159"/>
      <c r="EGD159"/>
      <c r="EGE159"/>
      <c r="EGF159"/>
      <c r="EGG159"/>
      <c r="EGH159"/>
      <c r="EGI159"/>
      <c r="EGJ159"/>
      <c r="EGK159"/>
      <c r="EGL159"/>
      <c r="EGM159"/>
      <c r="EGN159"/>
      <c r="EGO159"/>
      <c r="EGP159"/>
      <c r="EGQ159"/>
      <c r="EGR159"/>
      <c r="EGS159"/>
      <c r="EGT159"/>
      <c r="EGU159"/>
      <c r="EGV159"/>
      <c r="EGW159"/>
      <c r="EGX159"/>
      <c r="EGY159"/>
      <c r="EGZ159"/>
      <c r="EHA159"/>
      <c r="EHB159"/>
      <c r="EHC159"/>
      <c r="EHD159"/>
      <c r="EHE159"/>
      <c r="EHF159"/>
      <c r="EHG159"/>
      <c r="EHH159"/>
      <c r="EHI159"/>
      <c r="EHJ159"/>
      <c r="EHK159"/>
      <c r="EHL159"/>
      <c r="EHM159"/>
      <c r="EHN159"/>
      <c r="EHO159"/>
      <c r="EHP159"/>
      <c r="EHQ159"/>
      <c r="EHR159"/>
      <c r="EHS159"/>
      <c r="EHT159"/>
      <c r="EHU159"/>
      <c r="EHV159"/>
      <c r="EHW159"/>
      <c r="EHX159"/>
      <c r="EHY159"/>
      <c r="EHZ159"/>
      <c r="EIA159"/>
      <c r="EIB159"/>
      <c r="EIC159"/>
      <c r="EID159"/>
      <c r="EIE159"/>
      <c r="EIF159"/>
      <c r="EIG159"/>
      <c r="EIH159"/>
      <c r="EII159"/>
      <c r="EIJ159"/>
      <c r="EIK159"/>
      <c r="EIL159"/>
      <c r="EIM159"/>
      <c r="EIN159"/>
      <c r="EIO159"/>
      <c r="EIP159"/>
      <c r="EIQ159"/>
      <c r="EIR159"/>
      <c r="EIS159"/>
      <c r="EIT159"/>
      <c r="EIU159"/>
      <c r="EIV159"/>
      <c r="EIW159"/>
      <c r="EIX159"/>
      <c r="EIY159"/>
      <c r="EIZ159"/>
      <c r="EJA159"/>
      <c r="EJB159"/>
      <c r="EJC159"/>
      <c r="EJD159"/>
      <c r="EJE159"/>
      <c r="EJF159"/>
      <c r="EJG159"/>
      <c r="EJH159"/>
      <c r="EJI159"/>
      <c r="EJJ159"/>
      <c r="EJK159"/>
      <c r="EJL159"/>
      <c r="EJM159"/>
      <c r="EJN159"/>
      <c r="EJO159"/>
      <c r="EJP159"/>
      <c r="EJQ159"/>
      <c r="EJR159"/>
      <c r="EJS159"/>
      <c r="EJT159"/>
      <c r="EJU159"/>
      <c r="EJV159"/>
      <c r="EJW159"/>
      <c r="EJX159"/>
      <c r="EJY159"/>
      <c r="EJZ159"/>
      <c r="EKA159"/>
      <c r="EKB159"/>
      <c r="EKC159"/>
      <c r="EKD159"/>
      <c r="EKE159"/>
      <c r="EKF159"/>
      <c r="EKG159"/>
      <c r="EKH159"/>
      <c r="EKI159"/>
      <c r="EKJ159"/>
      <c r="EKK159"/>
      <c r="EKL159"/>
      <c r="EKM159"/>
      <c r="EKN159"/>
      <c r="EKO159"/>
      <c r="EKP159"/>
      <c r="EKQ159"/>
      <c r="EKR159"/>
      <c r="EKS159"/>
      <c r="EKT159"/>
      <c r="EKU159"/>
      <c r="EKV159"/>
      <c r="EKW159"/>
      <c r="EKX159"/>
      <c r="EKY159"/>
      <c r="EKZ159"/>
      <c r="ELA159"/>
      <c r="ELB159"/>
      <c r="ELC159"/>
      <c r="ELD159"/>
      <c r="ELE159"/>
      <c r="ELF159"/>
      <c r="ELG159"/>
      <c r="ELH159"/>
      <c r="ELI159"/>
      <c r="ELJ159"/>
      <c r="ELK159"/>
      <c r="ELL159"/>
      <c r="ELM159"/>
      <c r="ELN159"/>
      <c r="ELO159"/>
      <c r="ELP159"/>
      <c r="ELQ159"/>
      <c r="ELR159"/>
      <c r="ELS159"/>
      <c r="ELT159"/>
      <c r="ELU159"/>
      <c r="ELV159"/>
      <c r="ELW159"/>
      <c r="ELX159"/>
      <c r="ELY159"/>
      <c r="ELZ159"/>
      <c r="EMA159"/>
      <c r="EMB159"/>
      <c r="EMC159"/>
      <c r="EMD159"/>
      <c r="EME159"/>
      <c r="EMF159"/>
      <c r="EMG159"/>
      <c r="EMH159"/>
      <c r="EMI159"/>
      <c r="EMJ159"/>
      <c r="EMK159"/>
      <c r="EML159"/>
      <c r="EMM159"/>
      <c r="EMN159"/>
      <c r="EMO159"/>
      <c r="EMP159"/>
      <c r="EMQ159"/>
      <c r="EMR159"/>
      <c r="EMS159"/>
      <c r="EMT159"/>
      <c r="EMU159"/>
      <c r="EMV159"/>
      <c r="EMW159"/>
      <c r="EMX159"/>
      <c r="EMY159"/>
      <c r="EMZ159"/>
      <c r="ENA159"/>
      <c r="ENB159"/>
      <c r="ENC159"/>
      <c r="END159"/>
      <c r="ENE159"/>
      <c r="ENF159"/>
      <c r="ENG159"/>
      <c r="ENH159"/>
      <c r="ENI159"/>
      <c r="ENJ159"/>
      <c r="ENK159"/>
      <c r="ENL159"/>
      <c r="ENM159"/>
      <c r="ENN159"/>
      <c r="ENO159"/>
      <c r="ENP159"/>
      <c r="ENQ159"/>
      <c r="ENR159"/>
      <c r="ENS159"/>
      <c r="ENT159"/>
      <c r="ENU159"/>
      <c r="ENV159"/>
      <c r="ENW159"/>
      <c r="ENX159"/>
      <c r="ENY159"/>
      <c r="ENZ159"/>
      <c r="EOA159"/>
      <c r="EOB159"/>
      <c r="EOC159"/>
      <c r="EOD159"/>
      <c r="EOE159"/>
      <c r="EOF159"/>
      <c r="EOG159"/>
      <c r="EOH159"/>
      <c r="EOI159"/>
      <c r="EOJ159"/>
      <c r="EOK159"/>
      <c r="EOL159"/>
      <c r="EOM159"/>
      <c r="EON159"/>
      <c r="EOO159"/>
      <c r="EOP159"/>
      <c r="EOQ159"/>
      <c r="EOR159"/>
      <c r="EOS159"/>
      <c r="EOT159"/>
      <c r="EOU159"/>
      <c r="EOV159"/>
      <c r="EOW159"/>
      <c r="EOX159"/>
      <c r="EOY159"/>
      <c r="EOZ159"/>
      <c r="EPA159"/>
      <c r="EPB159"/>
      <c r="EPC159"/>
      <c r="EPD159"/>
      <c r="EPE159"/>
      <c r="EPF159"/>
      <c r="EPG159"/>
      <c r="EPH159"/>
      <c r="EPI159"/>
      <c r="EPJ159"/>
      <c r="EPK159"/>
      <c r="EPL159"/>
      <c r="EPM159"/>
      <c r="EPN159"/>
      <c r="EPO159"/>
      <c r="EPP159"/>
      <c r="EPQ159"/>
      <c r="EPR159"/>
      <c r="EPS159"/>
      <c r="EPT159"/>
      <c r="EPU159"/>
      <c r="EPV159"/>
      <c r="EPW159"/>
      <c r="EPX159"/>
      <c r="EPY159"/>
      <c r="EPZ159"/>
      <c r="EQA159"/>
      <c r="EQB159"/>
      <c r="EQC159"/>
      <c r="EQD159"/>
      <c r="EQE159"/>
      <c r="EQF159"/>
      <c r="EQG159"/>
      <c r="EQH159"/>
      <c r="EQI159"/>
      <c r="EQJ159"/>
      <c r="EQK159"/>
      <c r="EQL159"/>
      <c r="EQM159"/>
      <c r="EQN159"/>
      <c r="EQO159"/>
      <c r="EQP159"/>
      <c r="EQQ159"/>
      <c r="EQR159"/>
      <c r="EQS159"/>
      <c r="EQT159"/>
      <c r="EQU159"/>
      <c r="EQV159"/>
      <c r="EQW159"/>
      <c r="EQX159"/>
      <c r="EQY159"/>
      <c r="EQZ159"/>
      <c r="ERA159"/>
      <c r="ERB159"/>
      <c r="ERC159"/>
      <c r="ERD159"/>
      <c r="ERE159"/>
      <c r="ERF159"/>
      <c r="ERG159"/>
      <c r="ERH159"/>
      <c r="ERI159"/>
      <c r="ERJ159"/>
      <c r="ERK159"/>
      <c r="ERL159"/>
      <c r="ERM159"/>
      <c r="ERN159"/>
      <c r="ERO159"/>
      <c r="ERP159"/>
      <c r="ERQ159"/>
      <c r="ERR159"/>
      <c r="ERS159"/>
      <c r="ERT159"/>
      <c r="ERU159"/>
      <c r="ERV159"/>
      <c r="ERW159"/>
      <c r="ERX159"/>
      <c r="ERY159"/>
      <c r="ERZ159"/>
      <c r="ESA159"/>
      <c r="ESB159"/>
      <c r="ESC159"/>
      <c r="ESD159"/>
      <c r="ESE159"/>
      <c r="ESF159"/>
      <c r="ESG159"/>
      <c r="ESH159"/>
      <c r="ESI159"/>
      <c r="ESJ159"/>
      <c r="ESK159"/>
      <c r="ESL159"/>
      <c r="ESM159"/>
      <c r="ESN159"/>
      <c r="ESO159"/>
      <c r="ESP159"/>
      <c r="ESQ159"/>
      <c r="ESR159"/>
      <c r="ESS159"/>
      <c r="EST159"/>
      <c r="ESU159"/>
      <c r="ESV159"/>
      <c r="ESW159"/>
      <c r="ESX159"/>
      <c r="ESY159"/>
      <c r="ESZ159"/>
      <c r="ETA159"/>
      <c r="ETB159"/>
      <c r="ETC159"/>
      <c r="ETD159"/>
      <c r="ETE159"/>
      <c r="ETF159"/>
      <c r="ETG159"/>
      <c r="ETH159"/>
      <c r="ETI159"/>
      <c r="ETJ159"/>
      <c r="ETK159"/>
      <c r="ETL159"/>
      <c r="ETM159"/>
      <c r="ETN159"/>
      <c r="ETO159"/>
      <c r="ETP159"/>
      <c r="ETQ159"/>
      <c r="ETR159"/>
      <c r="ETS159"/>
      <c r="ETT159"/>
      <c r="ETU159"/>
      <c r="ETV159"/>
      <c r="ETW159"/>
      <c r="ETX159"/>
      <c r="ETY159"/>
      <c r="ETZ159"/>
      <c r="EUA159"/>
      <c r="EUB159"/>
      <c r="EUC159"/>
      <c r="EUD159"/>
      <c r="EUE159"/>
      <c r="EUF159"/>
      <c r="EUG159"/>
      <c r="EUH159"/>
      <c r="EUI159"/>
      <c r="EUJ159"/>
      <c r="EUK159"/>
      <c r="EUL159"/>
      <c r="EUM159"/>
      <c r="EUN159"/>
      <c r="EUO159"/>
      <c r="EUP159"/>
      <c r="EUQ159"/>
      <c r="EUR159"/>
      <c r="EUS159"/>
      <c r="EUT159"/>
      <c r="EUU159"/>
      <c r="EUV159"/>
      <c r="EUW159"/>
      <c r="EUX159"/>
      <c r="EUY159"/>
      <c r="EUZ159"/>
      <c r="EVA159"/>
      <c r="EVB159"/>
      <c r="EVC159"/>
      <c r="EVD159"/>
      <c r="EVE159"/>
      <c r="EVF159"/>
      <c r="EVG159"/>
      <c r="EVH159"/>
      <c r="EVI159"/>
      <c r="EVJ159"/>
      <c r="EVK159"/>
      <c r="EVL159"/>
      <c r="EVM159"/>
      <c r="EVN159"/>
      <c r="EVO159"/>
      <c r="EVP159"/>
      <c r="EVQ159"/>
      <c r="EVR159"/>
      <c r="EVS159"/>
      <c r="EVT159"/>
      <c r="EVU159"/>
      <c r="EVV159"/>
      <c r="EVW159"/>
      <c r="EVX159"/>
      <c r="EVY159"/>
      <c r="EVZ159"/>
      <c r="EWA159"/>
      <c r="EWB159"/>
      <c r="EWC159"/>
      <c r="EWD159"/>
      <c r="EWE159"/>
      <c r="EWF159"/>
      <c r="EWG159"/>
      <c r="EWH159"/>
      <c r="EWI159"/>
      <c r="EWJ159"/>
      <c r="EWK159"/>
      <c r="EWL159"/>
      <c r="EWM159"/>
      <c r="EWN159"/>
      <c r="EWO159"/>
      <c r="EWP159"/>
      <c r="EWQ159"/>
      <c r="EWR159"/>
      <c r="EWS159"/>
      <c r="EWT159"/>
      <c r="EWU159"/>
      <c r="EWV159"/>
      <c r="EWW159"/>
      <c r="EWX159"/>
      <c r="EWY159"/>
      <c r="EWZ159"/>
      <c r="EXA159"/>
      <c r="EXB159"/>
      <c r="EXC159"/>
      <c r="EXD159"/>
      <c r="EXE159"/>
      <c r="EXF159"/>
      <c r="EXG159"/>
      <c r="EXH159"/>
      <c r="EXI159"/>
      <c r="EXJ159"/>
      <c r="EXK159"/>
      <c r="EXL159"/>
      <c r="EXM159"/>
      <c r="EXN159"/>
      <c r="EXO159"/>
      <c r="EXP159"/>
      <c r="EXQ159"/>
      <c r="EXR159"/>
      <c r="EXS159"/>
      <c r="EXT159"/>
      <c r="EXU159"/>
      <c r="EXV159"/>
      <c r="EXW159"/>
      <c r="EXX159"/>
      <c r="EXY159"/>
      <c r="EXZ159"/>
      <c r="EYA159"/>
      <c r="EYB159"/>
      <c r="EYC159"/>
      <c r="EYD159"/>
      <c r="EYE159"/>
      <c r="EYF159"/>
      <c r="EYG159"/>
      <c r="EYH159"/>
      <c r="EYI159"/>
      <c r="EYJ159"/>
      <c r="EYK159"/>
      <c r="EYL159"/>
      <c r="EYM159"/>
      <c r="EYN159"/>
      <c r="EYO159"/>
      <c r="EYP159"/>
      <c r="EYQ159"/>
      <c r="EYR159"/>
      <c r="EYS159"/>
      <c r="EYT159"/>
      <c r="EYU159"/>
      <c r="EYV159"/>
      <c r="EYW159"/>
      <c r="EYX159"/>
      <c r="EYY159"/>
      <c r="EYZ159"/>
      <c r="EZA159"/>
      <c r="EZB159"/>
      <c r="EZC159"/>
      <c r="EZD159"/>
      <c r="EZE159"/>
      <c r="EZF159"/>
      <c r="EZG159"/>
      <c r="EZH159"/>
      <c r="EZI159"/>
      <c r="EZJ159"/>
      <c r="EZK159"/>
      <c r="EZL159"/>
      <c r="EZM159"/>
      <c r="EZN159"/>
      <c r="EZO159"/>
      <c r="EZP159"/>
      <c r="EZQ159"/>
      <c r="EZR159"/>
      <c r="EZS159"/>
      <c r="EZT159"/>
      <c r="EZU159"/>
      <c r="EZV159"/>
      <c r="EZW159"/>
      <c r="EZX159"/>
      <c r="EZY159"/>
      <c r="EZZ159"/>
      <c r="FAA159"/>
      <c r="FAB159"/>
      <c r="FAC159"/>
      <c r="FAD159"/>
      <c r="FAE159"/>
      <c r="FAF159"/>
      <c r="FAG159"/>
      <c r="FAH159"/>
      <c r="FAI159"/>
      <c r="FAJ159"/>
      <c r="FAK159"/>
      <c r="FAL159"/>
      <c r="FAM159"/>
      <c r="FAN159"/>
      <c r="FAO159"/>
      <c r="FAP159"/>
      <c r="FAQ159"/>
      <c r="FAR159"/>
      <c r="FAS159"/>
      <c r="FAT159"/>
      <c r="FAU159"/>
      <c r="FAV159"/>
      <c r="FAW159"/>
      <c r="FAX159"/>
      <c r="FAY159"/>
      <c r="FAZ159"/>
      <c r="FBA159"/>
      <c r="FBB159"/>
      <c r="FBC159"/>
      <c r="FBD159"/>
      <c r="FBE159"/>
      <c r="FBF159"/>
      <c r="FBG159"/>
      <c r="FBH159"/>
      <c r="FBI159"/>
      <c r="FBJ159"/>
      <c r="FBK159"/>
      <c r="FBL159"/>
      <c r="FBM159"/>
      <c r="FBN159"/>
      <c r="FBO159"/>
      <c r="FBP159"/>
      <c r="FBQ159"/>
      <c r="FBR159"/>
      <c r="FBS159"/>
      <c r="FBT159"/>
      <c r="FBU159"/>
      <c r="FBV159"/>
      <c r="FBW159"/>
      <c r="FBX159"/>
      <c r="FBY159"/>
      <c r="FBZ159"/>
      <c r="FCA159"/>
      <c r="FCB159"/>
      <c r="FCC159"/>
      <c r="FCD159"/>
      <c r="FCE159"/>
      <c r="FCF159"/>
      <c r="FCG159"/>
      <c r="FCH159"/>
      <c r="FCI159"/>
      <c r="FCJ159"/>
      <c r="FCK159"/>
      <c r="FCL159"/>
      <c r="FCM159"/>
      <c r="FCN159"/>
      <c r="FCO159"/>
      <c r="FCP159"/>
      <c r="FCQ159"/>
      <c r="FCR159"/>
      <c r="FCS159"/>
      <c r="FCT159"/>
      <c r="FCU159"/>
      <c r="FCV159"/>
      <c r="FCW159"/>
      <c r="FCX159"/>
      <c r="FCY159"/>
      <c r="FCZ159"/>
      <c r="FDA159"/>
      <c r="FDB159"/>
      <c r="FDC159"/>
      <c r="FDD159"/>
      <c r="FDE159"/>
      <c r="FDF159"/>
      <c r="FDG159"/>
      <c r="FDH159"/>
      <c r="FDI159"/>
      <c r="FDJ159"/>
      <c r="FDK159"/>
      <c r="FDL159"/>
      <c r="FDM159"/>
      <c r="FDN159"/>
      <c r="FDO159"/>
      <c r="FDP159"/>
      <c r="FDQ159"/>
      <c r="FDR159"/>
      <c r="FDS159"/>
      <c r="FDT159"/>
      <c r="FDU159"/>
      <c r="FDV159"/>
      <c r="FDW159"/>
      <c r="FDX159"/>
      <c r="FDY159"/>
      <c r="FDZ159"/>
      <c r="FEA159"/>
      <c r="FEB159"/>
      <c r="FEC159"/>
      <c r="FED159"/>
      <c r="FEE159"/>
      <c r="FEF159"/>
      <c r="FEG159"/>
      <c r="FEH159"/>
      <c r="FEI159"/>
      <c r="FEJ159"/>
      <c r="FEK159"/>
      <c r="FEL159"/>
      <c r="FEM159"/>
      <c r="FEN159"/>
      <c r="FEO159"/>
      <c r="FEP159"/>
      <c r="FEQ159"/>
      <c r="FER159"/>
      <c r="FES159"/>
      <c r="FET159"/>
      <c r="FEU159"/>
      <c r="FEV159"/>
      <c r="FEW159"/>
      <c r="FEX159"/>
      <c r="FEY159"/>
      <c r="FEZ159"/>
      <c r="FFA159"/>
      <c r="FFB159"/>
      <c r="FFC159"/>
      <c r="FFD159"/>
      <c r="FFE159"/>
      <c r="FFF159"/>
      <c r="FFG159"/>
      <c r="FFH159"/>
      <c r="FFI159"/>
      <c r="FFJ159"/>
      <c r="FFK159"/>
      <c r="FFL159"/>
      <c r="FFM159"/>
      <c r="FFN159"/>
      <c r="FFO159"/>
      <c r="FFP159"/>
      <c r="FFQ159"/>
      <c r="FFR159"/>
      <c r="FFS159"/>
      <c r="FFT159"/>
      <c r="FFU159"/>
      <c r="FFV159"/>
      <c r="FFW159"/>
      <c r="FFX159"/>
      <c r="FFY159"/>
      <c r="FFZ159"/>
      <c r="FGA159"/>
      <c r="FGB159"/>
      <c r="FGC159"/>
      <c r="FGD159"/>
      <c r="FGE159"/>
      <c r="FGF159"/>
      <c r="FGG159"/>
      <c r="FGH159"/>
      <c r="FGI159"/>
      <c r="FGJ159"/>
      <c r="FGK159"/>
      <c r="FGL159"/>
      <c r="FGM159"/>
      <c r="FGN159"/>
      <c r="FGO159"/>
      <c r="FGP159"/>
      <c r="FGQ159"/>
      <c r="FGR159"/>
      <c r="FGS159"/>
      <c r="FGT159"/>
      <c r="FGU159"/>
      <c r="FGV159"/>
      <c r="FGW159"/>
      <c r="FGX159"/>
      <c r="FGY159"/>
      <c r="FGZ159"/>
      <c r="FHA159"/>
      <c r="FHB159"/>
      <c r="FHC159"/>
      <c r="FHD159"/>
      <c r="FHE159"/>
      <c r="FHF159"/>
      <c r="FHG159"/>
      <c r="FHH159"/>
      <c r="FHI159"/>
      <c r="FHJ159"/>
      <c r="FHK159"/>
      <c r="FHL159"/>
      <c r="FHM159"/>
      <c r="FHN159"/>
      <c r="FHO159"/>
      <c r="FHP159"/>
      <c r="FHQ159"/>
      <c r="FHR159"/>
      <c r="FHS159"/>
      <c r="FHT159"/>
      <c r="FHU159"/>
      <c r="FHV159"/>
      <c r="FHW159"/>
      <c r="FHX159"/>
      <c r="FHY159"/>
      <c r="FHZ159"/>
      <c r="FIA159"/>
      <c r="FIB159"/>
      <c r="FIC159"/>
      <c r="FID159"/>
      <c r="FIE159"/>
      <c r="FIF159"/>
      <c r="FIG159"/>
      <c r="FIH159"/>
      <c r="FII159"/>
      <c r="FIJ159"/>
      <c r="FIK159"/>
      <c r="FIL159"/>
      <c r="FIM159"/>
      <c r="FIN159"/>
      <c r="FIO159"/>
      <c r="FIP159"/>
      <c r="FIQ159"/>
      <c r="FIR159"/>
      <c r="FIS159"/>
      <c r="FIT159"/>
      <c r="FIU159"/>
      <c r="FIV159"/>
      <c r="FIW159"/>
      <c r="FIX159"/>
      <c r="FIY159"/>
      <c r="FIZ159"/>
      <c r="FJA159"/>
      <c r="FJB159"/>
      <c r="FJC159"/>
      <c r="FJD159"/>
      <c r="FJE159"/>
      <c r="FJF159"/>
      <c r="FJG159"/>
      <c r="FJH159"/>
      <c r="FJI159"/>
      <c r="FJJ159"/>
      <c r="FJK159"/>
      <c r="FJL159"/>
      <c r="FJM159"/>
      <c r="FJN159"/>
      <c r="FJO159"/>
      <c r="FJP159"/>
      <c r="FJQ159"/>
      <c r="FJR159"/>
      <c r="FJS159"/>
      <c r="FJT159"/>
      <c r="FJU159"/>
      <c r="FJV159"/>
      <c r="FJW159"/>
      <c r="FJX159"/>
      <c r="FJY159"/>
      <c r="FJZ159"/>
      <c r="FKA159"/>
      <c r="FKB159"/>
      <c r="FKC159"/>
      <c r="FKD159"/>
      <c r="FKE159"/>
      <c r="FKF159"/>
      <c r="FKG159"/>
      <c r="FKH159"/>
      <c r="FKI159"/>
      <c r="FKJ159"/>
      <c r="FKK159"/>
      <c r="FKL159"/>
      <c r="FKM159"/>
      <c r="FKN159"/>
      <c r="FKO159"/>
      <c r="FKP159"/>
      <c r="FKQ159"/>
      <c r="FKR159"/>
      <c r="FKS159"/>
      <c r="FKT159"/>
      <c r="FKU159"/>
      <c r="FKV159"/>
      <c r="FKW159"/>
      <c r="FKX159"/>
      <c r="FKY159"/>
      <c r="FKZ159"/>
      <c r="FLA159"/>
      <c r="FLB159"/>
      <c r="FLC159"/>
      <c r="FLD159"/>
      <c r="FLE159"/>
      <c r="FLF159"/>
      <c r="FLG159"/>
      <c r="FLH159"/>
      <c r="FLI159"/>
      <c r="FLJ159"/>
      <c r="FLK159"/>
      <c r="FLL159"/>
      <c r="FLM159"/>
      <c r="FLN159"/>
      <c r="FLO159"/>
      <c r="FLP159"/>
      <c r="FLQ159"/>
      <c r="FLR159"/>
      <c r="FLS159"/>
      <c r="FLT159"/>
      <c r="FLU159"/>
      <c r="FLV159"/>
      <c r="FLW159"/>
      <c r="FLX159"/>
      <c r="FLY159"/>
      <c r="FLZ159"/>
      <c r="FMA159"/>
      <c r="FMB159"/>
      <c r="FMC159"/>
      <c r="FMD159"/>
      <c r="FME159"/>
      <c r="FMF159"/>
      <c r="FMG159"/>
      <c r="FMH159"/>
      <c r="FMI159"/>
      <c r="FMJ159"/>
      <c r="FMK159"/>
      <c r="FML159"/>
      <c r="FMM159"/>
      <c r="FMN159"/>
      <c r="FMO159"/>
      <c r="FMP159"/>
      <c r="FMQ159"/>
      <c r="FMR159"/>
      <c r="FMS159"/>
      <c r="FMT159"/>
      <c r="FMU159"/>
      <c r="FMV159"/>
      <c r="FMW159"/>
      <c r="FMX159"/>
      <c r="FMY159"/>
      <c r="FMZ159"/>
      <c r="FNA159"/>
      <c r="FNB159"/>
      <c r="FNC159"/>
      <c r="FND159"/>
      <c r="FNE159"/>
      <c r="FNF159"/>
      <c r="FNG159"/>
      <c r="FNH159"/>
      <c r="FNI159"/>
      <c r="FNJ159"/>
      <c r="FNK159"/>
      <c r="FNL159"/>
      <c r="FNM159"/>
      <c r="FNN159"/>
      <c r="FNO159"/>
      <c r="FNP159"/>
      <c r="FNQ159"/>
      <c r="FNR159"/>
      <c r="FNS159"/>
      <c r="FNT159"/>
      <c r="FNU159"/>
      <c r="FNV159"/>
      <c r="FNW159"/>
      <c r="FNX159"/>
      <c r="FNY159"/>
      <c r="FNZ159"/>
      <c r="FOA159"/>
      <c r="FOB159"/>
      <c r="FOC159"/>
      <c r="FOD159"/>
      <c r="FOE159"/>
      <c r="FOF159"/>
      <c r="FOG159"/>
      <c r="FOH159"/>
      <c r="FOI159"/>
      <c r="FOJ159"/>
      <c r="FOK159"/>
      <c r="FOL159"/>
      <c r="FOM159"/>
      <c r="FON159"/>
      <c r="FOO159"/>
      <c r="FOP159"/>
      <c r="FOQ159"/>
      <c r="FOR159"/>
      <c r="FOS159"/>
      <c r="FOT159"/>
      <c r="FOU159"/>
      <c r="FOV159"/>
      <c r="FOW159"/>
      <c r="FOX159"/>
      <c r="FOY159"/>
      <c r="FOZ159"/>
      <c r="FPA159"/>
      <c r="FPB159"/>
      <c r="FPC159"/>
      <c r="FPD159"/>
      <c r="FPE159"/>
      <c r="FPF159"/>
      <c r="FPG159"/>
      <c r="FPH159"/>
      <c r="FPI159"/>
      <c r="FPJ159"/>
      <c r="FPK159"/>
      <c r="FPL159"/>
      <c r="FPM159"/>
      <c r="FPN159"/>
      <c r="FPO159"/>
      <c r="FPP159"/>
      <c r="FPQ159"/>
      <c r="FPR159"/>
      <c r="FPS159"/>
      <c r="FPT159"/>
      <c r="FPU159"/>
      <c r="FPV159"/>
      <c r="FPW159"/>
      <c r="FPX159"/>
      <c r="FPY159"/>
      <c r="FPZ159"/>
      <c r="FQA159"/>
      <c r="FQB159"/>
      <c r="FQC159"/>
      <c r="FQD159"/>
      <c r="FQE159"/>
      <c r="FQF159"/>
      <c r="FQG159"/>
      <c r="FQH159"/>
      <c r="FQI159"/>
      <c r="FQJ159"/>
      <c r="FQK159"/>
      <c r="FQL159"/>
      <c r="FQM159"/>
      <c r="FQN159"/>
      <c r="FQO159"/>
      <c r="FQP159"/>
      <c r="FQQ159"/>
      <c r="FQR159"/>
      <c r="FQS159"/>
      <c r="FQT159"/>
      <c r="FQU159"/>
      <c r="FQV159"/>
      <c r="FQW159"/>
      <c r="FQX159"/>
      <c r="FQY159"/>
      <c r="FQZ159"/>
      <c r="FRA159"/>
      <c r="FRB159"/>
      <c r="FRC159"/>
      <c r="FRD159"/>
      <c r="FRE159"/>
      <c r="FRF159"/>
      <c r="FRG159"/>
      <c r="FRH159"/>
      <c r="FRI159"/>
      <c r="FRJ159"/>
      <c r="FRK159"/>
      <c r="FRL159"/>
      <c r="FRM159"/>
      <c r="FRN159"/>
      <c r="FRO159"/>
      <c r="FRP159"/>
      <c r="FRQ159"/>
      <c r="FRR159"/>
      <c r="FRS159"/>
      <c r="FRT159"/>
      <c r="FRU159"/>
      <c r="FRV159"/>
      <c r="FRW159"/>
      <c r="FRX159"/>
      <c r="FRY159"/>
      <c r="FRZ159"/>
      <c r="FSA159"/>
      <c r="FSB159"/>
      <c r="FSC159"/>
      <c r="FSD159"/>
      <c r="FSE159"/>
      <c r="FSF159"/>
      <c r="FSG159"/>
      <c r="FSH159"/>
      <c r="FSI159"/>
      <c r="FSJ159"/>
      <c r="FSK159"/>
      <c r="FSL159"/>
      <c r="FSM159"/>
      <c r="FSN159"/>
      <c r="FSO159"/>
      <c r="FSP159"/>
      <c r="FSQ159"/>
      <c r="FSR159"/>
      <c r="FSS159"/>
      <c r="FST159"/>
      <c r="FSU159"/>
      <c r="FSV159"/>
      <c r="FSW159"/>
      <c r="FSX159"/>
      <c r="FSY159"/>
      <c r="FSZ159"/>
      <c r="FTA159"/>
      <c r="FTB159"/>
      <c r="FTC159"/>
      <c r="FTD159"/>
      <c r="FTE159"/>
      <c r="FTF159"/>
      <c r="FTG159"/>
      <c r="FTH159"/>
      <c r="FTI159"/>
      <c r="FTJ159"/>
      <c r="FTK159"/>
      <c r="FTL159"/>
      <c r="FTM159"/>
      <c r="FTN159"/>
      <c r="FTO159"/>
      <c r="FTP159"/>
      <c r="FTQ159"/>
      <c r="FTR159"/>
      <c r="FTS159"/>
      <c r="FTT159"/>
      <c r="FTU159"/>
      <c r="FTV159"/>
      <c r="FTW159"/>
      <c r="FTX159"/>
      <c r="FTY159"/>
      <c r="FTZ159"/>
      <c r="FUA159"/>
      <c r="FUB159"/>
      <c r="FUC159"/>
      <c r="FUD159"/>
      <c r="FUE159"/>
      <c r="FUF159"/>
      <c r="FUG159"/>
      <c r="FUH159"/>
      <c r="FUI159"/>
      <c r="FUJ159"/>
      <c r="FUK159"/>
      <c r="FUL159"/>
      <c r="FUM159"/>
      <c r="FUN159"/>
      <c r="FUO159"/>
      <c r="FUP159"/>
      <c r="FUQ159"/>
      <c r="FUR159"/>
      <c r="FUS159"/>
      <c r="FUT159"/>
      <c r="FUU159"/>
      <c r="FUV159"/>
      <c r="FUW159"/>
      <c r="FUX159"/>
      <c r="FUY159"/>
      <c r="FUZ159"/>
      <c r="FVA159"/>
      <c r="FVB159"/>
      <c r="FVC159"/>
      <c r="FVD159"/>
      <c r="FVE159"/>
      <c r="FVF159"/>
      <c r="FVG159"/>
      <c r="FVH159"/>
      <c r="FVI159"/>
      <c r="FVJ159"/>
      <c r="FVK159"/>
      <c r="FVL159"/>
      <c r="FVM159"/>
      <c r="FVN159"/>
      <c r="FVO159"/>
      <c r="FVP159"/>
      <c r="FVQ159"/>
      <c r="FVR159"/>
      <c r="FVS159"/>
      <c r="FVT159"/>
      <c r="FVU159"/>
      <c r="FVV159"/>
      <c r="FVW159"/>
      <c r="FVX159"/>
      <c r="FVY159"/>
      <c r="FVZ159"/>
      <c r="FWA159"/>
      <c r="FWB159"/>
      <c r="FWC159"/>
      <c r="FWD159"/>
      <c r="FWE159"/>
      <c r="FWF159"/>
      <c r="FWG159"/>
      <c r="FWH159"/>
      <c r="FWI159"/>
      <c r="FWJ159"/>
      <c r="FWK159"/>
      <c r="FWL159"/>
      <c r="FWM159"/>
      <c r="FWN159"/>
      <c r="FWO159"/>
      <c r="FWP159"/>
      <c r="FWQ159"/>
      <c r="FWR159"/>
      <c r="FWS159"/>
      <c r="FWT159"/>
      <c r="FWU159"/>
      <c r="FWV159"/>
      <c r="FWW159"/>
      <c r="FWX159"/>
      <c r="FWY159"/>
      <c r="FWZ159"/>
      <c r="FXA159"/>
      <c r="FXB159"/>
      <c r="FXC159"/>
      <c r="FXD159"/>
      <c r="FXE159"/>
      <c r="FXF159"/>
      <c r="FXG159"/>
      <c r="FXH159"/>
      <c r="FXI159"/>
      <c r="FXJ159"/>
      <c r="FXK159"/>
      <c r="FXL159"/>
      <c r="FXM159"/>
      <c r="FXN159"/>
      <c r="FXO159"/>
      <c r="FXP159"/>
      <c r="FXQ159"/>
      <c r="FXR159"/>
      <c r="FXS159"/>
      <c r="FXT159"/>
      <c r="FXU159"/>
      <c r="FXV159"/>
      <c r="FXW159"/>
      <c r="FXX159"/>
      <c r="FXY159"/>
      <c r="FXZ159"/>
      <c r="FYA159"/>
      <c r="FYB159"/>
      <c r="FYC159"/>
      <c r="FYD159"/>
      <c r="FYE159"/>
      <c r="FYF159"/>
      <c r="FYG159"/>
      <c r="FYH159"/>
      <c r="FYI159"/>
      <c r="FYJ159"/>
      <c r="FYK159"/>
      <c r="FYL159"/>
      <c r="FYM159"/>
      <c r="FYN159"/>
      <c r="FYO159"/>
      <c r="FYP159"/>
      <c r="FYQ159"/>
      <c r="FYR159"/>
      <c r="FYS159"/>
      <c r="FYT159"/>
      <c r="FYU159"/>
      <c r="FYV159"/>
      <c r="FYW159"/>
      <c r="FYX159"/>
      <c r="FYY159"/>
      <c r="FYZ159"/>
      <c r="FZA159"/>
      <c r="FZB159"/>
      <c r="FZC159"/>
      <c r="FZD159"/>
      <c r="FZE159"/>
      <c r="FZF159"/>
      <c r="FZG159"/>
      <c r="FZH159"/>
      <c r="FZI159"/>
      <c r="FZJ159"/>
      <c r="FZK159"/>
      <c r="FZL159"/>
      <c r="FZM159"/>
      <c r="FZN159"/>
      <c r="FZO159"/>
      <c r="FZP159"/>
      <c r="FZQ159"/>
      <c r="FZR159"/>
      <c r="FZS159"/>
      <c r="FZT159"/>
      <c r="FZU159"/>
      <c r="FZV159"/>
      <c r="FZW159"/>
      <c r="FZX159"/>
      <c r="FZY159"/>
      <c r="FZZ159"/>
      <c r="GAA159"/>
      <c r="GAB159"/>
      <c r="GAC159"/>
      <c r="GAD159"/>
      <c r="GAE159"/>
      <c r="GAF159"/>
      <c r="GAG159"/>
      <c r="GAH159"/>
      <c r="GAI159"/>
      <c r="GAJ159"/>
      <c r="GAK159"/>
      <c r="GAL159"/>
      <c r="GAM159"/>
      <c r="GAN159"/>
      <c r="GAO159"/>
      <c r="GAP159"/>
      <c r="GAQ159"/>
      <c r="GAR159"/>
      <c r="GAS159"/>
      <c r="GAT159"/>
      <c r="GAU159"/>
      <c r="GAV159"/>
      <c r="GAW159"/>
      <c r="GAX159"/>
      <c r="GAY159"/>
      <c r="GAZ159"/>
      <c r="GBA159"/>
      <c r="GBB159"/>
      <c r="GBC159"/>
      <c r="GBD159"/>
      <c r="GBE159"/>
      <c r="GBF159"/>
      <c r="GBG159"/>
      <c r="GBH159"/>
      <c r="GBI159"/>
      <c r="GBJ159"/>
      <c r="GBK159"/>
      <c r="GBL159"/>
      <c r="GBM159"/>
      <c r="GBN159"/>
      <c r="GBO159"/>
      <c r="GBP159"/>
      <c r="GBQ159"/>
      <c r="GBR159"/>
      <c r="GBS159"/>
      <c r="GBT159"/>
      <c r="GBU159"/>
      <c r="GBV159"/>
      <c r="GBW159"/>
      <c r="GBX159"/>
      <c r="GBY159"/>
      <c r="GBZ159"/>
      <c r="GCA159"/>
      <c r="GCB159"/>
      <c r="GCC159"/>
      <c r="GCD159"/>
      <c r="GCE159"/>
      <c r="GCF159"/>
      <c r="GCG159"/>
      <c r="GCH159"/>
      <c r="GCI159"/>
      <c r="GCJ159"/>
      <c r="GCK159"/>
      <c r="GCL159"/>
      <c r="GCM159"/>
      <c r="GCN159"/>
      <c r="GCO159"/>
      <c r="GCP159"/>
      <c r="GCQ159"/>
      <c r="GCR159"/>
      <c r="GCS159"/>
      <c r="GCT159"/>
      <c r="GCU159"/>
      <c r="GCV159"/>
      <c r="GCW159"/>
      <c r="GCX159"/>
      <c r="GCY159"/>
      <c r="GCZ159"/>
      <c r="GDA159"/>
      <c r="GDB159"/>
      <c r="GDC159"/>
      <c r="GDD159"/>
      <c r="GDE159"/>
      <c r="GDF159"/>
      <c r="GDG159"/>
      <c r="GDH159"/>
      <c r="GDI159"/>
      <c r="GDJ159"/>
      <c r="GDK159"/>
      <c r="GDL159"/>
      <c r="GDM159"/>
      <c r="GDN159"/>
      <c r="GDO159"/>
      <c r="GDP159"/>
      <c r="GDQ159"/>
      <c r="GDR159"/>
      <c r="GDS159"/>
      <c r="GDT159"/>
      <c r="GDU159"/>
      <c r="GDV159"/>
      <c r="GDW159"/>
      <c r="GDX159"/>
      <c r="GDY159"/>
      <c r="GDZ159"/>
      <c r="GEA159"/>
      <c r="GEB159"/>
      <c r="GEC159"/>
      <c r="GED159"/>
      <c r="GEE159"/>
      <c r="GEF159"/>
      <c r="GEG159"/>
      <c r="GEH159"/>
      <c r="GEI159"/>
      <c r="GEJ159"/>
      <c r="GEK159"/>
      <c r="GEL159"/>
      <c r="GEM159"/>
      <c r="GEN159"/>
      <c r="GEO159"/>
      <c r="GEP159"/>
      <c r="GEQ159"/>
      <c r="GER159"/>
      <c r="GES159"/>
      <c r="GET159"/>
      <c r="GEU159"/>
      <c r="GEV159"/>
      <c r="GEW159"/>
      <c r="GEX159"/>
      <c r="GEY159"/>
      <c r="GEZ159"/>
      <c r="GFA159"/>
      <c r="GFB159"/>
      <c r="GFC159"/>
      <c r="GFD159"/>
      <c r="GFE159"/>
      <c r="GFF159"/>
      <c r="GFG159"/>
      <c r="GFH159"/>
      <c r="GFI159"/>
      <c r="GFJ159"/>
      <c r="GFK159"/>
      <c r="GFL159"/>
      <c r="GFM159"/>
      <c r="GFN159"/>
      <c r="GFO159"/>
      <c r="GFP159"/>
      <c r="GFQ159"/>
      <c r="GFR159"/>
      <c r="GFS159"/>
      <c r="GFT159"/>
      <c r="GFU159"/>
      <c r="GFV159"/>
      <c r="GFW159"/>
      <c r="GFX159"/>
      <c r="GFY159"/>
      <c r="GFZ159"/>
      <c r="GGA159"/>
      <c r="GGB159"/>
      <c r="GGC159"/>
      <c r="GGD159"/>
      <c r="GGE159"/>
      <c r="GGF159"/>
      <c r="GGG159"/>
      <c r="GGH159"/>
      <c r="GGI159"/>
      <c r="GGJ159"/>
      <c r="GGK159"/>
      <c r="GGL159"/>
      <c r="GGM159"/>
      <c r="GGN159"/>
      <c r="GGO159"/>
      <c r="GGP159"/>
      <c r="GGQ159"/>
      <c r="GGR159"/>
      <c r="GGS159"/>
      <c r="GGT159"/>
      <c r="GGU159"/>
      <c r="GGV159"/>
      <c r="GGW159"/>
      <c r="GGX159"/>
      <c r="GGY159"/>
      <c r="GGZ159"/>
      <c r="GHA159"/>
      <c r="GHB159"/>
      <c r="GHC159"/>
      <c r="GHD159"/>
      <c r="GHE159"/>
      <c r="GHF159"/>
      <c r="GHG159"/>
      <c r="GHH159"/>
      <c r="GHI159"/>
      <c r="GHJ159"/>
      <c r="GHK159"/>
      <c r="GHL159"/>
      <c r="GHM159"/>
      <c r="GHN159"/>
      <c r="GHO159"/>
      <c r="GHP159"/>
      <c r="GHQ159"/>
      <c r="GHR159"/>
      <c r="GHS159"/>
      <c r="GHT159"/>
      <c r="GHU159"/>
      <c r="GHV159"/>
      <c r="GHW159"/>
      <c r="GHX159"/>
      <c r="GHY159"/>
      <c r="GHZ159"/>
      <c r="GIA159"/>
      <c r="GIB159"/>
      <c r="GIC159"/>
      <c r="GID159"/>
      <c r="GIE159"/>
      <c r="GIF159"/>
      <c r="GIG159"/>
      <c r="GIH159"/>
      <c r="GII159"/>
      <c r="GIJ159"/>
      <c r="GIK159"/>
      <c r="GIL159"/>
      <c r="GIM159"/>
      <c r="GIN159"/>
      <c r="GIO159"/>
      <c r="GIP159"/>
      <c r="GIQ159"/>
      <c r="GIR159"/>
      <c r="GIS159"/>
      <c r="GIT159"/>
      <c r="GIU159"/>
      <c r="GIV159"/>
      <c r="GIW159"/>
      <c r="GIX159"/>
      <c r="GIY159"/>
      <c r="GIZ159"/>
      <c r="GJA159"/>
      <c r="GJB159"/>
      <c r="GJC159"/>
      <c r="GJD159"/>
      <c r="GJE159"/>
      <c r="GJF159"/>
      <c r="GJG159"/>
      <c r="GJH159"/>
      <c r="GJI159"/>
      <c r="GJJ159"/>
      <c r="GJK159"/>
      <c r="GJL159"/>
      <c r="GJM159"/>
      <c r="GJN159"/>
      <c r="GJO159"/>
      <c r="GJP159"/>
      <c r="GJQ159"/>
      <c r="GJR159"/>
      <c r="GJS159"/>
      <c r="GJT159"/>
      <c r="GJU159"/>
      <c r="GJV159"/>
      <c r="GJW159"/>
      <c r="GJX159"/>
      <c r="GJY159"/>
      <c r="GJZ159"/>
      <c r="GKA159"/>
      <c r="GKB159"/>
      <c r="GKC159"/>
      <c r="GKD159"/>
      <c r="GKE159"/>
      <c r="GKF159"/>
      <c r="GKG159"/>
      <c r="GKH159"/>
      <c r="GKI159"/>
      <c r="GKJ159"/>
      <c r="GKK159"/>
      <c r="GKL159"/>
      <c r="GKM159"/>
      <c r="GKN159"/>
      <c r="GKO159"/>
      <c r="GKP159"/>
      <c r="GKQ159"/>
      <c r="GKR159"/>
      <c r="GKS159"/>
      <c r="GKT159"/>
      <c r="GKU159"/>
      <c r="GKV159"/>
      <c r="GKW159"/>
      <c r="GKX159"/>
      <c r="GKY159"/>
      <c r="GKZ159"/>
      <c r="GLA159"/>
      <c r="GLB159"/>
      <c r="GLC159"/>
      <c r="GLD159"/>
      <c r="GLE159"/>
      <c r="GLF159"/>
      <c r="GLG159"/>
      <c r="GLH159"/>
      <c r="GLI159"/>
      <c r="GLJ159"/>
      <c r="GLK159"/>
      <c r="GLL159"/>
      <c r="GLM159"/>
      <c r="GLN159"/>
      <c r="GLO159"/>
      <c r="GLP159"/>
      <c r="GLQ159"/>
      <c r="GLR159"/>
      <c r="GLS159"/>
      <c r="GLT159"/>
      <c r="GLU159"/>
      <c r="GLV159"/>
      <c r="GLW159"/>
      <c r="GLX159"/>
      <c r="GLY159"/>
      <c r="GLZ159"/>
      <c r="GMA159"/>
      <c r="GMB159"/>
      <c r="GMC159"/>
      <c r="GMD159"/>
      <c r="GME159"/>
      <c r="GMF159"/>
      <c r="GMG159"/>
      <c r="GMH159"/>
      <c r="GMI159"/>
      <c r="GMJ159"/>
      <c r="GMK159"/>
      <c r="GML159"/>
      <c r="GMM159"/>
      <c r="GMN159"/>
      <c r="GMO159"/>
      <c r="GMP159"/>
      <c r="GMQ159"/>
      <c r="GMR159"/>
      <c r="GMS159"/>
      <c r="GMT159"/>
      <c r="GMU159"/>
      <c r="GMV159"/>
      <c r="GMW159"/>
      <c r="GMX159"/>
      <c r="GMY159"/>
      <c r="GMZ159"/>
      <c r="GNA159"/>
      <c r="GNB159"/>
      <c r="GNC159"/>
      <c r="GND159"/>
      <c r="GNE159"/>
      <c r="GNF159"/>
      <c r="GNG159"/>
      <c r="GNH159"/>
      <c r="GNI159"/>
      <c r="GNJ159"/>
      <c r="GNK159"/>
      <c r="GNL159"/>
      <c r="GNM159"/>
      <c r="GNN159"/>
      <c r="GNO159"/>
      <c r="GNP159"/>
      <c r="GNQ159"/>
      <c r="GNR159"/>
      <c r="GNS159"/>
      <c r="GNT159"/>
      <c r="GNU159"/>
      <c r="GNV159"/>
      <c r="GNW159"/>
      <c r="GNX159"/>
      <c r="GNY159"/>
      <c r="GNZ159"/>
      <c r="GOA159"/>
      <c r="GOB159"/>
      <c r="GOC159"/>
      <c r="GOD159"/>
      <c r="GOE159"/>
      <c r="GOF159"/>
      <c r="GOG159"/>
      <c r="GOH159"/>
      <c r="GOI159"/>
      <c r="GOJ159"/>
      <c r="GOK159"/>
      <c r="GOL159"/>
      <c r="GOM159"/>
      <c r="GON159"/>
      <c r="GOO159"/>
      <c r="GOP159"/>
      <c r="GOQ159"/>
      <c r="GOR159"/>
      <c r="GOS159"/>
      <c r="GOT159"/>
      <c r="GOU159"/>
      <c r="GOV159"/>
      <c r="GOW159"/>
      <c r="GOX159"/>
      <c r="GOY159"/>
      <c r="GOZ159"/>
      <c r="GPA159"/>
      <c r="GPB159"/>
      <c r="GPC159"/>
      <c r="GPD159"/>
      <c r="GPE159"/>
      <c r="GPF159"/>
      <c r="GPG159"/>
      <c r="GPH159"/>
      <c r="GPI159"/>
      <c r="GPJ159"/>
      <c r="GPK159"/>
      <c r="GPL159"/>
      <c r="GPM159"/>
      <c r="GPN159"/>
      <c r="GPO159"/>
      <c r="GPP159"/>
      <c r="GPQ159"/>
      <c r="GPR159"/>
      <c r="GPS159"/>
      <c r="GPT159"/>
      <c r="GPU159"/>
      <c r="GPV159"/>
      <c r="GPW159"/>
      <c r="GPX159"/>
      <c r="GPY159"/>
      <c r="GPZ159"/>
      <c r="GQA159"/>
      <c r="GQB159"/>
      <c r="GQC159"/>
      <c r="GQD159"/>
      <c r="GQE159"/>
      <c r="GQF159"/>
      <c r="GQG159"/>
      <c r="GQH159"/>
      <c r="GQI159"/>
      <c r="GQJ159"/>
      <c r="GQK159"/>
      <c r="GQL159"/>
      <c r="GQM159"/>
      <c r="GQN159"/>
      <c r="GQO159"/>
      <c r="GQP159"/>
      <c r="GQQ159"/>
      <c r="GQR159"/>
      <c r="GQS159"/>
      <c r="GQT159"/>
      <c r="GQU159"/>
      <c r="GQV159"/>
      <c r="GQW159"/>
      <c r="GQX159"/>
      <c r="GQY159"/>
      <c r="GQZ159"/>
      <c r="GRA159"/>
      <c r="GRB159"/>
      <c r="GRC159"/>
      <c r="GRD159"/>
      <c r="GRE159"/>
      <c r="GRF159"/>
      <c r="GRG159"/>
      <c r="GRH159"/>
      <c r="GRI159"/>
      <c r="GRJ159"/>
      <c r="GRK159"/>
      <c r="GRL159"/>
      <c r="GRM159"/>
      <c r="GRN159"/>
      <c r="GRO159"/>
      <c r="GRP159"/>
      <c r="GRQ159"/>
      <c r="GRR159"/>
      <c r="GRS159"/>
      <c r="GRT159"/>
      <c r="GRU159"/>
      <c r="GRV159"/>
      <c r="GRW159"/>
      <c r="GRX159"/>
      <c r="GRY159"/>
      <c r="GRZ159"/>
      <c r="GSA159"/>
      <c r="GSB159"/>
      <c r="GSC159"/>
      <c r="GSD159"/>
      <c r="GSE159"/>
      <c r="GSF159"/>
      <c r="GSG159"/>
      <c r="GSH159"/>
      <c r="GSI159"/>
      <c r="GSJ159"/>
      <c r="GSK159"/>
      <c r="GSL159"/>
      <c r="GSM159"/>
      <c r="GSN159"/>
      <c r="GSO159"/>
      <c r="GSP159"/>
      <c r="GSQ159"/>
      <c r="GSR159"/>
      <c r="GSS159"/>
      <c r="GST159"/>
      <c r="GSU159"/>
      <c r="GSV159"/>
      <c r="GSW159"/>
      <c r="GSX159"/>
      <c r="GSY159"/>
      <c r="GSZ159"/>
      <c r="GTA159"/>
      <c r="GTB159"/>
      <c r="GTC159"/>
      <c r="GTD159"/>
      <c r="GTE159"/>
      <c r="GTF159"/>
      <c r="GTG159"/>
      <c r="GTH159"/>
      <c r="GTI159"/>
      <c r="GTJ159"/>
      <c r="GTK159"/>
      <c r="GTL159"/>
      <c r="GTM159"/>
      <c r="GTN159"/>
      <c r="GTO159"/>
      <c r="GTP159"/>
      <c r="GTQ159"/>
      <c r="GTR159"/>
      <c r="GTS159"/>
      <c r="GTT159"/>
      <c r="GTU159"/>
      <c r="GTV159"/>
      <c r="GTW159"/>
      <c r="GTX159"/>
      <c r="GTY159"/>
      <c r="GTZ159"/>
      <c r="GUA159"/>
      <c r="GUB159"/>
      <c r="GUC159"/>
      <c r="GUD159"/>
      <c r="GUE159"/>
      <c r="GUF159"/>
      <c r="GUG159"/>
      <c r="GUH159"/>
      <c r="GUI159"/>
      <c r="GUJ159"/>
      <c r="GUK159"/>
      <c r="GUL159"/>
      <c r="GUM159"/>
      <c r="GUN159"/>
      <c r="GUO159"/>
      <c r="GUP159"/>
      <c r="GUQ159"/>
      <c r="GUR159"/>
      <c r="GUS159"/>
      <c r="GUT159"/>
      <c r="GUU159"/>
      <c r="GUV159"/>
      <c r="GUW159"/>
      <c r="GUX159"/>
      <c r="GUY159"/>
      <c r="GUZ159"/>
      <c r="GVA159"/>
      <c r="GVB159"/>
      <c r="GVC159"/>
      <c r="GVD159"/>
      <c r="GVE159"/>
      <c r="GVF159"/>
      <c r="GVG159"/>
      <c r="GVH159"/>
      <c r="GVI159"/>
      <c r="GVJ159"/>
      <c r="GVK159"/>
      <c r="GVL159"/>
      <c r="GVM159"/>
      <c r="GVN159"/>
      <c r="GVO159"/>
      <c r="GVP159"/>
      <c r="GVQ159"/>
      <c r="GVR159"/>
      <c r="GVS159"/>
      <c r="GVT159"/>
      <c r="GVU159"/>
      <c r="GVV159"/>
      <c r="GVW159"/>
      <c r="GVX159"/>
      <c r="GVY159"/>
      <c r="GVZ159"/>
      <c r="GWA159"/>
      <c r="GWB159"/>
      <c r="GWC159"/>
      <c r="GWD159"/>
      <c r="GWE159"/>
      <c r="GWF159"/>
      <c r="GWG159"/>
      <c r="GWH159"/>
      <c r="GWI159"/>
      <c r="GWJ159"/>
      <c r="GWK159"/>
      <c r="GWL159"/>
      <c r="GWM159"/>
      <c r="GWN159"/>
      <c r="GWO159"/>
      <c r="GWP159"/>
      <c r="GWQ159"/>
      <c r="GWR159"/>
      <c r="GWS159"/>
      <c r="GWT159"/>
      <c r="GWU159"/>
      <c r="GWV159"/>
      <c r="GWW159"/>
      <c r="GWX159"/>
      <c r="GWY159"/>
      <c r="GWZ159"/>
      <c r="GXA159"/>
      <c r="GXB159"/>
      <c r="GXC159"/>
      <c r="GXD159"/>
      <c r="GXE159"/>
      <c r="GXF159"/>
      <c r="GXG159"/>
      <c r="GXH159"/>
      <c r="GXI159"/>
      <c r="GXJ159"/>
      <c r="GXK159"/>
      <c r="GXL159"/>
      <c r="GXM159"/>
      <c r="GXN159"/>
      <c r="GXO159"/>
      <c r="GXP159"/>
      <c r="GXQ159"/>
      <c r="GXR159"/>
      <c r="GXS159"/>
      <c r="GXT159"/>
      <c r="GXU159"/>
      <c r="GXV159"/>
      <c r="GXW159"/>
      <c r="GXX159"/>
      <c r="GXY159"/>
      <c r="GXZ159"/>
      <c r="GYA159"/>
      <c r="GYB159"/>
      <c r="GYC159"/>
      <c r="GYD159"/>
      <c r="GYE159"/>
      <c r="GYF159"/>
      <c r="GYG159"/>
      <c r="GYH159"/>
      <c r="GYI159"/>
      <c r="GYJ159"/>
      <c r="GYK159"/>
      <c r="GYL159"/>
      <c r="GYM159"/>
      <c r="GYN159"/>
      <c r="GYO159"/>
      <c r="GYP159"/>
      <c r="GYQ159"/>
      <c r="GYR159"/>
      <c r="GYS159"/>
      <c r="GYT159"/>
      <c r="GYU159"/>
      <c r="GYV159"/>
      <c r="GYW159"/>
      <c r="GYX159"/>
      <c r="GYY159"/>
      <c r="GYZ159"/>
      <c r="GZA159"/>
      <c r="GZB159"/>
      <c r="GZC159"/>
      <c r="GZD159"/>
      <c r="GZE159"/>
      <c r="GZF159"/>
      <c r="GZG159"/>
      <c r="GZH159"/>
      <c r="GZI159"/>
      <c r="GZJ159"/>
      <c r="GZK159"/>
      <c r="GZL159"/>
      <c r="GZM159"/>
      <c r="GZN159"/>
      <c r="GZO159"/>
      <c r="GZP159"/>
      <c r="GZQ159"/>
      <c r="GZR159"/>
      <c r="GZS159"/>
      <c r="GZT159"/>
      <c r="GZU159"/>
      <c r="GZV159"/>
      <c r="GZW159"/>
      <c r="GZX159"/>
      <c r="GZY159"/>
      <c r="GZZ159"/>
      <c r="HAA159"/>
      <c r="HAB159"/>
      <c r="HAC159"/>
      <c r="HAD159"/>
      <c r="HAE159"/>
      <c r="HAF159"/>
      <c r="HAG159"/>
      <c r="HAH159"/>
      <c r="HAI159"/>
      <c r="HAJ159"/>
      <c r="HAK159"/>
      <c r="HAL159"/>
      <c r="HAM159"/>
      <c r="HAN159"/>
      <c r="HAO159"/>
      <c r="HAP159"/>
      <c r="HAQ159"/>
      <c r="HAR159"/>
      <c r="HAS159"/>
      <c r="HAT159"/>
      <c r="HAU159"/>
      <c r="HAV159"/>
      <c r="HAW159"/>
      <c r="HAX159"/>
      <c r="HAY159"/>
      <c r="HAZ159"/>
      <c r="HBA159"/>
      <c r="HBB159"/>
      <c r="HBC159"/>
      <c r="HBD159"/>
      <c r="HBE159"/>
      <c r="HBF159"/>
      <c r="HBG159"/>
      <c r="HBH159"/>
      <c r="HBI159"/>
      <c r="HBJ159"/>
      <c r="HBK159"/>
      <c r="HBL159"/>
      <c r="HBM159"/>
      <c r="HBN159"/>
      <c r="HBO159"/>
      <c r="HBP159"/>
      <c r="HBQ159"/>
      <c r="HBR159"/>
      <c r="HBS159"/>
      <c r="HBT159"/>
      <c r="HBU159"/>
      <c r="HBV159"/>
      <c r="HBW159"/>
      <c r="HBX159"/>
      <c r="HBY159"/>
      <c r="HBZ159"/>
      <c r="HCA159"/>
      <c r="HCB159"/>
      <c r="HCC159"/>
      <c r="HCD159"/>
      <c r="HCE159"/>
      <c r="HCF159"/>
      <c r="HCG159"/>
      <c r="HCH159"/>
      <c r="HCI159"/>
      <c r="HCJ159"/>
      <c r="HCK159"/>
      <c r="HCL159"/>
      <c r="HCM159"/>
      <c r="HCN159"/>
      <c r="HCO159"/>
      <c r="HCP159"/>
      <c r="HCQ159"/>
      <c r="HCR159"/>
      <c r="HCS159"/>
      <c r="HCT159"/>
      <c r="HCU159"/>
      <c r="HCV159"/>
      <c r="HCW159"/>
      <c r="HCX159"/>
      <c r="HCY159"/>
      <c r="HCZ159"/>
      <c r="HDA159"/>
      <c r="HDB159"/>
      <c r="HDC159"/>
      <c r="HDD159"/>
      <c r="HDE159"/>
      <c r="HDF159"/>
      <c r="HDG159"/>
      <c r="HDH159"/>
      <c r="HDI159"/>
      <c r="HDJ159"/>
      <c r="HDK159"/>
      <c r="HDL159"/>
      <c r="HDM159"/>
      <c r="HDN159"/>
      <c r="HDO159"/>
      <c r="HDP159"/>
      <c r="HDQ159"/>
      <c r="HDR159"/>
      <c r="HDS159"/>
      <c r="HDT159"/>
      <c r="HDU159"/>
      <c r="HDV159"/>
      <c r="HDW159"/>
      <c r="HDX159"/>
      <c r="HDY159"/>
      <c r="HDZ159"/>
      <c r="HEA159"/>
      <c r="HEB159"/>
      <c r="HEC159"/>
      <c r="HED159"/>
      <c r="HEE159"/>
      <c r="HEF159"/>
      <c r="HEG159"/>
      <c r="HEH159"/>
      <c r="HEI159"/>
      <c r="HEJ159"/>
      <c r="HEK159"/>
      <c r="HEL159"/>
      <c r="HEM159"/>
      <c r="HEN159"/>
      <c r="HEO159"/>
      <c r="HEP159"/>
      <c r="HEQ159"/>
      <c r="HER159"/>
      <c r="HES159"/>
      <c r="HET159"/>
      <c r="HEU159"/>
      <c r="HEV159"/>
      <c r="HEW159"/>
      <c r="HEX159"/>
      <c r="HEY159"/>
      <c r="HEZ159"/>
      <c r="HFA159"/>
      <c r="HFB159"/>
      <c r="HFC159"/>
      <c r="HFD159"/>
      <c r="HFE159"/>
      <c r="HFF159"/>
      <c r="HFG159"/>
      <c r="HFH159"/>
      <c r="HFI159"/>
      <c r="HFJ159"/>
      <c r="HFK159"/>
      <c r="HFL159"/>
      <c r="HFM159"/>
      <c r="HFN159"/>
      <c r="HFO159"/>
      <c r="HFP159"/>
      <c r="HFQ159"/>
      <c r="HFR159"/>
      <c r="HFS159"/>
      <c r="HFT159"/>
      <c r="HFU159"/>
      <c r="HFV159"/>
      <c r="HFW159"/>
      <c r="HFX159"/>
      <c r="HFY159"/>
      <c r="HFZ159"/>
      <c r="HGA159"/>
      <c r="HGB159"/>
      <c r="HGC159"/>
      <c r="HGD159"/>
      <c r="HGE159"/>
      <c r="HGF159"/>
      <c r="HGG159"/>
      <c r="HGH159"/>
      <c r="HGI159"/>
      <c r="HGJ159"/>
      <c r="HGK159"/>
      <c r="HGL159"/>
      <c r="HGM159"/>
      <c r="HGN159"/>
      <c r="HGO159"/>
      <c r="HGP159"/>
      <c r="HGQ159"/>
      <c r="HGR159"/>
      <c r="HGS159"/>
      <c r="HGT159"/>
      <c r="HGU159"/>
      <c r="HGV159"/>
      <c r="HGW159"/>
      <c r="HGX159"/>
      <c r="HGY159"/>
      <c r="HGZ159"/>
      <c r="HHA159"/>
      <c r="HHB159"/>
      <c r="HHC159"/>
      <c r="HHD159"/>
      <c r="HHE159"/>
      <c r="HHF159"/>
      <c r="HHG159"/>
      <c r="HHH159"/>
      <c r="HHI159"/>
      <c r="HHJ159"/>
      <c r="HHK159"/>
      <c r="HHL159"/>
      <c r="HHM159"/>
      <c r="HHN159"/>
      <c r="HHO159"/>
      <c r="HHP159"/>
      <c r="HHQ159"/>
      <c r="HHR159"/>
      <c r="HHS159"/>
      <c r="HHT159"/>
      <c r="HHU159"/>
      <c r="HHV159"/>
      <c r="HHW159"/>
      <c r="HHX159"/>
      <c r="HHY159"/>
      <c r="HHZ159"/>
      <c r="HIA159"/>
      <c r="HIB159"/>
      <c r="HIC159"/>
      <c r="HID159"/>
      <c r="HIE159"/>
      <c r="HIF159"/>
      <c r="HIG159"/>
      <c r="HIH159"/>
      <c r="HII159"/>
      <c r="HIJ159"/>
      <c r="HIK159"/>
      <c r="HIL159"/>
      <c r="HIM159"/>
      <c r="HIN159"/>
      <c r="HIO159"/>
      <c r="HIP159"/>
      <c r="HIQ159"/>
      <c r="HIR159"/>
      <c r="HIS159"/>
      <c r="HIT159"/>
      <c r="HIU159"/>
      <c r="HIV159"/>
      <c r="HIW159"/>
      <c r="HIX159"/>
      <c r="HIY159"/>
      <c r="HIZ159"/>
      <c r="HJA159"/>
      <c r="HJB159"/>
      <c r="HJC159"/>
      <c r="HJD159"/>
      <c r="HJE159"/>
      <c r="HJF159"/>
      <c r="HJG159"/>
      <c r="HJH159"/>
      <c r="HJI159"/>
      <c r="HJJ159"/>
      <c r="HJK159"/>
      <c r="HJL159"/>
      <c r="HJM159"/>
      <c r="HJN159"/>
      <c r="HJO159"/>
      <c r="HJP159"/>
      <c r="HJQ159"/>
      <c r="HJR159"/>
      <c r="HJS159"/>
      <c r="HJT159"/>
      <c r="HJU159"/>
      <c r="HJV159"/>
      <c r="HJW159"/>
      <c r="HJX159"/>
      <c r="HJY159"/>
      <c r="HJZ159"/>
      <c r="HKA159"/>
      <c r="HKB159"/>
      <c r="HKC159"/>
      <c r="HKD159"/>
      <c r="HKE159"/>
      <c r="HKF159"/>
      <c r="HKG159"/>
      <c r="HKH159"/>
      <c r="HKI159"/>
      <c r="HKJ159"/>
      <c r="HKK159"/>
      <c r="HKL159"/>
      <c r="HKM159"/>
      <c r="HKN159"/>
      <c r="HKO159"/>
      <c r="HKP159"/>
      <c r="HKQ159"/>
      <c r="HKR159"/>
      <c r="HKS159"/>
      <c r="HKT159"/>
      <c r="HKU159"/>
      <c r="HKV159"/>
      <c r="HKW159"/>
      <c r="HKX159"/>
      <c r="HKY159"/>
      <c r="HKZ159"/>
      <c r="HLA159"/>
      <c r="HLB159"/>
      <c r="HLC159"/>
      <c r="HLD159"/>
      <c r="HLE159"/>
      <c r="HLF159"/>
      <c r="HLG159"/>
      <c r="HLH159"/>
      <c r="HLI159"/>
      <c r="HLJ159"/>
      <c r="HLK159"/>
      <c r="HLL159"/>
      <c r="HLM159"/>
      <c r="HLN159"/>
      <c r="HLO159"/>
      <c r="HLP159"/>
      <c r="HLQ159"/>
      <c r="HLR159"/>
      <c r="HLS159"/>
      <c r="HLT159"/>
      <c r="HLU159"/>
      <c r="HLV159"/>
      <c r="HLW159"/>
      <c r="HLX159"/>
      <c r="HLY159"/>
      <c r="HLZ159"/>
      <c r="HMA159"/>
      <c r="HMB159"/>
      <c r="HMC159"/>
      <c r="HMD159"/>
      <c r="HME159"/>
      <c r="HMF159"/>
      <c r="HMG159"/>
      <c r="HMH159"/>
      <c r="HMI159"/>
      <c r="HMJ159"/>
      <c r="HMK159"/>
      <c r="HML159"/>
      <c r="HMM159"/>
      <c r="HMN159"/>
      <c r="HMO159"/>
      <c r="HMP159"/>
      <c r="HMQ159"/>
      <c r="HMR159"/>
      <c r="HMS159"/>
      <c r="HMT159"/>
      <c r="HMU159"/>
      <c r="HMV159"/>
      <c r="HMW159"/>
      <c r="HMX159"/>
      <c r="HMY159"/>
      <c r="HMZ159"/>
      <c r="HNA159"/>
      <c r="HNB159"/>
      <c r="HNC159"/>
      <c r="HND159"/>
      <c r="HNE159"/>
      <c r="HNF159"/>
      <c r="HNG159"/>
      <c r="HNH159"/>
      <c r="HNI159"/>
      <c r="HNJ159"/>
      <c r="HNK159"/>
      <c r="HNL159"/>
      <c r="HNM159"/>
      <c r="HNN159"/>
      <c r="HNO159"/>
      <c r="HNP159"/>
      <c r="HNQ159"/>
      <c r="HNR159"/>
      <c r="HNS159"/>
      <c r="HNT159"/>
      <c r="HNU159"/>
      <c r="HNV159"/>
      <c r="HNW159"/>
      <c r="HNX159"/>
      <c r="HNY159"/>
      <c r="HNZ159"/>
      <c r="HOA159"/>
      <c r="HOB159"/>
      <c r="HOC159"/>
      <c r="HOD159"/>
      <c r="HOE159"/>
      <c r="HOF159"/>
      <c r="HOG159"/>
      <c r="HOH159"/>
      <c r="HOI159"/>
      <c r="HOJ159"/>
      <c r="HOK159"/>
      <c r="HOL159"/>
      <c r="HOM159"/>
      <c r="HON159"/>
      <c r="HOO159"/>
      <c r="HOP159"/>
      <c r="HOQ159"/>
      <c r="HOR159"/>
      <c r="HOS159"/>
      <c r="HOT159"/>
      <c r="HOU159"/>
      <c r="HOV159"/>
      <c r="HOW159"/>
      <c r="HOX159"/>
      <c r="HOY159"/>
      <c r="HOZ159"/>
      <c r="HPA159"/>
      <c r="HPB159"/>
      <c r="HPC159"/>
      <c r="HPD159"/>
      <c r="HPE159"/>
      <c r="HPF159"/>
      <c r="HPG159"/>
      <c r="HPH159"/>
      <c r="HPI159"/>
      <c r="HPJ159"/>
      <c r="HPK159"/>
      <c r="HPL159"/>
      <c r="HPM159"/>
      <c r="HPN159"/>
      <c r="HPO159"/>
      <c r="HPP159"/>
      <c r="HPQ159"/>
      <c r="HPR159"/>
      <c r="HPS159"/>
      <c r="HPT159"/>
      <c r="HPU159"/>
      <c r="HPV159"/>
      <c r="HPW159"/>
      <c r="HPX159"/>
      <c r="HPY159"/>
      <c r="HPZ159"/>
      <c r="HQA159"/>
      <c r="HQB159"/>
      <c r="HQC159"/>
      <c r="HQD159"/>
      <c r="HQE159"/>
      <c r="HQF159"/>
      <c r="HQG159"/>
      <c r="HQH159"/>
      <c r="HQI159"/>
      <c r="HQJ159"/>
      <c r="HQK159"/>
      <c r="HQL159"/>
      <c r="HQM159"/>
      <c r="HQN159"/>
      <c r="HQO159"/>
      <c r="HQP159"/>
      <c r="HQQ159"/>
      <c r="HQR159"/>
      <c r="HQS159"/>
      <c r="HQT159"/>
      <c r="HQU159"/>
      <c r="HQV159"/>
      <c r="HQW159"/>
      <c r="HQX159"/>
      <c r="HQY159"/>
      <c r="HQZ159"/>
      <c r="HRA159"/>
      <c r="HRB159"/>
      <c r="HRC159"/>
      <c r="HRD159"/>
      <c r="HRE159"/>
      <c r="HRF159"/>
      <c r="HRG159"/>
      <c r="HRH159"/>
      <c r="HRI159"/>
      <c r="HRJ159"/>
      <c r="HRK159"/>
      <c r="HRL159"/>
      <c r="HRM159"/>
      <c r="HRN159"/>
      <c r="HRO159"/>
      <c r="HRP159"/>
      <c r="HRQ159"/>
      <c r="HRR159"/>
      <c r="HRS159"/>
      <c r="HRT159"/>
      <c r="HRU159"/>
      <c r="HRV159"/>
      <c r="HRW159"/>
      <c r="HRX159"/>
      <c r="HRY159"/>
      <c r="HRZ159"/>
      <c r="HSA159"/>
      <c r="HSB159"/>
      <c r="HSC159"/>
      <c r="HSD159"/>
      <c r="HSE159"/>
      <c r="HSF159"/>
      <c r="HSG159"/>
      <c r="HSH159"/>
      <c r="HSI159"/>
      <c r="HSJ159"/>
      <c r="HSK159"/>
      <c r="HSL159"/>
      <c r="HSM159"/>
      <c r="HSN159"/>
      <c r="HSO159"/>
      <c r="HSP159"/>
      <c r="HSQ159"/>
      <c r="HSR159"/>
      <c r="HSS159"/>
      <c r="HST159"/>
      <c r="HSU159"/>
      <c r="HSV159"/>
      <c r="HSW159"/>
      <c r="HSX159"/>
      <c r="HSY159"/>
      <c r="HSZ159"/>
      <c r="HTA159"/>
      <c r="HTB159"/>
      <c r="HTC159"/>
      <c r="HTD159"/>
      <c r="HTE159"/>
      <c r="HTF159"/>
      <c r="HTG159"/>
      <c r="HTH159"/>
      <c r="HTI159"/>
      <c r="HTJ159"/>
      <c r="HTK159"/>
      <c r="HTL159"/>
      <c r="HTM159"/>
      <c r="HTN159"/>
      <c r="HTO159"/>
      <c r="HTP159"/>
      <c r="HTQ159"/>
      <c r="HTR159"/>
      <c r="HTS159"/>
      <c r="HTT159"/>
      <c r="HTU159"/>
      <c r="HTV159"/>
      <c r="HTW159"/>
      <c r="HTX159"/>
      <c r="HTY159"/>
      <c r="HTZ159"/>
      <c r="HUA159"/>
      <c r="HUB159"/>
      <c r="HUC159"/>
      <c r="HUD159"/>
      <c r="HUE159"/>
      <c r="HUF159"/>
      <c r="HUG159"/>
      <c r="HUH159"/>
      <c r="HUI159"/>
      <c r="HUJ159"/>
      <c r="HUK159"/>
      <c r="HUL159"/>
      <c r="HUM159"/>
      <c r="HUN159"/>
      <c r="HUO159"/>
      <c r="HUP159"/>
      <c r="HUQ159"/>
      <c r="HUR159"/>
      <c r="HUS159"/>
      <c r="HUT159"/>
      <c r="HUU159"/>
      <c r="HUV159"/>
      <c r="HUW159"/>
      <c r="HUX159"/>
      <c r="HUY159"/>
      <c r="HUZ159"/>
      <c r="HVA159"/>
      <c r="HVB159"/>
      <c r="HVC159"/>
      <c r="HVD159"/>
      <c r="HVE159"/>
      <c r="HVF159"/>
      <c r="HVG159"/>
      <c r="HVH159"/>
      <c r="HVI159"/>
      <c r="HVJ159"/>
      <c r="HVK159"/>
      <c r="HVL159"/>
      <c r="HVM159"/>
      <c r="HVN159"/>
      <c r="HVO159"/>
      <c r="HVP159"/>
      <c r="HVQ159"/>
      <c r="HVR159"/>
      <c r="HVS159"/>
      <c r="HVT159"/>
      <c r="HVU159"/>
      <c r="HVV159"/>
      <c r="HVW159"/>
      <c r="HVX159"/>
      <c r="HVY159"/>
      <c r="HVZ159"/>
      <c r="HWA159"/>
      <c r="HWB159"/>
      <c r="HWC159"/>
      <c r="HWD159"/>
      <c r="HWE159"/>
      <c r="HWF159"/>
      <c r="HWG159"/>
      <c r="HWH159"/>
      <c r="HWI159"/>
      <c r="HWJ159"/>
      <c r="HWK159"/>
      <c r="HWL159"/>
      <c r="HWM159"/>
      <c r="HWN159"/>
      <c r="HWO159"/>
      <c r="HWP159"/>
      <c r="HWQ159"/>
      <c r="HWR159"/>
      <c r="HWS159"/>
      <c r="HWT159"/>
      <c r="HWU159"/>
      <c r="HWV159"/>
      <c r="HWW159"/>
      <c r="HWX159"/>
      <c r="HWY159"/>
      <c r="HWZ159"/>
      <c r="HXA159"/>
      <c r="HXB159"/>
      <c r="HXC159"/>
      <c r="HXD159"/>
      <c r="HXE159"/>
      <c r="HXF159"/>
      <c r="HXG159"/>
      <c r="HXH159"/>
      <c r="HXI159"/>
      <c r="HXJ159"/>
      <c r="HXK159"/>
      <c r="HXL159"/>
      <c r="HXM159"/>
      <c r="HXN159"/>
      <c r="HXO159"/>
      <c r="HXP159"/>
      <c r="HXQ159"/>
      <c r="HXR159"/>
      <c r="HXS159"/>
      <c r="HXT159"/>
      <c r="HXU159"/>
      <c r="HXV159"/>
      <c r="HXW159"/>
      <c r="HXX159"/>
      <c r="HXY159"/>
      <c r="HXZ159"/>
      <c r="HYA159"/>
      <c r="HYB159"/>
      <c r="HYC159"/>
      <c r="HYD159"/>
      <c r="HYE159"/>
      <c r="HYF159"/>
      <c r="HYG159"/>
      <c r="HYH159"/>
      <c r="HYI159"/>
      <c r="HYJ159"/>
      <c r="HYK159"/>
      <c r="HYL159"/>
      <c r="HYM159"/>
      <c r="HYN159"/>
      <c r="HYO159"/>
      <c r="HYP159"/>
      <c r="HYQ159"/>
      <c r="HYR159"/>
      <c r="HYS159"/>
      <c r="HYT159"/>
      <c r="HYU159"/>
      <c r="HYV159"/>
      <c r="HYW159"/>
      <c r="HYX159"/>
      <c r="HYY159"/>
      <c r="HYZ159"/>
      <c r="HZA159"/>
      <c r="HZB159"/>
      <c r="HZC159"/>
      <c r="HZD159"/>
      <c r="HZE159"/>
      <c r="HZF159"/>
      <c r="HZG159"/>
      <c r="HZH159"/>
      <c r="HZI159"/>
      <c r="HZJ159"/>
      <c r="HZK159"/>
      <c r="HZL159"/>
      <c r="HZM159"/>
      <c r="HZN159"/>
      <c r="HZO159"/>
      <c r="HZP159"/>
      <c r="HZQ159"/>
      <c r="HZR159"/>
      <c r="HZS159"/>
      <c r="HZT159"/>
      <c r="HZU159"/>
      <c r="HZV159"/>
      <c r="HZW159"/>
      <c r="HZX159"/>
      <c r="HZY159"/>
      <c r="HZZ159"/>
      <c r="IAA159"/>
      <c r="IAB159"/>
      <c r="IAC159"/>
      <c r="IAD159"/>
      <c r="IAE159"/>
      <c r="IAF159"/>
      <c r="IAG159"/>
      <c r="IAH159"/>
      <c r="IAI159"/>
      <c r="IAJ159"/>
      <c r="IAK159"/>
      <c r="IAL159"/>
      <c r="IAM159"/>
      <c r="IAN159"/>
      <c r="IAO159"/>
      <c r="IAP159"/>
      <c r="IAQ159"/>
      <c r="IAR159"/>
      <c r="IAS159"/>
      <c r="IAT159"/>
      <c r="IAU159"/>
      <c r="IAV159"/>
      <c r="IAW159"/>
      <c r="IAX159"/>
      <c r="IAY159"/>
      <c r="IAZ159"/>
      <c r="IBA159"/>
      <c r="IBB159"/>
      <c r="IBC159"/>
      <c r="IBD159"/>
      <c r="IBE159"/>
      <c r="IBF159"/>
      <c r="IBG159"/>
      <c r="IBH159"/>
      <c r="IBI159"/>
      <c r="IBJ159"/>
      <c r="IBK159"/>
      <c r="IBL159"/>
      <c r="IBM159"/>
      <c r="IBN159"/>
      <c r="IBO159"/>
      <c r="IBP159"/>
      <c r="IBQ159"/>
      <c r="IBR159"/>
      <c r="IBS159"/>
      <c r="IBT159"/>
      <c r="IBU159"/>
      <c r="IBV159"/>
      <c r="IBW159"/>
      <c r="IBX159"/>
      <c r="IBY159"/>
      <c r="IBZ159"/>
      <c r="ICA159"/>
      <c r="ICB159"/>
      <c r="ICC159"/>
      <c r="ICD159"/>
      <c r="ICE159"/>
      <c r="ICF159"/>
      <c r="ICG159"/>
      <c r="ICH159"/>
      <c r="ICI159"/>
      <c r="ICJ159"/>
      <c r="ICK159"/>
      <c r="ICL159"/>
      <c r="ICM159"/>
      <c r="ICN159"/>
      <c r="ICO159"/>
      <c r="ICP159"/>
      <c r="ICQ159"/>
      <c r="ICR159"/>
      <c r="ICS159"/>
      <c r="ICT159"/>
      <c r="ICU159"/>
      <c r="ICV159"/>
      <c r="ICW159"/>
      <c r="ICX159"/>
      <c r="ICY159"/>
      <c r="ICZ159"/>
      <c r="IDA159"/>
      <c r="IDB159"/>
      <c r="IDC159"/>
      <c r="IDD159"/>
      <c r="IDE159"/>
      <c r="IDF159"/>
      <c r="IDG159"/>
      <c r="IDH159"/>
      <c r="IDI159"/>
      <c r="IDJ159"/>
      <c r="IDK159"/>
      <c r="IDL159"/>
      <c r="IDM159"/>
      <c r="IDN159"/>
      <c r="IDO159"/>
      <c r="IDP159"/>
      <c r="IDQ159"/>
      <c r="IDR159"/>
      <c r="IDS159"/>
      <c r="IDT159"/>
      <c r="IDU159"/>
      <c r="IDV159"/>
      <c r="IDW159"/>
      <c r="IDX159"/>
      <c r="IDY159"/>
      <c r="IDZ159"/>
      <c r="IEA159"/>
      <c r="IEB159"/>
      <c r="IEC159"/>
      <c r="IED159"/>
      <c r="IEE159"/>
      <c r="IEF159"/>
      <c r="IEG159"/>
      <c r="IEH159"/>
      <c r="IEI159"/>
      <c r="IEJ159"/>
      <c r="IEK159"/>
      <c r="IEL159"/>
      <c r="IEM159"/>
      <c r="IEN159"/>
      <c r="IEO159"/>
      <c r="IEP159"/>
      <c r="IEQ159"/>
      <c r="IER159"/>
      <c r="IES159"/>
      <c r="IET159"/>
      <c r="IEU159"/>
      <c r="IEV159"/>
      <c r="IEW159"/>
      <c r="IEX159"/>
      <c r="IEY159"/>
      <c r="IEZ159"/>
      <c r="IFA159"/>
      <c r="IFB159"/>
      <c r="IFC159"/>
      <c r="IFD159"/>
      <c r="IFE159"/>
      <c r="IFF159"/>
      <c r="IFG159"/>
      <c r="IFH159"/>
      <c r="IFI159"/>
      <c r="IFJ159"/>
      <c r="IFK159"/>
      <c r="IFL159"/>
      <c r="IFM159"/>
      <c r="IFN159"/>
      <c r="IFO159"/>
      <c r="IFP159"/>
      <c r="IFQ159"/>
      <c r="IFR159"/>
      <c r="IFS159"/>
      <c r="IFT159"/>
      <c r="IFU159"/>
      <c r="IFV159"/>
      <c r="IFW159"/>
      <c r="IFX159"/>
      <c r="IFY159"/>
      <c r="IFZ159"/>
      <c r="IGA159"/>
      <c r="IGB159"/>
      <c r="IGC159"/>
      <c r="IGD159"/>
      <c r="IGE159"/>
      <c r="IGF159"/>
      <c r="IGG159"/>
      <c r="IGH159"/>
      <c r="IGI159"/>
      <c r="IGJ159"/>
      <c r="IGK159"/>
      <c r="IGL159"/>
      <c r="IGM159"/>
      <c r="IGN159"/>
      <c r="IGO159"/>
      <c r="IGP159"/>
      <c r="IGQ159"/>
      <c r="IGR159"/>
      <c r="IGS159"/>
      <c r="IGT159"/>
      <c r="IGU159"/>
      <c r="IGV159"/>
      <c r="IGW159"/>
      <c r="IGX159"/>
      <c r="IGY159"/>
      <c r="IGZ159"/>
      <c r="IHA159"/>
      <c r="IHB159"/>
      <c r="IHC159"/>
      <c r="IHD159"/>
      <c r="IHE159"/>
      <c r="IHF159"/>
      <c r="IHG159"/>
      <c r="IHH159"/>
      <c r="IHI159"/>
      <c r="IHJ159"/>
      <c r="IHK159"/>
      <c r="IHL159"/>
      <c r="IHM159"/>
      <c r="IHN159"/>
      <c r="IHO159"/>
      <c r="IHP159"/>
      <c r="IHQ159"/>
      <c r="IHR159"/>
      <c r="IHS159"/>
      <c r="IHT159"/>
      <c r="IHU159"/>
      <c r="IHV159"/>
      <c r="IHW159"/>
      <c r="IHX159"/>
      <c r="IHY159"/>
      <c r="IHZ159"/>
      <c r="IIA159"/>
      <c r="IIB159"/>
      <c r="IIC159"/>
      <c r="IID159"/>
      <c r="IIE159"/>
      <c r="IIF159"/>
      <c r="IIG159"/>
      <c r="IIH159"/>
      <c r="III159"/>
      <c r="IIJ159"/>
      <c r="IIK159"/>
      <c r="IIL159"/>
      <c r="IIM159"/>
      <c r="IIN159"/>
      <c r="IIO159"/>
      <c r="IIP159"/>
      <c r="IIQ159"/>
      <c r="IIR159"/>
      <c r="IIS159"/>
      <c r="IIT159"/>
      <c r="IIU159"/>
      <c r="IIV159"/>
      <c r="IIW159"/>
      <c r="IIX159"/>
      <c r="IIY159"/>
      <c r="IIZ159"/>
      <c r="IJA159"/>
      <c r="IJB159"/>
      <c r="IJC159"/>
      <c r="IJD159"/>
      <c r="IJE159"/>
      <c r="IJF159"/>
      <c r="IJG159"/>
      <c r="IJH159"/>
      <c r="IJI159"/>
      <c r="IJJ159"/>
      <c r="IJK159"/>
      <c r="IJL159"/>
      <c r="IJM159"/>
      <c r="IJN159"/>
      <c r="IJO159"/>
      <c r="IJP159"/>
      <c r="IJQ159"/>
      <c r="IJR159"/>
      <c r="IJS159"/>
      <c r="IJT159"/>
      <c r="IJU159"/>
      <c r="IJV159"/>
      <c r="IJW159"/>
      <c r="IJX159"/>
      <c r="IJY159"/>
      <c r="IJZ159"/>
      <c r="IKA159"/>
      <c r="IKB159"/>
      <c r="IKC159"/>
      <c r="IKD159"/>
      <c r="IKE159"/>
      <c r="IKF159"/>
      <c r="IKG159"/>
      <c r="IKH159"/>
      <c r="IKI159"/>
      <c r="IKJ159"/>
      <c r="IKK159"/>
      <c r="IKL159"/>
      <c r="IKM159"/>
      <c r="IKN159"/>
      <c r="IKO159"/>
      <c r="IKP159"/>
      <c r="IKQ159"/>
      <c r="IKR159"/>
      <c r="IKS159"/>
      <c r="IKT159"/>
      <c r="IKU159"/>
      <c r="IKV159"/>
      <c r="IKW159"/>
      <c r="IKX159"/>
      <c r="IKY159"/>
      <c r="IKZ159"/>
      <c r="ILA159"/>
      <c r="ILB159"/>
      <c r="ILC159"/>
      <c r="ILD159"/>
      <c r="ILE159"/>
      <c r="ILF159"/>
      <c r="ILG159"/>
      <c r="ILH159"/>
      <c r="ILI159"/>
      <c r="ILJ159"/>
      <c r="ILK159"/>
      <c r="ILL159"/>
      <c r="ILM159"/>
      <c r="ILN159"/>
      <c r="ILO159"/>
      <c r="ILP159"/>
      <c r="ILQ159"/>
      <c r="ILR159"/>
      <c r="ILS159"/>
      <c r="ILT159"/>
      <c r="ILU159"/>
      <c r="ILV159"/>
      <c r="ILW159"/>
      <c r="ILX159"/>
      <c r="ILY159"/>
      <c r="ILZ159"/>
      <c r="IMA159"/>
      <c r="IMB159"/>
      <c r="IMC159"/>
      <c r="IMD159"/>
      <c r="IME159"/>
      <c r="IMF159"/>
      <c r="IMG159"/>
      <c r="IMH159"/>
      <c r="IMI159"/>
      <c r="IMJ159"/>
      <c r="IMK159"/>
      <c r="IML159"/>
      <c r="IMM159"/>
      <c r="IMN159"/>
      <c r="IMO159"/>
      <c r="IMP159"/>
      <c r="IMQ159"/>
      <c r="IMR159"/>
      <c r="IMS159"/>
      <c r="IMT159"/>
      <c r="IMU159"/>
      <c r="IMV159"/>
      <c r="IMW159"/>
      <c r="IMX159"/>
      <c r="IMY159"/>
      <c r="IMZ159"/>
      <c r="INA159"/>
      <c r="INB159"/>
      <c r="INC159"/>
      <c r="IND159"/>
      <c r="INE159"/>
      <c r="INF159"/>
      <c r="ING159"/>
      <c r="INH159"/>
      <c r="INI159"/>
      <c r="INJ159"/>
      <c r="INK159"/>
      <c r="INL159"/>
      <c r="INM159"/>
      <c r="INN159"/>
      <c r="INO159"/>
      <c r="INP159"/>
      <c r="INQ159"/>
      <c r="INR159"/>
      <c r="INS159"/>
      <c r="INT159"/>
      <c r="INU159"/>
      <c r="INV159"/>
      <c r="INW159"/>
      <c r="INX159"/>
      <c r="INY159"/>
      <c r="INZ159"/>
      <c r="IOA159"/>
      <c r="IOB159"/>
      <c r="IOC159"/>
      <c r="IOD159"/>
      <c r="IOE159"/>
      <c r="IOF159"/>
      <c r="IOG159"/>
      <c r="IOH159"/>
      <c r="IOI159"/>
      <c r="IOJ159"/>
      <c r="IOK159"/>
      <c r="IOL159"/>
      <c r="IOM159"/>
      <c r="ION159"/>
      <c r="IOO159"/>
      <c r="IOP159"/>
      <c r="IOQ159"/>
      <c r="IOR159"/>
      <c r="IOS159"/>
      <c r="IOT159"/>
      <c r="IOU159"/>
      <c r="IOV159"/>
      <c r="IOW159"/>
      <c r="IOX159"/>
      <c r="IOY159"/>
      <c r="IOZ159"/>
      <c r="IPA159"/>
      <c r="IPB159"/>
      <c r="IPC159"/>
      <c r="IPD159"/>
      <c r="IPE159"/>
      <c r="IPF159"/>
      <c r="IPG159"/>
      <c r="IPH159"/>
      <c r="IPI159"/>
      <c r="IPJ159"/>
      <c r="IPK159"/>
      <c r="IPL159"/>
      <c r="IPM159"/>
      <c r="IPN159"/>
      <c r="IPO159"/>
      <c r="IPP159"/>
      <c r="IPQ159"/>
      <c r="IPR159"/>
      <c r="IPS159"/>
      <c r="IPT159"/>
      <c r="IPU159"/>
      <c r="IPV159"/>
      <c r="IPW159"/>
      <c r="IPX159"/>
      <c r="IPY159"/>
      <c r="IPZ159"/>
      <c r="IQA159"/>
      <c r="IQB159"/>
      <c r="IQC159"/>
      <c r="IQD159"/>
      <c r="IQE159"/>
      <c r="IQF159"/>
      <c r="IQG159"/>
      <c r="IQH159"/>
      <c r="IQI159"/>
      <c r="IQJ159"/>
      <c r="IQK159"/>
      <c r="IQL159"/>
      <c r="IQM159"/>
      <c r="IQN159"/>
      <c r="IQO159"/>
      <c r="IQP159"/>
      <c r="IQQ159"/>
      <c r="IQR159"/>
      <c r="IQS159"/>
      <c r="IQT159"/>
      <c r="IQU159"/>
      <c r="IQV159"/>
      <c r="IQW159"/>
      <c r="IQX159"/>
      <c r="IQY159"/>
      <c r="IQZ159"/>
      <c r="IRA159"/>
      <c r="IRB159"/>
      <c r="IRC159"/>
      <c r="IRD159"/>
      <c r="IRE159"/>
      <c r="IRF159"/>
      <c r="IRG159"/>
      <c r="IRH159"/>
      <c r="IRI159"/>
      <c r="IRJ159"/>
      <c r="IRK159"/>
      <c r="IRL159"/>
      <c r="IRM159"/>
      <c r="IRN159"/>
      <c r="IRO159"/>
      <c r="IRP159"/>
      <c r="IRQ159"/>
      <c r="IRR159"/>
      <c r="IRS159"/>
      <c r="IRT159"/>
      <c r="IRU159"/>
      <c r="IRV159"/>
      <c r="IRW159"/>
      <c r="IRX159"/>
      <c r="IRY159"/>
      <c r="IRZ159"/>
      <c r="ISA159"/>
      <c r="ISB159"/>
      <c r="ISC159"/>
      <c r="ISD159"/>
      <c r="ISE159"/>
      <c r="ISF159"/>
      <c r="ISG159"/>
      <c r="ISH159"/>
      <c r="ISI159"/>
      <c r="ISJ159"/>
      <c r="ISK159"/>
      <c r="ISL159"/>
      <c r="ISM159"/>
      <c r="ISN159"/>
      <c r="ISO159"/>
      <c r="ISP159"/>
      <c r="ISQ159"/>
      <c r="ISR159"/>
      <c r="ISS159"/>
      <c r="IST159"/>
      <c r="ISU159"/>
      <c r="ISV159"/>
      <c r="ISW159"/>
      <c r="ISX159"/>
      <c r="ISY159"/>
      <c r="ISZ159"/>
      <c r="ITA159"/>
      <c r="ITB159"/>
      <c r="ITC159"/>
      <c r="ITD159"/>
      <c r="ITE159"/>
      <c r="ITF159"/>
      <c r="ITG159"/>
      <c r="ITH159"/>
      <c r="ITI159"/>
      <c r="ITJ159"/>
      <c r="ITK159"/>
      <c r="ITL159"/>
      <c r="ITM159"/>
      <c r="ITN159"/>
      <c r="ITO159"/>
      <c r="ITP159"/>
      <c r="ITQ159"/>
      <c r="ITR159"/>
      <c r="ITS159"/>
      <c r="ITT159"/>
      <c r="ITU159"/>
      <c r="ITV159"/>
      <c r="ITW159"/>
      <c r="ITX159"/>
      <c r="ITY159"/>
      <c r="ITZ159"/>
      <c r="IUA159"/>
      <c r="IUB159"/>
      <c r="IUC159"/>
      <c r="IUD159"/>
      <c r="IUE159"/>
      <c r="IUF159"/>
      <c r="IUG159"/>
      <c r="IUH159"/>
      <c r="IUI159"/>
      <c r="IUJ159"/>
      <c r="IUK159"/>
      <c r="IUL159"/>
      <c r="IUM159"/>
      <c r="IUN159"/>
      <c r="IUO159"/>
      <c r="IUP159"/>
      <c r="IUQ159"/>
      <c r="IUR159"/>
      <c r="IUS159"/>
      <c r="IUT159"/>
      <c r="IUU159"/>
      <c r="IUV159"/>
      <c r="IUW159"/>
      <c r="IUX159"/>
      <c r="IUY159"/>
      <c r="IUZ159"/>
      <c r="IVA159"/>
      <c r="IVB159"/>
      <c r="IVC159"/>
      <c r="IVD159"/>
      <c r="IVE159"/>
      <c r="IVF159"/>
      <c r="IVG159"/>
      <c r="IVH159"/>
      <c r="IVI159"/>
      <c r="IVJ159"/>
      <c r="IVK159"/>
      <c r="IVL159"/>
      <c r="IVM159"/>
      <c r="IVN159"/>
      <c r="IVO159"/>
      <c r="IVP159"/>
      <c r="IVQ159"/>
      <c r="IVR159"/>
      <c r="IVS159"/>
      <c r="IVT159"/>
      <c r="IVU159"/>
      <c r="IVV159"/>
      <c r="IVW159"/>
      <c r="IVX159"/>
      <c r="IVY159"/>
      <c r="IVZ159"/>
      <c r="IWA159"/>
      <c r="IWB159"/>
      <c r="IWC159"/>
      <c r="IWD159"/>
      <c r="IWE159"/>
      <c r="IWF159"/>
      <c r="IWG159"/>
      <c r="IWH159"/>
      <c r="IWI159"/>
      <c r="IWJ159"/>
      <c r="IWK159"/>
      <c r="IWL159"/>
      <c r="IWM159"/>
      <c r="IWN159"/>
      <c r="IWO159"/>
      <c r="IWP159"/>
      <c r="IWQ159"/>
      <c r="IWR159"/>
      <c r="IWS159"/>
      <c r="IWT159"/>
      <c r="IWU159"/>
      <c r="IWV159"/>
      <c r="IWW159"/>
      <c r="IWX159"/>
      <c r="IWY159"/>
      <c r="IWZ159"/>
      <c r="IXA159"/>
      <c r="IXB159"/>
      <c r="IXC159"/>
      <c r="IXD159"/>
      <c r="IXE159"/>
      <c r="IXF159"/>
      <c r="IXG159"/>
      <c r="IXH159"/>
      <c r="IXI159"/>
      <c r="IXJ159"/>
      <c r="IXK159"/>
      <c r="IXL159"/>
      <c r="IXM159"/>
      <c r="IXN159"/>
      <c r="IXO159"/>
      <c r="IXP159"/>
      <c r="IXQ159"/>
      <c r="IXR159"/>
      <c r="IXS159"/>
      <c r="IXT159"/>
      <c r="IXU159"/>
      <c r="IXV159"/>
      <c r="IXW159"/>
      <c r="IXX159"/>
      <c r="IXY159"/>
      <c r="IXZ159"/>
      <c r="IYA159"/>
      <c r="IYB159"/>
      <c r="IYC159"/>
      <c r="IYD159"/>
      <c r="IYE159"/>
      <c r="IYF159"/>
      <c r="IYG159"/>
      <c r="IYH159"/>
      <c r="IYI159"/>
      <c r="IYJ159"/>
      <c r="IYK159"/>
      <c r="IYL159"/>
      <c r="IYM159"/>
      <c r="IYN159"/>
      <c r="IYO159"/>
      <c r="IYP159"/>
      <c r="IYQ159"/>
      <c r="IYR159"/>
      <c r="IYS159"/>
      <c r="IYT159"/>
      <c r="IYU159"/>
      <c r="IYV159"/>
      <c r="IYW159"/>
      <c r="IYX159"/>
      <c r="IYY159"/>
      <c r="IYZ159"/>
      <c r="IZA159"/>
      <c r="IZB159"/>
      <c r="IZC159"/>
      <c r="IZD159"/>
      <c r="IZE159"/>
      <c r="IZF159"/>
      <c r="IZG159"/>
      <c r="IZH159"/>
      <c r="IZI159"/>
      <c r="IZJ159"/>
      <c r="IZK159"/>
      <c r="IZL159"/>
      <c r="IZM159"/>
      <c r="IZN159"/>
      <c r="IZO159"/>
      <c r="IZP159"/>
      <c r="IZQ159"/>
      <c r="IZR159"/>
      <c r="IZS159"/>
      <c r="IZT159"/>
      <c r="IZU159"/>
      <c r="IZV159"/>
      <c r="IZW159"/>
      <c r="IZX159"/>
      <c r="IZY159"/>
      <c r="IZZ159"/>
      <c r="JAA159"/>
      <c r="JAB159"/>
      <c r="JAC159"/>
      <c r="JAD159"/>
      <c r="JAE159"/>
      <c r="JAF159"/>
      <c r="JAG159"/>
      <c r="JAH159"/>
      <c r="JAI159"/>
      <c r="JAJ159"/>
      <c r="JAK159"/>
      <c r="JAL159"/>
      <c r="JAM159"/>
      <c r="JAN159"/>
      <c r="JAO159"/>
      <c r="JAP159"/>
      <c r="JAQ159"/>
      <c r="JAR159"/>
      <c r="JAS159"/>
      <c r="JAT159"/>
      <c r="JAU159"/>
      <c r="JAV159"/>
      <c r="JAW159"/>
      <c r="JAX159"/>
      <c r="JAY159"/>
      <c r="JAZ159"/>
      <c r="JBA159"/>
      <c r="JBB159"/>
      <c r="JBC159"/>
      <c r="JBD159"/>
      <c r="JBE159"/>
      <c r="JBF159"/>
      <c r="JBG159"/>
      <c r="JBH159"/>
      <c r="JBI159"/>
      <c r="JBJ159"/>
      <c r="JBK159"/>
      <c r="JBL159"/>
      <c r="JBM159"/>
      <c r="JBN159"/>
      <c r="JBO159"/>
      <c r="JBP159"/>
      <c r="JBQ159"/>
      <c r="JBR159"/>
      <c r="JBS159"/>
      <c r="JBT159"/>
      <c r="JBU159"/>
      <c r="JBV159"/>
      <c r="JBW159"/>
      <c r="JBX159"/>
      <c r="JBY159"/>
      <c r="JBZ159"/>
      <c r="JCA159"/>
      <c r="JCB159"/>
      <c r="JCC159"/>
      <c r="JCD159"/>
      <c r="JCE159"/>
      <c r="JCF159"/>
      <c r="JCG159"/>
      <c r="JCH159"/>
      <c r="JCI159"/>
      <c r="JCJ159"/>
      <c r="JCK159"/>
      <c r="JCL159"/>
      <c r="JCM159"/>
      <c r="JCN159"/>
      <c r="JCO159"/>
      <c r="JCP159"/>
      <c r="JCQ159"/>
      <c r="JCR159"/>
      <c r="JCS159"/>
      <c r="JCT159"/>
      <c r="JCU159"/>
      <c r="JCV159"/>
      <c r="JCW159"/>
      <c r="JCX159"/>
      <c r="JCY159"/>
      <c r="JCZ159"/>
      <c r="JDA159"/>
      <c r="JDB159"/>
      <c r="JDC159"/>
      <c r="JDD159"/>
      <c r="JDE159"/>
      <c r="JDF159"/>
      <c r="JDG159"/>
      <c r="JDH159"/>
      <c r="JDI159"/>
      <c r="JDJ159"/>
      <c r="JDK159"/>
      <c r="JDL159"/>
      <c r="JDM159"/>
      <c r="JDN159"/>
      <c r="JDO159"/>
      <c r="JDP159"/>
      <c r="JDQ159"/>
      <c r="JDR159"/>
      <c r="JDS159"/>
      <c r="JDT159"/>
      <c r="JDU159"/>
      <c r="JDV159"/>
      <c r="JDW159"/>
      <c r="JDX159"/>
      <c r="JDY159"/>
      <c r="JDZ159"/>
      <c r="JEA159"/>
      <c r="JEB159"/>
      <c r="JEC159"/>
      <c r="JED159"/>
      <c r="JEE159"/>
      <c r="JEF159"/>
      <c r="JEG159"/>
      <c r="JEH159"/>
      <c r="JEI159"/>
      <c r="JEJ159"/>
      <c r="JEK159"/>
      <c r="JEL159"/>
      <c r="JEM159"/>
      <c r="JEN159"/>
      <c r="JEO159"/>
      <c r="JEP159"/>
      <c r="JEQ159"/>
      <c r="JER159"/>
      <c r="JES159"/>
      <c r="JET159"/>
      <c r="JEU159"/>
      <c r="JEV159"/>
      <c r="JEW159"/>
      <c r="JEX159"/>
      <c r="JEY159"/>
      <c r="JEZ159"/>
      <c r="JFA159"/>
      <c r="JFB159"/>
      <c r="JFC159"/>
      <c r="JFD159"/>
      <c r="JFE159"/>
      <c r="JFF159"/>
      <c r="JFG159"/>
      <c r="JFH159"/>
      <c r="JFI159"/>
      <c r="JFJ159"/>
      <c r="JFK159"/>
      <c r="JFL159"/>
      <c r="JFM159"/>
      <c r="JFN159"/>
      <c r="JFO159"/>
      <c r="JFP159"/>
      <c r="JFQ159"/>
      <c r="JFR159"/>
      <c r="JFS159"/>
      <c r="JFT159"/>
      <c r="JFU159"/>
      <c r="JFV159"/>
      <c r="JFW159"/>
      <c r="JFX159"/>
      <c r="JFY159"/>
      <c r="JFZ159"/>
      <c r="JGA159"/>
      <c r="JGB159"/>
      <c r="JGC159"/>
      <c r="JGD159"/>
      <c r="JGE159"/>
      <c r="JGF159"/>
      <c r="JGG159"/>
      <c r="JGH159"/>
      <c r="JGI159"/>
      <c r="JGJ159"/>
      <c r="JGK159"/>
      <c r="JGL159"/>
      <c r="JGM159"/>
      <c r="JGN159"/>
      <c r="JGO159"/>
      <c r="JGP159"/>
      <c r="JGQ159"/>
      <c r="JGR159"/>
      <c r="JGS159"/>
      <c r="JGT159"/>
      <c r="JGU159"/>
      <c r="JGV159"/>
      <c r="JGW159"/>
      <c r="JGX159"/>
      <c r="JGY159"/>
      <c r="JGZ159"/>
      <c r="JHA159"/>
      <c r="JHB159"/>
      <c r="JHC159"/>
      <c r="JHD159"/>
      <c r="JHE159"/>
      <c r="JHF159"/>
      <c r="JHG159"/>
      <c r="JHH159"/>
      <c r="JHI159"/>
      <c r="JHJ159"/>
      <c r="JHK159"/>
      <c r="JHL159"/>
      <c r="JHM159"/>
      <c r="JHN159"/>
      <c r="JHO159"/>
      <c r="JHP159"/>
      <c r="JHQ159"/>
      <c r="JHR159"/>
      <c r="JHS159"/>
      <c r="JHT159"/>
      <c r="JHU159"/>
      <c r="JHV159"/>
      <c r="JHW159"/>
      <c r="JHX159"/>
      <c r="JHY159"/>
      <c r="JHZ159"/>
      <c r="JIA159"/>
      <c r="JIB159"/>
      <c r="JIC159"/>
      <c r="JID159"/>
      <c r="JIE159"/>
      <c r="JIF159"/>
      <c r="JIG159"/>
      <c r="JIH159"/>
      <c r="JII159"/>
      <c r="JIJ159"/>
      <c r="JIK159"/>
      <c r="JIL159"/>
      <c r="JIM159"/>
      <c r="JIN159"/>
      <c r="JIO159"/>
      <c r="JIP159"/>
      <c r="JIQ159"/>
      <c r="JIR159"/>
      <c r="JIS159"/>
      <c r="JIT159"/>
      <c r="JIU159"/>
      <c r="JIV159"/>
      <c r="JIW159"/>
      <c r="JIX159"/>
      <c r="JIY159"/>
      <c r="JIZ159"/>
      <c r="JJA159"/>
      <c r="JJB159"/>
      <c r="JJC159"/>
      <c r="JJD159"/>
      <c r="JJE159"/>
      <c r="JJF159"/>
      <c r="JJG159"/>
      <c r="JJH159"/>
      <c r="JJI159"/>
      <c r="JJJ159"/>
      <c r="JJK159"/>
      <c r="JJL159"/>
      <c r="JJM159"/>
      <c r="JJN159"/>
      <c r="JJO159"/>
      <c r="JJP159"/>
      <c r="JJQ159"/>
      <c r="JJR159"/>
      <c r="JJS159"/>
      <c r="JJT159"/>
      <c r="JJU159"/>
      <c r="JJV159"/>
      <c r="JJW159"/>
      <c r="JJX159"/>
      <c r="JJY159"/>
      <c r="JJZ159"/>
      <c r="JKA159"/>
      <c r="JKB159"/>
      <c r="JKC159"/>
      <c r="JKD159"/>
      <c r="JKE159"/>
      <c r="JKF159"/>
      <c r="JKG159"/>
      <c r="JKH159"/>
      <c r="JKI159"/>
      <c r="JKJ159"/>
      <c r="JKK159"/>
      <c r="JKL159"/>
      <c r="JKM159"/>
      <c r="JKN159"/>
      <c r="JKO159"/>
      <c r="JKP159"/>
      <c r="JKQ159"/>
      <c r="JKR159"/>
      <c r="JKS159"/>
      <c r="JKT159"/>
      <c r="JKU159"/>
      <c r="JKV159"/>
      <c r="JKW159"/>
      <c r="JKX159"/>
      <c r="JKY159"/>
      <c r="JKZ159"/>
      <c r="JLA159"/>
      <c r="JLB159"/>
      <c r="JLC159"/>
      <c r="JLD159"/>
      <c r="JLE159"/>
      <c r="JLF159"/>
      <c r="JLG159"/>
      <c r="JLH159"/>
      <c r="JLI159"/>
      <c r="JLJ159"/>
      <c r="JLK159"/>
      <c r="JLL159"/>
      <c r="JLM159"/>
      <c r="JLN159"/>
      <c r="JLO159"/>
      <c r="JLP159"/>
      <c r="JLQ159"/>
      <c r="JLR159"/>
      <c r="JLS159"/>
      <c r="JLT159"/>
      <c r="JLU159"/>
      <c r="JLV159"/>
      <c r="JLW159"/>
      <c r="JLX159"/>
      <c r="JLY159"/>
      <c r="JLZ159"/>
      <c r="JMA159"/>
      <c r="JMB159"/>
      <c r="JMC159"/>
      <c r="JMD159"/>
      <c r="JME159"/>
      <c r="JMF159"/>
      <c r="JMG159"/>
      <c r="JMH159"/>
      <c r="JMI159"/>
      <c r="JMJ159"/>
      <c r="JMK159"/>
      <c r="JML159"/>
      <c r="JMM159"/>
      <c r="JMN159"/>
      <c r="JMO159"/>
      <c r="JMP159"/>
      <c r="JMQ159"/>
      <c r="JMR159"/>
      <c r="JMS159"/>
      <c r="JMT159"/>
      <c r="JMU159"/>
      <c r="JMV159"/>
      <c r="JMW159"/>
      <c r="JMX159"/>
      <c r="JMY159"/>
      <c r="JMZ159"/>
      <c r="JNA159"/>
      <c r="JNB159"/>
      <c r="JNC159"/>
      <c r="JND159"/>
      <c r="JNE159"/>
      <c r="JNF159"/>
      <c r="JNG159"/>
      <c r="JNH159"/>
      <c r="JNI159"/>
      <c r="JNJ159"/>
      <c r="JNK159"/>
      <c r="JNL159"/>
      <c r="JNM159"/>
      <c r="JNN159"/>
      <c r="JNO159"/>
      <c r="JNP159"/>
      <c r="JNQ159"/>
      <c r="JNR159"/>
      <c r="JNS159"/>
      <c r="JNT159"/>
      <c r="JNU159"/>
      <c r="JNV159"/>
      <c r="JNW159"/>
      <c r="JNX159"/>
      <c r="JNY159"/>
      <c r="JNZ159"/>
      <c r="JOA159"/>
      <c r="JOB159"/>
      <c r="JOC159"/>
      <c r="JOD159"/>
      <c r="JOE159"/>
      <c r="JOF159"/>
      <c r="JOG159"/>
      <c r="JOH159"/>
      <c r="JOI159"/>
      <c r="JOJ159"/>
      <c r="JOK159"/>
      <c r="JOL159"/>
      <c r="JOM159"/>
      <c r="JON159"/>
      <c r="JOO159"/>
      <c r="JOP159"/>
      <c r="JOQ159"/>
      <c r="JOR159"/>
      <c r="JOS159"/>
      <c r="JOT159"/>
      <c r="JOU159"/>
      <c r="JOV159"/>
      <c r="JOW159"/>
      <c r="JOX159"/>
      <c r="JOY159"/>
      <c r="JOZ159"/>
      <c r="JPA159"/>
      <c r="JPB159"/>
      <c r="JPC159"/>
      <c r="JPD159"/>
      <c r="JPE159"/>
      <c r="JPF159"/>
      <c r="JPG159"/>
      <c r="JPH159"/>
      <c r="JPI159"/>
      <c r="JPJ159"/>
      <c r="JPK159"/>
      <c r="JPL159"/>
      <c r="JPM159"/>
      <c r="JPN159"/>
      <c r="JPO159"/>
      <c r="JPP159"/>
      <c r="JPQ159"/>
      <c r="JPR159"/>
      <c r="JPS159"/>
      <c r="JPT159"/>
      <c r="JPU159"/>
      <c r="JPV159"/>
      <c r="JPW159"/>
      <c r="JPX159"/>
      <c r="JPY159"/>
      <c r="JPZ159"/>
      <c r="JQA159"/>
      <c r="JQB159"/>
      <c r="JQC159"/>
      <c r="JQD159"/>
      <c r="JQE159"/>
      <c r="JQF159"/>
      <c r="JQG159"/>
      <c r="JQH159"/>
      <c r="JQI159"/>
      <c r="JQJ159"/>
      <c r="JQK159"/>
      <c r="JQL159"/>
      <c r="JQM159"/>
      <c r="JQN159"/>
      <c r="JQO159"/>
      <c r="JQP159"/>
      <c r="JQQ159"/>
      <c r="JQR159"/>
      <c r="JQS159"/>
      <c r="JQT159"/>
      <c r="JQU159"/>
      <c r="JQV159"/>
      <c r="JQW159"/>
      <c r="JQX159"/>
      <c r="JQY159"/>
      <c r="JQZ159"/>
      <c r="JRA159"/>
      <c r="JRB159"/>
      <c r="JRC159"/>
      <c r="JRD159"/>
      <c r="JRE159"/>
      <c r="JRF159"/>
      <c r="JRG159"/>
      <c r="JRH159"/>
      <c r="JRI159"/>
      <c r="JRJ159"/>
      <c r="JRK159"/>
      <c r="JRL159"/>
      <c r="JRM159"/>
      <c r="JRN159"/>
      <c r="JRO159"/>
      <c r="JRP159"/>
      <c r="JRQ159"/>
      <c r="JRR159"/>
      <c r="JRS159"/>
      <c r="JRT159"/>
      <c r="JRU159"/>
      <c r="JRV159"/>
      <c r="JRW159"/>
      <c r="JRX159"/>
      <c r="JRY159"/>
      <c r="JRZ159"/>
      <c r="JSA159"/>
      <c r="JSB159"/>
      <c r="JSC159"/>
      <c r="JSD159"/>
      <c r="JSE159"/>
      <c r="JSF159"/>
      <c r="JSG159"/>
      <c r="JSH159"/>
      <c r="JSI159"/>
      <c r="JSJ159"/>
      <c r="JSK159"/>
      <c r="JSL159"/>
      <c r="JSM159"/>
      <c r="JSN159"/>
      <c r="JSO159"/>
      <c r="JSP159"/>
      <c r="JSQ159"/>
      <c r="JSR159"/>
      <c r="JSS159"/>
      <c r="JST159"/>
      <c r="JSU159"/>
      <c r="JSV159"/>
      <c r="JSW159"/>
      <c r="JSX159"/>
      <c r="JSY159"/>
      <c r="JSZ159"/>
      <c r="JTA159"/>
      <c r="JTB159"/>
      <c r="JTC159"/>
      <c r="JTD159"/>
      <c r="JTE159"/>
      <c r="JTF159"/>
      <c r="JTG159"/>
      <c r="JTH159"/>
      <c r="JTI159"/>
      <c r="JTJ159"/>
      <c r="JTK159"/>
      <c r="JTL159"/>
      <c r="JTM159"/>
      <c r="JTN159"/>
      <c r="JTO159"/>
      <c r="JTP159"/>
      <c r="JTQ159"/>
      <c r="JTR159"/>
      <c r="JTS159"/>
      <c r="JTT159"/>
      <c r="JTU159"/>
      <c r="JTV159"/>
      <c r="JTW159"/>
      <c r="JTX159"/>
      <c r="JTY159"/>
      <c r="JTZ159"/>
      <c r="JUA159"/>
      <c r="JUB159"/>
      <c r="JUC159"/>
      <c r="JUD159"/>
      <c r="JUE159"/>
      <c r="JUF159"/>
      <c r="JUG159"/>
      <c r="JUH159"/>
      <c r="JUI159"/>
      <c r="JUJ159"/>
      <c r="JUK159"/>
      <c r="JUL159"/>
      <c r="JUM159"/>
      <c r="JUN159"/>
      <c r="JUO159"/>
      <c r="JUP159"/>
      <c r="JUQ159"/>
      <c r="JUR159"/>
      <c r="JUS159"/>
      <c r="JUT159"/>
      <c r="JUU159"/>
      <c r="JUV159"/>
      <c r="JUW159"/>
      <c r="JUX159"/>
      <c r="JUY159"/>
      <c r="JUZ159"/>
      <c r="JVA159"/>
      <c r="JVB159"/>
      <c r="JVC159"/>
      <c r="JVD159"/>
      <c r="JVE159"/>
      <c r="JVF159"/>
      <c r="JVG159"/>
      <c r="JVH159"/>
      <c r="JVI159"/>
      <c r="JVJ159"/>
      <c r="JVK159"/>
      <c r="JVL159"/>
      <c r="JVM159"/>
      <c r="JVN159"/>
      <c r="JVO159"/>
      <c r="JVP159"/>
      <c r="JVQ159"/>
      <c r="JVR159"/>
      <c r="JVS159"/>
      <c r="JVT159"/>
      <c r="JVU159"/>
      <c r="JVV159"/>
      <c r="JVW159"/>
      <c r="JVX159"/>
      <c r="JVY159"/>
      <c r="JVZ159"/>
      <c r="JWA159"/>
      <c r="JWB159"/>
      <c r="JWC159"/>
      <c r="JWD159"/>
      <c r="JWE159"/>
      <c r="JWF159"/>
      <c r="JWG159"/>
      <c r="JWH159"/>
      <c r="JWI159"/>
      <c r="JWJ159"/>
      <c r="JWK159"/>
      <c r="JWL159"/>
      <c r="JWM159"/>
      <c r="JWN159"/>
      <c r="JWO159"/>
      <c r="JWP159"/>
      <c r="JWQ159"/>
      <c r="JWR159"/>
      <c r="JWS159"/>
      <c r="JWT159"/>
      <c r="JWU159"/>
      <c r="JWV159"/>
      <c r="JWW159"/>
      <c r="JWX159"/>
      <c r="JWY159"/>
      <c r="JWZ159"/>
      <c r="JXA159"/>
      <c r="JXB159"/>
      <c r="JXC159"/>
      <c r="JXD159"/>
      <c r="JXE159"/>
      <c r="JXF159"/>
      <c r="JXG159"/>
      <c r="JXH159"/>
      <c r="JXI159"/>
      <c r="JXJ159"/>
      <c r="JXK159"/>
      <c r="JXL159"/>
      <c r="JXM159"/>
      <c r="JXN159"/>
      <c r="JXO159"/>
      <c r="JXP159"/>
      <c r="JXQ159"/>
      <c r="JXR159"/>
      <c r="JXS159"/>
      <c r="JXT159"/>
      <c r="JXU159"/>
      <c r="JXV159"/>
      <c r="JXW159"/>
      <c r="JXX159"/>
      <c r="JXY159"/>
      <c r="JXZ159"/>
      <c r="JYA159"/>
      <c r="JYB159"/>
      <c r="JYC159"/>
      <c r="JYD159"/>
      <c r="JYE159"/>
      <c r="JYF159"/>
      <c r="JYG159"/>
      <c r="JYH159"/>
      <c r="JYI159"/>
      <c r="JYJ159"/>
      <c r="JYK159"/>
      <c r="JYL159"/>
      <c r="JYM159"/>
      <c r="JYN159"/>
      <c r="JYO159"/>
      <c r="JYP159"/>
      <c r="JYQ159"/>
      <c r="JYR159"/>
      <c r="JYS159"/>
      <c r="JYT159"/>
      <c r="JYU159"/>
      <c r="JYV159"/>
      <c r="JYW159"/>
      <c r="JYX159"/>
      <c r="JYY159"/>
      <c r="JYZ159"/>
      <c r="JZA159"/>
      <c r="JZB159"/>
      <c r="JZC159"/>
      <c r="JZD159"/>
      <c r="JZE159"/>
      <c r="JZF159"/>
      <c r="JZG159"/>
      <c r="JZH159"/>
      <c r="JZI159"/>
      <c r="JZJ159"/>
      <c r="JZK159"/>
      <c r="JZL159"/>
      <c r="JZM159"/>
      <c r="JZN159"/>
      <c r="JZO159"/>
      <c r="JZP159"/>
      <c r="JZQ159"/>
      <c r="JZR159"/>
      <c r="JZS159"/>
      <c r="JZT159"/>
      <c r="JZU159"/>
      <c r="JZV159"/>
      <c r="JZW159"/>
      <c r="JZX159"/>
      <c r="JZY159"/>
      <c r="JZZ159"/>
      <c r="KAA159"/>
      <c r="KAB159"/>
      <c r="KAC159"/>
      <c r="KAD159"/>
      <c r="KAE159"/>
      <c r="KAF159"/>
      <c r="KAG159"/>
      <c r="KAH159"/>
      <c r="KAI159"/>
      <c r="KAJ159"/>
      <c r="KAK159"/>
      <c r="KAL159"/>
      <c r="KAM159"/>
      <c r="KAN159"/>
      <c r="KAO159"/>
      <c r="KAP159"/>
      <c r="KAQ159"/>
      <c r="KAR159"/>
      <c r="KAS159"/>
      <c r="KAT159"/>
      <c r="KAU159"/>
      <c r="KAV159"/>
      <c r="KAW159"/>
      <c r="KAX159"/>
      <c r="KAY159"/>
      <c r="KAZ159"/>
      <c r="KBA159"/>
      <c r="KBB159"/>
      <c r="KBC159"/>
      <c r="KBD159"/>
      <c r="KBE159"/>
      <c r="KBF159"/>
      <c r="KBG159"/>
      <c r="KBH159"/>
      <c r="KBI159"/>
      <c r="KBJ159"/>
      <c r="KBK159"/>
      <c r="KBL159"/>
      <c r="KBM159"/>
      <c r="KBN159"/>
      <c r="KBO159"/>
      <c r="KBP159"/>
      <c r="KBQ159"/>
      <c r="KBR159"/>
      <c r="KBS159"/>
      <c r="KBT159"/>
      <c r="KBU159"/>
      <c r="KBV159"/>
      <c r="KBW159"/>
      <c r="KBX159"/>
      <c r="KBY159"/>
      <c r="KBZ159"/>
      <c r="KCA159"/>
      <c r="KCB159"/>
      <c r="KCC159"/>
      <c r="KCD159"/>
      <c r="KCE159"/>
      <c r="KCF159"/>
      <c r="KCG159"/>
      <c r="KCH159"/>
      <c r="KCI159"/>
      <c r="KCJ159"/>
      <c r="KCK159"/>
      <c r="KCL159"/>
      <c r="KCM159"/>
      <c r="KCN159"/>
      <c r="KCO159"/>
      <c r="KCP159"/>
      <c r="KCQ159"/>
      <c r="KCR159"/>
      <c r="KCS159"/>
      <c r="KCT159"/>
      <c r="KCU159"/>
      <c r="KCV159"/>
      <c r="KCW159"/>
      <c r="KCX159"/>
      <c r="KCY159"/>
      <c r="KCZ159"/>
      <c r="KDA159"/>
      <c r="KDB159"/>
      <c r="KDC159"/>
      <c r="KDD159"/>
      <c r="KDE159"/>
      <c r="KDF159"/>
      <c r="KDG159"/>
      <c r="KDH159"/>
      <c r="KDI159"/>
      <c r="KDJ159"/>
      <c r="KDK159"/>
      <c r="KDL159"/>
      <c r="KDM159"/>
      <c r="KDN159"/>
      <c r="KDO159"/>
      <c r="KDP159"/>
      <c r="KDQ159"/>
      <c r="KDR159"/>
      <c r="KDS159"/>
      <c r="KDT159"/>
      <c r="KDU159"/>
      <c r="KDV159"/>
      <c r="KDW159"/>
      <c r="KDX159"/>
      <c r="KDY159"/>
      <c r="KDZ159"/>
      <c r="KEA159"/>
      <c r="KEB159"/>
      <c r="KEC159"/>
      <c r="KED159"/>
      <c r="KEE159"/>
      <c r="KEF159"/>
      <c r="KEG159"/>
      <c r="KEH159"/>
      <c r="KEI159"/>
      <c r="KEJ159"/>
      <c r="KEK159"/>
      <c r="KEL159"/>
      <c r="KEM159"/>
      <c r="KEN159"/>
      <c r="KEO159"/>
      <c r="KEP159"/>
      <c r="KEQ159"/>
      <c r="KER159"/>
      <c r="KES159"/>
      <c r="KET159"/>
      <c r="KEU159"/>
      <c r="KEV159"/>
      <c r="KEW159"/>
      <c r="KEX159"/>
      <c r="KEY159"/>
      <c r="KEZ159"/>
      <c r="KFA159"/>
      <c r="KFB159"/>
      <c r="KFC159"/>
      <c r="KFD159"/>
      <c r="KFE159"/>
      <c r="KFF159"/>
      <c r="KFG159"/>
      <c r="KFH159"/>
      <c r="KFI159"/>
      <c r="KFJ159"/>
      <c r="KFK159"/>
      <c r="KFL159"/>
      <c r="KFM159"/>
      <c r="KFN159"/>
      <c r="KFO159"/>
      <c r="KFP159"/>
      <c r="KFQ159"/>
      <c r="KFR159"/>
      <c r="KFS159"/>
      <c r="KFT159"/>
      <c r="KFU159"/>
      <c r="KFV159"/>
      <c r="KFW159"/>
      <c r="KFX159"/>
      <c r="KFY159"/>
      <c r="KFZ159"/>
      <c r="KGA159"/>
      <c r="KGB159"/>
      <c r="KGC159"/>
      <c r="KGD159"/>
      <c r="KGE159"/>
      <c r="KGF159"/>
      <c r="KGG159"/>
      <c r="KGH159"/>
      <c r="KGI159"/>
      <c r="KGJ159"/>
      <c r="KGK159"/>
      <c r="KGL159"/>
      <c r="KGM159"/>
      <c r="KGN159"/>
      <c r="KGO159"/>
      <c r="KGP159"/>
      <c r="KGQ159"/>
      <c r="KGR159"/>
      <c r="KGS159"/>
      <c r="KGT159"/>
      <c r="KGU159"/>
      <c r="KGV159"/>
      <c r="KGW159"/>
      <c r="KGX159"/>
      <c r="KGY159"/>
      <c r="KGZ159"/>
      <c r="KHA159"/>
      <c r="KHB159"/>
      <c r="KHC159"/>
      <c r="KHD159"/>
      <c r="KHE159"/>
      <c r="KHF159"/>
      <c r="KHG159"/>
      <c r="KHH159"/>
      <c r="KHI159"/>
      <c r="KHJ159"/>
      <c r="KHK159"/>
      <c r="KHL159"/>
      <c r="KHM159"/>
      <c r="KHN159"/>
      <c r="KHO159"/>
      <c r="KHP159"/>
      <c r="KHQ159"/>
      <c r="KHR159"/>
      <c r="KHS159"/>
      <c r="KHT159"/>
      <c r="KHU159"/>
      <c r="KHV159"/>
      <c r="KHW159"/>
      <c r="KHX159"/>
      <c r="KHY159"/>
      <c r="KHZ159"/>
      <c r="KIA159"/>
      <c r="KIB159"/>
      <c r="KIC159"/>
      <c r="KID159"/>
      <c r="KIE159"/>
      <c r="KIF159"/>
      <c r="KIG159"/>
      <c r="KIH159"/>
      <c r="KII159"/>
      <c r="KIJ159"/>
      <c r="KIK159"/>
      <c r="KIL159"/>
      <c r="KIM159"/>
      <c r="KIN159"/>
      <c r="KIO159"/>
      <c r="KIP159"/>
      <c r="KIQ159"/>
      <c r="KIR159"/>
      <c r="KIS159"/>
      <c r="KIT159"/>
      <c r="KIU159"/>
      <c r="KIV159"/>
      <c r="KIW159"/>
      <c r="KIX159"/>
      <c r="KIY159"/>
      <c r="KIZ159"/>
      <c r="KJA159"/>
      <c r="KJB159"/>
      <c r="KJC159"/>
      <c r="KJD159"/>
      <c r="KJE159"/>
      <c r="KJF159"/>
      <c r="KJG159"/>
      <c r="KJH159"/>
      <c r="KJI159"/>
      <c r="KJJ159"/>
      <c r="KJK159"/>
      <c r="KJL159"/>
      <c r="KJM159"/>
      <c r="KJN159"/>
      <c r="KJO159"/>
      <c r="KJP159"/>
      <c r="KJQ159"/>
      <c r="KJR159"/>
      <c r="KJS159"/>
      <c r="KJT159"/>
      <c r="KJU159"/>
      <c r="KJV159"/>
      <c r="KJW159"/>
      <c r="KJX159"/>
      <c r="KJY159"/>
      <c r="KJZ159"/>
      <c r="KKA159"/>
      <c r="KKB159"/>
      <c r="KKC159"/>
      <c r="KKD159"/>
      <c r="KKE159"/>
      <c r="KKF159"/>
      <c r="KKG159"/>
      <c r="KKH159"/>
      <c r="KKI159"/>
      <c r="KKJ159"/>
      <c r="KKK159"/>
      <c r="KKL159"/>
      <c r="KKM159"/>
      <c r="KKN159"/>
      <c r="KKO159"/>
      <c r="KKP159"/>
      <c r="KKQ159"/>
      <c r="KKR159"/>
      <c r="KKS159"/>
      <c r="KKT159"/>
      <c r="KKU159"/>
      <c r="KKV159"/>
      <c r="KKW159"/>
      <c r="KKX159"/>
      <c r="KKY159"/>
      <c r="KKZ159"/>
      <c r="KLA159"/>
      <c r="KLB159"/>
      <c r="KLC159"/>
      <c r="KLD159"/>
      <c r="KLE159"/>
      <c r="KLF159"/>
      <c r="KLG159"/>
      <c r="KLH159"/>
      <c r="KLI159"/>
      <c r="KLJ159"/>
      <c r="KLK159"/>
      <c r="KLL159"/>
      <c r="KLM159"/>
      <c r="KLN159"/>
      <c r="KLO159"/>
      <c r="KLP159"/>
      <c r="KLQ159"/>
      <c r="KLR159"/>
      <c r="KLS159"/>
      <c r="KLT159"/>
      <c r="KLU159"/>
      <c r="KLV159"/>
      <c r="KLW159"/>
      <c r="KLX159"/>
      <c r="KLY159"/>
      <c r="KLZ159"/>
      <c r="KMA159"/>
      <c r="KMB159"/>
      <c r="KMC159"/>
      <c r="KMD159"/>
      <c r="KME159"/>
      <c r="KMF159"/>
      <c r="KMG159"/>
      <c r="KMH159"/>
      <c r="KMI159"/>
      <c r="KMJ159"/>
      <c r="KMK159"/>
      <c r="KML159"/>
      <c r="KMM159"/>
      <c r="KMN159"/>
      <c r="KMO159"/>
      <c r="KMP159"/>
      <c r="KMQ159"/>
      <c r="KMR159"/>
      <c r="KMS159"/>
      <c r="KMT159"/>
      <c r="KMU159"/>
      <c r="KMV159"/>
      <c r="KMW159"/>
      <c r="KMX159"/>
      <c r="KMY159"/>
      <c r="KMZ159"/>
      <c r="KNA159"/>
      <c r="KNB159"/>
      <c r="KNC159"/>
      <c r="KND159"/>
      <c r="KNE159"/>
      <c r="KNF159"/>
      <c r="KNG159"/>
      <c r="KNH159"/>
      <c r="KNI159"/>
      <c r="KNJ159"/>
      <c r="KNK159"/>
      <c r="KNL159"/>
      <c r="KNM159"/>
      <c r="KNN159"/>
      <c r="KNO159"/>
      <c r="KNP159"/>
      <c r="KNQ159"/>
      <c r="KNR159"/>
      <c r="KNS159"/>
      <c r="KNT159"/>
      <c r="KNU159"/>
      <c r="KNV159"/>
      <c r="KNW159"/>
      <c r="KNX159"/>
      <c r="KNY159"/>
      <c r="KNZ159"/>
      <c r="KOA159"/>
      <c r="KOB159"/>
      <c r="KOC159"/>
      <c r="KOD159"/>
      <c r="KOE159"/>
      <c r="KOF159"/>
      <c r="KOG159"/>
      <c r="KOH159"/>
      <c r="KOI159"/>
      <c r="KOJ159"/>
      <c r="KOK159"/>
      <c r="KOL159"/>
      <c r="KOM159"/>
      <c r="KON159"/>
      <c r="KOO159"/>
      <c r="KOP159"/>
      <c r="KOQ159"/>
      <c r="KOR159"/>
      <c r="KOS159"/>
      <c r="KOT159"/>
      <c r="KOU159"/>
      <c r="KOV159"/>
      <c r="KOW159"/>
      <c r="KOX159"/>
      <c r="KOY159"/>
      <c r="KOZ159"/>
      <c r="KPA159"/>
      <c r="KPB159"/>
      <c r="KPC159"/>
      <c r="KPD159"/>
      <c r="KPE159"/>
      <c r="KPF159"/>
      <c r="KPG159"/>
      <c r="KPH159"/>
      <c r="KPI159"/>
      <c r="KPJ159"/>
      <c r="KPK159"/>
      <c r="KPL159"/>
      <c r="KPM159"/>
      <c r="KPN159"/>
      <c r="KPO159"/>
      <c r="KPP159"/>
      <c r="KPQ159"/>
      <c r="KPR159"/>
      <c r="KPS159"/>
      <c r="KPT159"/>
      <c r="KPU159"/>
      <c r="KPV159"/>
      <c r="KPW159"/>
      <c r="KPX159"/>
      <c r="KPY159"/>
      <c r="KPZ159"/>
      <c r="KQA159"/>
      <c r="KQB159"/>
      <c r="KQC159"/>
      <c r="KQD159"/>
      <c r="KQE159"/>
      <c r="KQF159"/>
      <c r="KQG159"/>
      <c r="KQH159"/>
      <c r="KQI159"/>
      <c r="KQJ159"/>
      <c r="KQK159"/>
      <c r="KQL159"/>
      <c r="KQM159"/>
      <c r="KQN159"/>
      <c r="KQO159"/>
      <c r="KQP159"/>
      <c r="KQQ159"/>
      <c r="KQR159"/>
      <c r="KQS159"/>
      <c r="KQT159"/>
      <c r="KQU159"/>
      <c r="KQV159"/>
      <c r="KQW159"/>
      <c r="KQX159"/>
      <c r="KQY159"/>
      <c r="KQZ159"/>
      <c r="KRA159"/>
      <c r="KRB159"/>
      <c r="KRC159"/>
      <c r="KRD159"/>
      <c r="KRE159"/>
      <c r="KRF159"/>
      <c r="KRG159"/>
      <c r="KRH159"/>
      <c r="KRI159"/>
      <c r="KRJ159"/>
      <c r="KRK159"/>
      <c r="KRL159"/>
      <c r="KRM159"/>
      <c r="KRN159"/>
      <c r="KRO159"/>
      <c r="KRP159"/>
      <c r="KRQ159"/>
      <c r="KRR159"/>
      <c r="KRS159"/>
      <c r="KRT159"/>
      <c r="KRU159"/>
      <c r="KRV159"/>
      <c r="KRW159"/>
      <c r="KRX159"/>
      <c r="KRY159"/>
      <c r="KRZ159"/>
      <c r="KSA159"/>
      <c r="KSB159"/>
      <c r="KSC159"/>
      <c r="KSD159"/>
      <c r="KSE159"/>
      <c r="KSF159"/>
      <c r="KSG159"/>
      <c r="KSH159"/>
      <c r="KSI159"/>
      <c r="KSJ159"/>
      <c r="KSK159"/>
      <c r="KSL159"/>
      <c r="KSM159"/>
      <c r="KSN159"/>
      <c r="KSO159"/>
      <c r="KSP159"/>
      <c r="KSQ159"/>
      <c r="KSR159"/>
      <c r="KSS159"/>
      <c r="KST159"/>
      <c r="KSU159"/>
      <c r="KSV159"/>
      <c r="KSW159"/>
      <c r="KSX159"/>
      <c r="KSY159"/>
      <c r="KSZ159"/>
      <c r="KTA159"/>
      <c r="KTB159"/>
      <c r="KTC159"/>
      <c r="KTD159"/>
      <c r="KTE159"/>
      <c r="KTF159"/>
      <c r="KTG159"/>
      <c r="KTH159"/>
      <c r="KTI159"/>
      <c r="KTJ159"/>
      <c r="KTK159"/>
      <c r="KTL159"/>
      <c r="KTM159"/>
      <c r="KTN159"/>
      <c r="KTO159"/>
      <c r="KTP159"/>
      <c r="KTQ159"/>
      <c r="KTR159"/>
      <c r="KTS159"/>
      <c r="KTT159"/>
      <c r="KTU159"/>
      <c r="KTV159"/>
      <c r="KTW159"/>
      <c r="KTX159"/>
      <c r="KTY159"/>
      <c r="KTZ159"/>
      <c r="KUA159"/>
      <c r="KUB159"/>
      <c r="KUC159"/>
      <c r="KUD159"/>
      <c r="KUE159"/>
      <c r="KUF159"/>
      <c r="KUG159"/>
      <c r="KUH159"/>
      <c r="KUI159"/>
      <c r="KUJ159"/>
      <c r="KUK159"/>
      <c r="KUL159"/>
      <c r="KUM159"/>
      <c r="KUN159"/>
      <c r="KUO159"/>
      <c r="KUP159"/>
      <c r="KUQ159"/>
      <c r="KUR159"/>
      <c r="KUS159"/>
      <c r="KUT159"/>
      <c r="KUU159"/>
      <c r="KUV159"/>
      <c r="KUW159"/>
      <c r="KUX159"/>
      <c r="KUY159"/>
      <c r="KUZ159"/>
      <c r="KVA159"/>
      <c r="KVB159"/>
      <c r="KVC159"/>
      <c r="KVD159"/>
      <c r="KVE159"/>
      <c r="KVF159"/>
      <c r="KVG159"/>
      <c r="KVH159"/>
      <c r="KVI159"/>
      <c r="KVJ159"/>
      <c r="KVK159"/>
      <c r="KVL159"/>
      <c r="KVM159"/>
      <c r="KVN159"/>
      <c r="KVO159"/>
      <c r="KVP159"/>
      <c r="KVQ159"/>
      <c r="KVR159"/>
      <c r="KVS159"/>
      <c r="KVT159"/>
      <c r="KVU159"/>
      <c r="KVV159"/>
      <c r="KVW159"/>
      <c r="KVX159"/>
      <c r="KVY159"/>
      <c r="KVZ159"/>
      <c r="KWA159"/>
      <c r="KWB159"/>
      <c r="KWC159"/>
      <c r="KWD159"/>
      <c r="KWE159"/>
      <c r="KWF159"/>
      <c r="KWG159"/>
      <c r="KWH159"/>
      <c r="KWI159"/>
      <c r="KWJ159"/>
      <c r="KWK159"/>
      <c r="KWL159"/>
      <c r="KWM159"/>
      <c r="KWN159"/>
      <c r="KWO159"/>
      <c r="KWP159"/>
      <c r="KWQ159"/>
      <c r="KWR159"/>
      <c r="KWS159"/>
      <c r="KWT159"/>
      <c r="KWU159"/>
      <c r="KWV159"/>
      <c r="KWW159"/>
      <c r="KWX159"/>
      <c r="KWY159"/>
      <c r="KWZ159"/>
      <c r="KXA159"/>
      <c r="KXB159"/>
      <c r="KXC159"/>
      <c r="KXD159"/>
      <c r="KXE159"/>
      <c r="KXF159"/>
      <c r="KXG159"/>
      <c r="KXH159"/>
      <c r="KXI159"/>
      <c r="KXJ159"/>
      <c r="KXK159"/>
      <c r="KXL159"/>
      <c r="KXM159"/>
      <c r="KXN159"/>
      <c r="KXO159"/>
      <c r="KXP159"/>
      <c r="KXQ159"/>
      <c r="KXR159"/>
      <c r="KXS159"/>
      <c r="KXT159"/>
      <c r="KXU159"/>
      <c r="KXV159"/>
      <c r="KXW159"/>
      <c r="KXX159"/>
      <c r="KXY159"/>
      <c r="KXZ159"/>
      <c r="KYA159"/>
      <c r="KYB159"/>
      <c r="KYC159"/>
      <c r="KYD159"/>
      <c r="KYE159"/>
      <c r="KYF159"/>
      <c r="KYG159"/>
      <c r="KYH159"/>
      <c r="KYI159"/>
      <c r="KYJ159"/>
      <c r="KYK159"/>
      <c r="KYL159"/>
      <c r="KYM159"/>
      <c r="KYN159"/>
      <c r="KYO159"/>
      <c r="KYP159"/>
      <c r="KYQ159"/>
      <c r="KYR159"/>
      <c r="KYS159"/>
      <c r="KYT159"/>
      <c r="KYU159"/>
      <c r="KYV159"/>
      <c r="KYW159"/>
      <c r="KYX159"/>
      <c r="KYY159"/>
      <c r="KYZ159"/>
      <c r="KZA159"/>
      <c r="KZB159"/>
      <c r="KZC159"/>
      <c r="KZD159"/>
      <c r="KZE159"/>
      <c r="KZF159"/>
      <c r="KZG159"/>
      <c r="KZH159"/>
      <c r="KZI159"/>
      <c r="KZJ159"/>
      <c r="KZK159"/>
      <c r="KZL159"/>
      <c r="KZM159"/>
      <c r="KZN159"/>
      <c r="KZO159"/>
      <c r="KZP159"/>
      <c r="KZQ159"/>
      <c r="KZR159"/>
      <c r="KZS159"/>
      <c r="KZT159"/>
      <c r="KZU159"/>
      <c r="KZV159"/>
      <c r="KZW159"/>
      <c r="KZX159"/>
      <c r="KZY159"/>
      <c r="KZZ159"/>
      <c r="LAA159"/>
      <c r="LAB159"/>
      <c r="LAC159"/>
      <c r="LAD159"/>
      <c r="LAE159"/>
      <c r="LAF159"/>
      <c r="LAG159"/>
      <c r="LAH159"/>
      <c r="LAI159"/>
      <c r="LAJ159"/>
      <c r="LAK159"/>
      <c r="LAL159"/>
      <c r="LAM159"/>
      <c r="LAN159"/>
      <c r="LAO159"/>
      <c r="LAP159"/>
      <c r="LAQ159"/>
      <c r="LAR159"/>
      <c r="LAS159"/>
      <c r="LAT159"/>
      <c r="LAU159"/>
      <c r="LAV159"/>
      <c r="LAW159"/>
      <c r="LAX159"/>
      <c r="LAY159"/>
      <c r="LAZ159"/>
      <c r="LBA159"/>
      <c r="LBB159"/>
      <c r="LBC159"/>
      <c r="LBD159"/>
      <c r="LBE159"/>
      <c r="LBF159"/>
      <c r="LBG159"/>
      <c r="LBH159"/>
      <c r="LBI159"/>
      <c r="LBJ159"/>
      <c r="LBK159"/>
      <c r="LBL159"/>
      <c r="LBM159"/>
      <c r="LBN159"/>
      <c r="LBO159"/>
      <c r="LBP159"/>
      <c r="LBQ159"/>
      <c r="LBR159"/>
      <c r="LBS159"/>
      <c r="LBT159"/>
      <c r="LBU159"/>
      <c r="LBV159"/>
      <c r="LBW159"/>
      <c r="LBX159"/>
      <c r="LBY159"/>
      <c r="LBZ159"/>
      <c r="LCA159"/>
      <c r="LCB159"/>
      <c r="LCC159"/>
      <c r="LCD159"/>
      <c r="LCE159"/>
      <c r="LCF159"/>
      <c r="LCG159"/>
      <c r="LCH159"/>
      <c r="LCI159"/>
      <c r="LCJ159"/>
      <c r="LCK159"/>
      <c r="LCL159"/>
      <c r="LCM159"/>
      <c r="LCN159"/>
      <c r="LCO159"/>
      <c r="LCP159"/>
      <c r="LCQ159"/>
      <c r="LCR159"/>
      <c r="LCS159"/>
      <c r="LCT159"/>
      <c r="LCU159"/>
      <c r="LCV159"/>
      <c r="LCW159"/>
      <c r="LCX159"/>
      <c r="LCY159"/>
      <c r="LCZ159"/>
      <c r="LDA159"/>
      <c r="LDB159"/>
      <c r="LDC159"/>
      <c r="LDD159"/>
      <c r="LDE159"/>
      <c r="LDF159"/>
      <c r="LDG159"/>
      <c r="LDH159"/>
      <c r="LDI159"/>
      <c r="LDJ159"/>
      <c r="LDK159"/>
      <c r="LDL159"/>
      <c r="LDM159"/>
      <c r="LDN159"/>
      <c r="LDO159"/>
      <c r="LDP159"/>
      <c r="LDQ159"/>
      <c r="LDR159"/>
      <c r="LDS159"/>
      <c r="LDT159"/>
      <c r="LDU159"/>
      <c r="LDV159"/>
      <c r="LDW159"/>
      <c r="LDX159"/>
      <c r="LDY159"/>
      <c r="LDZ159"/>
      <c r="LEA159"/>
      <c r="LEB159"/>
      <c r="LEC159"/>
      <c r="LED159"/>
      <c r="LEE159"/>
      <c r="LEF159"/>
      <c r="LEG159"/>
      <c r="LEH159"/>
      <c r="LEI159"/>
      <c r="LEJ159"/>
      <c r="LEK159"/>
      <c r="LEL159"/>
      <c r="LEM159"/>
      <c r="LEN159"/>
      <c r="LEO159"/>
      <c r="LEP159"/>
      <c r="LEQ159"/>
      <c r="LER159"/>
      <c r="LES159"/>
      <c r="LET159"/>
      <c r="LEU159"/>
      <c r="LEV159"/>
      <c r="LEW159"/>
      <c r="LEX159"/>
      <c r="LEY159"/>
      <c r="LEZ159"/>
      <c r="LFA159"/>
      <c r="LFB159"/>
      <c r="LFC159"/>
      <c r="LFD159"/>
      <c r="LFE159"/>
      <c r="LFF159"/>
      <c r="LFG159"/>
      <c r="LFH159"/>
      <c r="LFI159"/>
      <c r="LFJ159"/>
      <c r="LFK159"/>
      <c r="LFL159"/>
      <c r="LFM159"/>
      <c r="LFN159"/>
      <c r="LFO159"/>
      <c r="LFP159"/>
      <c r="LFQ159"/>
      <c r="LFR159"/>
      <c r="LFS159"/>
      <c r="LFT159"/>
      <c r="LFU159"/>
      <c r="LFV159"/>
      <c r="LFW159"/>
      <c r="LFX159"/>
      <c r="LFY159"/>
      <c r="LFZ159"/>
      <c r="LGA159"/>
      <c r="LGB159"/>
      <c r="LGC159"/>
      <c r="LGD159"/>
      <c r="LGE159"/>
      <c r="LGF159"/>
      <c r="LGG159"/>
      <c r="LGH159"/>
      <c r="LGI159"/>
      <c r="LGJ159"/>
      <c r="LGK159"/>
      <c r="LGL159"/>
      <c r="LGM159"/>
      <c r="LGN159"/>
      <c r="LGO159"/>
      <c r="LGP159"/>
      <c r="LGQ159"/>
      <c r="LGR159"/>
      <c r="LGS159"/>
      <c r="LGT159"/>
      <c r="LGU159"/>
      <c r="LGV159"/>
      <c r="LGW159"/>
      <c r="LGX159"/>
      <c r="LGY159"/>
      <c r="LGZ159"/>
      <c r="LHA159"/>
      <c r="LHB159"/>
      <c r="LHC159"/>
      <c r="LHD159"/>
      <c r="LHE159"/>
      <c r="LHF159"/>
      <c r="LHG159"/>
      <c r="LHH159"/>
      <c r="LHI159"/>
      <c r="LHJ159"/>
      <c r="LHK159"/>
      <c r="LHL159"/>
      <c r="LHM159"/>
      <c r="LHN159"/>
      <c r="LHO159"/>
      <c r="LHP159"/>
      <c r="LHQ159"/>
      <c r="LHR159"/>
      <c r="LHS159"/>
      <c r="LHT159"/>
      <c r="LHU159"/>
      <c r="LHV159"/>
      <c r="LHW159"/>
      <c r="LHX159"/>
      <c r="LHY159"/>
      <c r="LHZ159"/>
      <c r="LIA159"/>
      <c r="LIB159"/>
      <c r="LIC159"/>
      <c r="LID159"/>
      <c r="LIE159"/>
      <c r="LIF159"/>
      <c r="LIG159"/>
      <c r="LIH159"/>
      <c r="LII159"/>
      <c r="LIJ159"/>
      <c r="LIK159"/>
      <c r="LIL159"/>
      <c r="LIM159"/>
      <c r="LIN159"/>
      <c r="LIO159"/>
      <c r="LIP159"/>
      <c r="LIQ159"/>
      <c r="LIR159"/>
      <c r="LIS159"/>
      <c r="LIT159"/>
      <c r="LIU159"/>
      <c r="LIV159"/>
      <c r="LIW159"/>
      <c r="LIX159"/>
      <c r="LIY159"/>
      <c r="LIZ159"/>
      <c r="LJA159"/>
      <c r="LJB159"/>
      <c r="LJC159"/>
      <c r="LJD159"/>
      <c r="LJE159"/>
      <c r="LJF159"/>
      <c r="LJG159"/>
      <c r="LJH159"/>
      <c r="LJI159"/>
      <c r="LJJ159"/>
      <c r="LJK159"/>
      <c r="LJL159"/>
      <c r="LJM159"/>
      <c r="LJN159"/>
      <c r="LJO159"/>
      <c r="LJP159"/>
      <c r="LJQ159"/>
      <c r="LJR159"/>
      <c r="LJS159"/>
      <c r="LJT159"/>
      <c r="LJU159"/>
      <c r="LJV159"/>
      <c r="LJW159"/>
      <c r="LJX159"/>
      <c r="LJY159"/>
      <c r="LJZ159"/>
      <c r="LKA159"/>
      <c r="LKB159"/>
      <c r="LKC159"/>
      <c r="LKD159"/>
      <c r="LKE159"/>
      <c r="LKF159"/>
      <c r="LKG159"/>
      <c r="LKH159"/>
      <c r="LKI159"/>
      <c r="LKJ159"/>
      <c r="LKK159"/>
      <c r="LKL159"/>
      <c r="LKM159"/>
      <c r="LKN159"/>
      <c r="LKO159"/>
      <c r="LKP159"/>
      <c r="LKQ159"/>
      <c r="LKR159"/>
      <c r="LKS159"/>
      <c r="LKT159"/>
      <c r="LKU159"/>
      <c r="LKV159"/>
      <c r="LKW159"/>
      <c r="LKX159"/>
      <c r="LKY159"/>
      <c r="LKZ159"/>
      <c r="LLA159"/>
      <c r="LLB159"/>
      <c r="LLC159"/>
      <c r="LLD159"/>
      <c r="LLE159"/>
      <c r="LLF159"/>
      <c r="LLG159"/>
      <c r="LLH159"/>
      <c r="LLI159"/>
      <c r="LLJ159"/>
      <c r="LLK159"/>
      <c r="LLL159"/>
      <c r="LLM159"/>
      <c r="LLN159"/>
      <c r="LLO159"/>
      <c r="LLP159"/>
      <c r="LLQ159"/>
      <c r="LLR159"/>
      <c r="LLS159"/>
      <c r="LLT159"/>
      <c r="LLU159"/>
      <c r="LLV159"/>
      <c r="LLW159"/>
      <c r="LLX159"/>
      <c r="LLY159"/>
      <c r="LLZ159"/>
      <c r="LMA159"/>
      <c r="LMB159"/>
      <c r="LMC159"/>
      <c r="LMD159"/>
      <c r="LME159"/>
      <c r="LMF159"/>
      <c r="LMG159"/>
      <c r="LMH159"/>
      <c r="LMI159"/>
      <c r="LMJ159"/>
      <c r="LMK159"/>
      <c r="LML159"/>
      <c r="LMM159"/>
      <c r="LMN159"/>
      <c r="LMO159"/>
      <c r="LMP159"/>
      <c r="LMQ159"/>
      <c r="LMR159"/>
      <c r="LMS159"/>
      <c r="LMT159"/>
      <c r="LMU159"/>
      <c r="LMV159"/>
      <c r="LMW159"/>
      <c r="LMX159"/>
      <c r="LMY159"/>
      <c r="LMZ159"/>
      <c r="LNA159"/>
      <c r="LNB159"/>
      <c r="LNC159"/>
      <c r="LND159"/>
      <c r="LNE159"/>
      <c r="LNF159"/>
      <c r="LNG159"/>
      <c r="LNH159"/>
      <c r="LNI159"/>
      <c r="LNJ159"/>
      <c r="LNK159"/>
      <c r="LNL159"/>
      <c r="LNM159"/>
      <c r="LNN159"/>
      <c r="LNO159"/>
      <c r="LNP159"/>
      <c r="LNQ159"/>
      <c r="LNR159"/>
      <c r="LNS159"/>
      <c r="LNT159"/>
      <c r="LNU159"/>
      <c r="LNV159"/>
      <c r="LNW159"/>
      <c r="LNX159"/>
      <c r="LNY159"/>
      <c r="LNZ159"/>
      <c r="LOA159"/>
      <c r="LOB159"/>
      <c r="LOC159"/>
      <c r="LOD159"/>
      <c r="LOE159"/>
      <c r="LOF159"/>
      <c r="LOG159"/>
      <c r="LOH159"/>
      <c r="LOI159"/>
      <c r="LOJ159"/>
      <c r="LOK159"/>
      <c r="LOL159"/>
      <c r="LOM159"/>
      <c r="LON159"/>
      <c r="LOO159"/>
      <c r="LOP159"/>
      <c r="LOQ159"/>
      <c r="LOR159"/>
      <c r="LOS159"/>
      <c r="LOT159"/>
      <c r="LOU159"/>
      <c r="LOV159"/>
      <c r="LOW159"/>
      <c r="LOX159"/>
      <c r="LOY159"/>
      <c r="LOZ159"/>
      <c r="LPA159"/>
      <c r="LPB159"/>
      <c r="LPC159"/>
      <c r="LPD159"/>
      <c r="LPE159"/>
      <c r="LPF159"/>
      <c r="LPG159"/>
      <c r="LPH159"/>
      <c r="LPI159"/>
      <c r="LPJ159"/>
      <c r="LPK159"/>
      <c r="LPL159"/>
      <c r="LPM159"/>
      <c r="LPN159"/>
      <c r="LPO159"/>
      <c r="LPP159"/>
      <c r="LPQ159"/>
      <c r="LPR159"/>
      <c r="LPS159"/>
      <c r="LPT159"/>
      <c r="LPU159"/>
      <c r="LPV159"/>
      <c r="LPW159"/>
      <c r="LPX159"/>
      <c r="LPY159"/>
      <c r="LPZ159"/>
      <c r="LQA159"/>
      <c r="LQB159"/>
      <c r="LQC159"/>
      <c r="LQD159"/>
      <c r="LQE159"/>
      <c r="LQF159"/>
      <c r="LQG159"/>
      <c r="LQH159"/>
      <c r="LQI159"/>
      <c r="LQJ159"/>
      <c r="LQK159"/>
      <c r="LQL159"/>
      <c r="LQM159"/>
      <c r="LQN159"/>
      <c r="LQO159"/>
      <c r="LQP159"/>
      <c r="LQQ159"/>
      <c r="LQR159"/>
      <c r="LQS159"/>
      <c r="LQT159"/>
      <c r="LQU159"/>
      <c r="LQV159"/>
      <c r="LQW159"/>
      <c r="LQX159"/>
      <c r="LQY159"/>
      <c r="LQZ159"/>
      <c r="LRA159"/>
      <c r="LRB159"/>
      <c r="LRC159"/>
      <c r="LRD159"/>
      <c r="LRE159"/>
      <c r="LRF159"/>
      <c r="LRG159"/>
      <c r="LRH159"/>
      <c r="LRI159"/>
      <c r="LRJ159"/>
      <c r="LRK159"/>
      <c r="LRL159"/>
      <c r="LRM159"/>
      <c r="LRN159"/>
      <c r="LRO159"/>
      <c r="LRP159"/>
      <c r="LRQ159"/>
      <c r="LRR159"/>
      <c r="LRS159"/>
      <c r="LRT159"/>
      <c r="LRU159"/>
      <c r="LRV159"/>
      <c r="LRW159"/>
      <c r="LRX159"/>
      <c r="LRY159"/>
      <c r="LRZ159"/>
      <c r="LSA159"/>
      <c r="LSB159"/>
      <c r="LSC159"/>
      <c r="LSD159"/>
      <c r="LSE159"/>
      <c r="LSF159"/>
      <c r="LSG159"/>
      <c r="LSH159"/>
      <c r="LSI159"/>
      <c r="LSJ159"/>
      <c r="LSK159"/>
      <c r="LSL159"/>
      <c r="LSM159"/>
      <c r="LSN159"/>
      <c r="LSO159"/>
      <c r="LSP159"/>
      <c r="LSQ159"/>
      <c r="LSR159"/>
      <c r="LSS159"/>
      <c r="LST159"/>
      <c r="LSU159"/>
      <c r="LSV159"/>
      <c r="LSW159"/>
      <c r="LSX159"/>
      <c r="LSY159"/>
      <c r="LSZ159"/>
      <c r="LTA159"/>
      <c r="LTB159"/>
      <c r="LTC159"/>
      <c r="LTD159"/>
      <c r="LTE159"/>
      <c r="LTF159"/>
      <c r="LTG159"/>
      <c r="LTH159"/>
      <c r="LTI159"/>
      <c r="LTJ159"/>
      <c r="LTK159"/>
      <c r="LTL159"/>
      <c r="LTM159"/>
      <c r="LTN159"/>
      <c r="LTO159"/>
      <c r="LTP159"/>
      <c r="LTQ159"/>
      <c r="LTR159"/>
      <c r="LTS159"/>
      <c r="LTT159"/>
      <c r="LTU159"/>
      <c r="LTV159"/>
      <c r="LTW159"/>
      <c r="LTX159"/>
      <c r="LTY159"/>
      <c r="LTZ159"/>
      <c r="LUA159"/>
      <c r="LUB159"/>
      <c r="LUC159"/>
      <c r="LUD159"/>
      <c r="LUE159"/>
      <c r="LUF159"/>
      <c r="LUG159"/>
      <c r="LUH159"/>
      <c r="LUI159"/>
      <c r="LUJ159"/>
      <c r="LUK159"/>
      <c r="LUL159"/>
      <c r="LUM159"/>
      <c r="LUN159"/>
      <c r="LUO159"/>
      <c r="LUP159"/>
      <c r="LUQ159"/>
      <c r="LUR159"/>
      <c r="LUS159"/>
      <c r="LUT159"/>
      <c r="LUU159"/>
      <c r="LUV159"/>
      <c r="LUW159"/>
      <c r="LUX159"/>
      <c r="LUY159"/>
      <c r="LUZ159"/>
      <c r="LVA159"/>
      <c r="LVB159"/>
      <c r="LVC159"/>
      <c r="LVD159"/>
      <c r="LVE159"/>
      <c r="LVF159"/>
      <c r="LVG159"/>
      <c r="LVH159"/>
      <c r="LVI159"/>
      <c r="LVJ159"/>
      <c r="LVK159"/>
      <c r="LVL159"/>
      <c r="LVM159"/>
      <c r="LVN159"/>
      <c r="LVO159"/>
      <c r="LVP159"/>
      <c r="LVQ159"/>
      <c r="LVR159"/>
      <c r="LVS159"/>
      <c r="LVT159"/>
      <c r="LVU159"/>
      <c r="LVV159"/>
      <c r="LVW159"/>
      <c r="LVX159"/>
      <c r="LVY159"/>
      <c r="LVZ159"/>
      <c r="LWA159"/>
      <c r="LWB159"/>
      <c r="LWC159"/>
      <c r="LWD159"/>
      <c r="LWE159"/>
      <c r="LWF159"/>
      <c r="LWG159"/>
      <c r="LWH159"/>
      <c r="LWI159"/>
      <c r="LWJ159"/>
      <c r="LWK159"/>
      <c r="LWL159"/>
      <c r="LWM159"/>
      <c r="LWN159"/>
      <c r="LWO159"/>
      <c r="LWP159"/>
      <c r="LWQ159"/>
      <c r="LWR159"/>
      <c r="LWS159"/>
      <c r="LWT159"/>
      <c r="LWU159"/>
      <c r="LWV159"/>
      <c r="LWW159"/>
      <c r="LWX159"/>
      <c r="LWY159"/>
      <c r="LWZ159"/>
      <c r="LXA159"/>
      <c r="LXB159"/>
      <c r="LXC159"/>
      <c r="LXD159"/>
      <c r="LXE159"/>
      <c r="LXF159"/>
      <c r="LXG159"/>
      <c r="LXH159"/>
      <c r="LXI159"/>
      <c r="LXJ159"/>
      <c r="LXK159"/>
      <c r="LXL159"/>
      <c r="LXM159"/>
      <c r="LXN159"/>
      <c r="LXO159"/>
      <c r="LXP159"/>
      <c r="LXQ159"/>
      <c r="LXR159"/>
      <c r="LXS159"/>
      <c r="LXT159"/>
      <c r="LXU159"/>
      <c r="LXV159"/>
      <c r="LXW159"/>
      <c r="LXX159"/>
      <c r="LXY159"/>
      <c r="LXZ159"/>
      <c r="LYA159"/>
      <c r="LYB159"/>
      <c r="LYC159"/>
      <c r="LYD159"/>
      <c r="LYE159"/>
      <c r="LYF159"/>
      <c r="LYG159"/>
      <c r="LYH159"/>
      <c r="LYI159"/>
      <c r="LYJ159"/>
      <c r="LYK159"/>
      <c r="LYL159"/>
      <c r="LYM159"/>
      <c r="LYN159"/>
      <c r="LYO159"/>
      <c r="LYP159"/>
      <c r="LYQ159"/>
      <c r="LYR159"/>
      <c r="LYS159"/>
      <c r="LYT159"/>
      <c r="LYU159"/>
      <c r="LYV159"/>
      <c r="LYW159"/>
      <c r="LYX159"/>
      <c r="LYY159"/>
      <c r="LYZ159"/>
      <c r="LZA159"/>
      <c r="LZB159"/>
      <c r="LZC159"/>
      <c r="LZD159"/>
      <c r="LZE159"/>
      <c r="LZF159"/>
      <c r="LZG159"/>
      <c r="LZH159"/>
      <c r="LZI159"/>
      <c r="LZJ159"/>
      <c r="LZK159"/>
      <c r="LZL159"/>
      <c r="LZM159"/>
      <c r="LZN159"/>
      <c r="LZO159"/>
      <c r="LZP159"/>
      <c r="LZQ159"/>
      <c r="LZR159"/>
      <c r="LZS159"/>
      <c r="LZT159"/>
      <c r="LZU159"/>
      <c r="LZV159"/>
      <c r="LZW159"/>
      <c r="LZX159"/>
      <c r="LZY159"/>
      <c r="LZZ159"/>
      <c r="MAA159"/>
      <c r="MAB159"/>
      <c r="MAC159"/>
      <c r="MAD159"/>
      <c r="MAE159"/>
      <c r="MAF159"/>
      <c r="MAG159"/>
      <c r="MAH159"/>
      <c r="MAI159"/>
      <c r="MAJ159"/>
      <c r="MAK159"/>
      <c r="MAL159"/>
      <c r="MAM159"/>
      <c r="MAN159"/>
      <c r="MAO159"/>
      <c r="MAP159"/>
      <c r="MAQ159"/>
      <c r="MAR159"/>
      <c r="MAS159"/>
      <c r="MAT159"/>
      <c r="MAU159"/>
      <c r="MAV159"/>
      <c r="MAW159"/>
      <c r="MAX159"/>
      <c r="MAY159"/>
      <c r="MAZ159"/>
      <c r="MBA159"/>
      <c r="MBB159"/>
      <c r="MBC159"/>
      <c r="MBD159"/>
      <c r="MBE159"/>
      <c r="MBF159"/>
      <c r="MBG159"/>
      <c r="MBH159"/>
      <c r="MBI159"/>
      <c r="MBJ159"/>
      <c r="MBK159"/>
      <c r="MBL159"/>
      <c r="MBM159"/>
      <c r="MBN159"/>
      <c r="MBO159"/>
      <c r="MBP159"/>
      <c r="MBQ159"/>
      <c r="MBR159"/>
      <c r="MBS159"/>
      <c r="MBT159"/>
      <c r="MBU159"/>
      <c r="MBV159"/>
      <c r="MBW159"/>
      <c r="MBX159"/>
      <c r="MBY159"/>
      <c r="MBZ159"/>
      <c r="MCA159"/>
      <c r="MCB159"/>
      <c r="MCC159"/>
      <c r="MCD159"/>
      <c r="MCE159"/>
      <c r="MCF159"/>
      <c r="MCG159"/>
      <c r="MCH159"/>
      <c r="MCI159"/>
      <c r="MCJ159"/>
      <c r="MCK159"/>
      <c r="MCL159"/>
      <c r="MCM159"/>
      <c r="MCN159"/>
      <c r="MCO159"/>
      <c r="MCP159"/>
      <c r="MCQ159"/>
      <c r="MCR159"/>
      <c r="MCS159"/>
      <c r="MCT159"/>
      <c r="MCU159"/>
      <c r="MCV159"/>
      <c r="MCW159"/>
      <c r="MCX159"/>
      <c r="MCY159"/>
      <c r="MCZ159"/>
      <c r="MDA159"/>
      <c r="MDB159"/>
      <c r="MDC159"/>
      <c r="MDD159"/>
      <c r="MDE159"/>
      <c r="MDF159"/>
      <c r="MDG159"/>
      <c r="MDH159"/>
      <c r="MDI159"/>
      <c r="MDJ159"/>
      <c r="MDK159"/>
      <c r="MDL159"/>
      <c r="MDM159"/>
      <c r="MDN159"/>
      <c r="MDO159"/>
      <c r="MDP159"/>
      <c r="MDQ159"/>
      <c r="MDR159"/>
      <c r="MDS159"/>
      <c r="MDT159"/>
      <c r="MDU159"/>
      <c r="MDV159"/>
      <c r="MDW159"/>
      <c r="MDX159"/>
      <c r="MDY159"/>
      <c r="MDZ159"/>
      <c r="MEA159"/>
      <c r="MEB159"/>
      <c r="MEC159"/>
      <c r="MED159"/>
      <c r="MEE159"/>
      <c r="MEF159"/>
      <c r="MEG159"/>
      <c r="MEH159"/>
      <c r="MEI159"/>
      <c r="MEJ159"/>
      <c r="MEK159"/>
      <c r="MEL159"/>
      <c r="MEM159"/>
      <c r="MEN159"/>
      <c r="MEO159"/>
      <c r="MEP159"/>
      <c r="MEQ159"/>
      <c r="MER159"/>
      <c r="MES159"/>
      <c r="MET159"/>
      <c r="MEU159"/>
      <c r="MEV159"/>
      <c r="MEW159"/>
      <c r="MEX159"/>
      <c r="MEY159"/>
      <c r="MEZ159"/>
      <c r="MFA159"/>
      <c r="MFB159"/>
      <c r="MFC159"/>
      <c r="MFD159"/>
      <c r="MFE159"/>
      <c r="MFF159"/>
      <c r="MFG159"/>
      <c r="MFH159"/>
      <c r="MFI159"/>
      <c r="MFJ159"/>
      <c r="MFK159"/>
      <c r="MFL159"/>
      <c r="MFM159"/>
      <c r="MFN159"/>
      <c r="MFO159"/>
      <c r="MFP159"/>
      <c r="MFQ159"/>
      <c r="MFR159"/>
      <c r="MFS159"/>
      <c r="MFT159"/>
      <c r="MFU159"/>
      <c r="MFV159"/>
      <c r="MFW159"/>
      <c r="MFX159"/>
      <c r="MFY159"/>
      <c r="MFZ159"/>
      <c r="MGA159"/>
      <c r="MGB159"/>
      <c r="MGC159"/>
      <c r="MGD159"/>
      <c r="MGE159"/>
      <c r="MGF159"/>
      <c r="MGG159"/>
      <c r="MGH159"/>
      <c r="MGI159"/>
      <c r="MGJ159"/>
      <c r="MGK159"/>
      <c r="MGL159"/>
      <c r="MGM159"/>
      <c r="MGN159"/>
      <c r="MGO159"/>
      <c r="MGP159"/>
      <c r="MGQ159"/>
      <c r="MGR159"/>
      <c r="MGS159"/>
      <c r="MGT159"/>
      <c r="MGU159"/>
      <c r="MGV159"/>
      <c r="MGW159"/>
      <c r="MGX159"/>
      <c r="MGY159"/>
      <c r="MGZ159"/>
      <c r="MHA159"/>
      <c r="MHB159"/>
      <c r="MHC159"/>
      <c r="MHD159"/>
      <c r="MHE159"/>
      <c r="MHF159"/>
      <c r="MHG159"/>
      <c r="MHH159"/>
      <c r="MHI159"/>
      <c r="MHJ159"/>
      <c r="MHK159"/>
      <c r="MHL159"/>
      <c r="MHM159"/>
      <c r="MHN159"/>
      <c r="MHO159"/>
      <c r="MHP159"/>
      <c r="MHQ159"/>
      <c r="MHR159"/>
      <c r="MHS159"/>
      <c r="MHT159"/>
      <c r="MHU159"/>
      <c r="MHV159"/>
      <c r="MHW159"/>
      <c r="MHX159"/>
      <c r="MHY159"/>
      <c r="MHZ159"/>
      <c r="MIA159"/>
      <c r="MIB159"/>
      <c r="MIC159"/>
      <c r="MID159"/>
      <c r="MIE159"/>
      <c r="MIF159"/>
      <c r="MIG159"/>
      <c r="MIH159"/>
      <c r="MII159"/>
      <c r="MIJ159"/>
      <c r="MIK159"/>
      <c r="MIL159"/>
      <c r="MIM159"/>
      <c r="MIN159"/>
      <c r="MIO159"/>
      <c r="MIP159"/>
      <c r="MIQ159"/>
      <c r="MIR159"/>
      <c r="MIS159"/>
      <c r="MIT159"/>
      <c r="MIU159"/>
      <c r="MIV159"/>
      <c r="MIW159"/>
      <c r="MIX159"/>
      <c r="MIY159"/>
      <c r="MIZ159"/>
      <c r="MJA159"/>
      <c r="MJB159"/>
      <c r="MJC159"/>
      <c r="MJD159"/>
      <c r="MJE159"/>
      <c r="MJF159"/>
      <c r="MJG159"/>
      <c r="MJH159"/>
      <c r="MJI159"/>
      <c r="MJJ159"/>
      <c r="MJK159"/>
      <c r="MJL159"/>
      <c r="MJM159"/>
      <c r="MJN159"/>
      <c r="MJO159"/>
      <c r="MJP159"/>
      <c r="MJQ159"/>
      <c r="MJR159"/>
      <c r="MJS159"/>
      <c r="MJT159"/>
      <c r="MJU159"/>
      <c r="MJV159"/>
      <c r="MJW159"/>
      <c r="MJX159"/>
      <c r="MJY159"/>
      <c r="MJZ159"/>
      <c r="MKA159"/>
      <c r="MKB159"/>
      <c r="MKC159"/>
      <c r="MKD159"/>
      <c r="MKE159"/>
      <c r="MKF159"/>
      <c r="MKG159"/>
      <c r="MKH159"/>
      <c r="MKI159"/>
      <c r="MKJ159"/>
      <c r="MKK159"/>
      <c r="MKL159"/>
      <c r="MKM159"/>
      <c r="MKN159"/>
      <c r="MKO159"/>
      <c r="MKP159"/>
      <c r="MKQ159"/>
      <c r="MKR159"/>
      <c r="MKS159"/>
      <c r="MKT159"/>
      <c r="MKU159"/>
      <c r="MKV159"/>
      <c r="MKW159"/>
      <c r="MKX159"/>
      <c r="MKY159"/>
      <c r="MKZ159"/>
      <c r="MLA159"/>
      <c r="MLB159"/>
      <c r="MLC159"/>
      <c r="MLD159"/>
      <c r="MLE159"/>
      <c r="MLF159"/>
      <c r="MLG159"/>
      <c r="MLH159"/>
      <c r="MLI159"/>
      <c r="MLJ159"/>
      <c r="MLK159"/>
      <c r="MLL159"/>
      <c r="MLM159"/>
      <c r="MLN159"/>
      <c r="MLO159"/>
      <c r="MLP159"/>
      <c r="MLQ159"/>
      <c r="MLR159"/>
      <c r="MLS159"/>
      <c r="MLT159"/>
      <c r="MLU159"/>
      <c r="MLV159"/>
      <c r="MLW159"/>
      <c r="MLX159"/>
      <c r="MLY159"/>
      <c r="MLZ159"/>
      <c r="MMA159"/>
      <c r="MMB159"/>
      <c r="MMC159"/>
      <c r="MMD159"/>
      <c r="MME159"/>
      <c r="MMF159"/>
      <c r="MMG159"/>
      <c r="MMH159"/>
      <c r="MMI159"/>
      <c r="MMJ159"/>
      <c r="MMK159"/>
      <c r="MML159"/>
      <c r="MMM159"/>
      <c r="MMN159"/>
      <c r="MMO159"/>
      <c r="MMP159"/>
      <c r="MMQ159"/>
      <c r="MMR159"/>
      <c r="MMS159"/>
      <c r="MMT159"/>
      <c r="MMU159"/>
      <c r="MMV159"/>
      <c r="MMW159"/>
      <c r="MMX159"/>
      <c r="MMY159"/>
      <c r="MMZ159"/>
      <c r="MNA159"/>
      <c r="MNB159"/>
      <c r="MNC159"/>
      <c r="MND159"/>
      <c r="MNE159"/>
      <c r="MNF159"/>
      <c r="MNG159"/>
      <c r="MNH159"/>
      <c r="MNI159"/>
      <c r="MNJ159"/>
      <c r="MNK159"/>
      <c r="MNL159"/>
      <c r="MNM159"/>
      <c r="MNN159"/>
      <c r="MNO159"/>
      <c r="MNP159"/>
      <c r="MNQ159"/>
      <c r="MNR159"/>
      <c r="MNS159"/>
      <c r="MNT159"/>
      <c r="MNU159"/>
      <c r="MNV159"/>
      <c r="MNW159"/>
      <c r="MNX159"/>
      <c r="MNY159"/>
      <c r="MNZ159"/>
      <c r="MOA159"/>
      <c r="MOB159"/>
      <c r="MOC159"/>
      <c r="MOD159"/>
      <c r="MOE159"/>
      <c r="MOF159"/>
      <c r="MOG159"/>
      <c r="MOH159"/>
      <c r="MOI159"/>
      <c r="MOJ159"/>
      <c r="MOK159"/>
      <c r="MOL159"/>
      <c r="MOM159"/>
      <c r="MON159"/>
      <c r="MOO159"/>
      <c r="MOP159"/>
      <c r="MOQ159"/>
      <c r="MOR159"/>
      <c r="MOS159"/>
      <c r="MOT159"/>
      <c r="MOU159"/>
      <c r="MOV159"/>
      <c r="MOW159"/>
      <c r="MOX159"/>
      <c r="MOY159"/>
      <c r="MOZ159"/>
      <c r="MPA159"/>
      <c r="MPB159"/>
      <c r="MPC159"/>
      <c r="MPD159"/>
      <c r="MPE159"/>
      <c r="MPF159"/>
      <c r="MPG159"/>
      <c r="MPH159"/>
      <c r="MPI159"/>
      <c r="MPJ159"/>
      <c r="MPK159"/>
      <c r="MPL159"/>
      <c r="MPM159"/>
      <c r="MPN159"/>
      <c r="MPO159"/>
      <c r="MPP159"/>
      <c r="MPQ159"/>
      <c r="MPR159"/>
      <c r="MPS159"/>
      <c r="MPT159"/>
      <c r="MPU159"/>
      <c r="MPV159"/>
      <c r="MPW159"/>
      <c r="MPX159"/>
      <c r="MPY159"/>
      <c r="MPZ159"/>
      <c r="MQA159"/>
      <c r="MQB159"/>
      <c r="MQC159"/>
      <c r="MQD159"/>
      <c r="MQE159"/>
      <c r="MQF159"/>
      <c r="MQG159"/>
      <c r="MQH159"/>
      <c r="MQI159"/>
      <c r="MQJ159"/>
      <c r="MQK159"/>
      <c r="MQL159"/>
      <c r="MQM159"/>
      <c r="MQN159"/>
      <c r="MQO159"/>
      <c r="MQP159"/>
      <c r="MQQ159"/>
      <c r="MQR159"/>
      <c r="MQS159"/>
      <c r="MQT159"/>
      <c r="MQU159"/>
      <c r="MQV159"/>
      <c r="MQW159"/>
      <c r="MQX159"/>
      <c r="MQY159"/>
      <c r="MQZ159"/>
      <c r="MRA159"/>
      <c r="MRB159"/>
      <c r="MRC159"/>
      <c r="MRD159"/>
      <c r="MRE159"/>
      <c r="MRF159"/>
      <c r="MRG159"/>
      <c r="MRH159"/>
      <c r="MRI159"/>
      <c r="MRJ159"/>
      <c r="MRK159"/>
      <c r="MRL159"/>
      <c r="MRM159"/>
      <c r="MRN159"/>
      <c r="MRO159"/>
      <c r="MRP159"/>
      <c r="MRQ159"/>
      <c r="MRR159"/>
      <c r="MRS159"/>
      <c r="MRT159"/>
      <c r="MRU159"/>
      <c r="MRV159"/>
      <c r="MRW159"/>
      <c r="MRX159"/>
      <c r="MRY159"/>
      <c r="MRZ159"/>
      <c r="MSA159"/>
      <c r="MSB159"/>
      <c r="MSC159"/>
      <c r="MSD159"/>
      <c r="MSE159"/>
      <c r="MSF159"/>
      <c r="MSG159"/>
      <c r="MSH159"/>
      <c r="MSI159"/>
      <c r="MSJ159"/>
      <c r="MSK159"/>
      <c r="MSL159"/>
      <c r="MSM159"/>
      <c r="MSN159"/>
      <c r="MSO159"/>
      <c r="MSP159"/>
      <c r="MSQ159"/>
      <c r="MSR159"/>
      <c r="MSS159"/>
      <c r="MST159"/>
      <c r="MSU159"/>
      <c r="MSV159"/>
      <c r="MSW159"/>
      <c r="MSX159"/>
      <c r="MSY159"/>
      <c r="MSZ159"/>
      <c r="MTA159"/>
      <c r="MTB159"/>
      <c r="MTC159"/>
      <c r="MTD159"/>
      <c r="MTE159"/>
      <c r="MTF159"/>
      <c r="MTG159"/>
      <c r="MTH159"/>
      <c r="MTI159"/>
      <c r="MTJ159"/>
      <c r="MTK159"/>
      <c r="MTL159"/>
      <c r="MTM159"/>
      <c r="MTN159"/>
      <c r="MTO159"/>
      <c r="MTP159"/>
      <c r="MTQ159"/>
      <c r="MTR159"/>
      <c r="MTS159"/>
      <c r="MTT159"/>
      <c r="MTU159"/>
      <c r="MTV159"/>
      <c r="MTW159"/>
      <c r="MTX159"/>
      <c r="MTY159"/>
      <c r="MTZ159"/>
      <c r="MUA159"/>
      <c r="MUB159"/>
      <c r="MUC159"/>
      <c r="MUD159"/>
      <c r="MUE159"/>
      <c r="MUF159"/>
      <c r="MUG159"/>
      <c r="MUH159"/>
      <c r="MUI159"/>
      <c r="MUJ159"/>
      <c r="MUK159"/>
      <c r="MUL159"/>
      <c r="MUM159"/>
      <c r="MUN159"/>
      <c r="MUO159"/>
      <c r="MUP159"/>
      <c r="MUQ159"/>
      <c r="MUR159"/>
      <c r="MUS159"/>
      <c r="MUT159"/>
      <c r="MUU159"/>
      <c r="MUV159"/>
      <c r="MUW159"/>
      <c r="MUX159"/>
      <c r="MUY159"/>
      <c r="MUZ159"/>
      <c r="MVA159"/>
      <c r="MVB159"/>
      <c r="MVC159"/>
      <c r="MVD159"/>
      <c r="MVE159"/>
      <c r="MVF159"/>
      <c r="MVG159"/>
      <c r="MVH159"/>
      <c r="MVI159"/>
      <c r="MVJ159"/>
      <c r="MVK159"/>
      <c r="MVL159"/>
      <c r="MVM159"/>
      <c r="MVN159"/>
      <c r="MVO159"/>
      <c r="MVP159"/>
      <c r="MVQ159"/>
      <c r="MVR159"/>
      <c r="MVS159"/>
      <c r="MVT159"/>
      <c r="MVU159"/>
      <c r="MVV159"/>
      <c r="MVW159"/>
      <c r="MVX159"/>
      <c r="MVY159"/>
      <c r="MVZ159"/>
      <c r="MWA159"/>
      <c r="MWB159"/>
      <c r="MWC159"/>
      <c r="MWD159"/>
      <c r="MWE159"/>
      <c r="MWF159"/>
      <c r="MWG159"/>
      <c r="MWH159"/>
      <c r="MWI159"/>
      <c r="MWJ159"/>
      <c r="MWK159"/>
      <c r="MWL159"/>
      <c r="MWM159"/>
      <c r="MWN159"/>
      <c r="MWO159"/>
      <c r="MWP159"/>
      <c r="MWQ159"/>
      <c r="MWR159"/>
      <c r="MWS159"/>
      <c r="MWT159"/>
      <c r="MWU159"/>
      <c r="MWV159"/>
      <c r="MWW159"/>
      <c r="MWX159"/>
      <c r="MWY159"/>
      <c r="MWZ159"/>
      <c r="MXA159"/>
      <c r="MXB159"/>
      <c r="MXC159"/>
      <c r="MXD159"/>
      <c r="MXE159"/>
      <c r="MXF159"/>
      <c r="MXG159"/>
      <c r="MXH159"/>
      <c r="MXI159"/>
      <c r="MXJ159"/>
      <c r="MXK159"/>
      <c r="MXL159"/>
      <c r="MXM159"/>
      <c r="MXN159"/>
      <c r="MXO159"/>
      <c r="MXP159"/>
      <c r="MXQ159"/>
      <c r="MXR159"/>
      <c r="MXS159"/>
      <c r="MXT159"/>
      <c r="MXU159"/>
      <c r="MXV159"/>
      <c r="MXW159"/>
      <c r="MXX159"/>
      <c r="MXY159"/>
      <c r="MXZ159"/>
      <c r="MYA159"/>
      <c r="MYB159"/>
      <c r="MYC159"/>
      <c r="MYD159"/>
      <c r="MYE159"/>
      <c r="MYF159"/>
      <c r="MYG159"/>
      <c r="MYH159"/>
      <c r="MYI159"/>
      <c r="MYJ159"/>
      <c r="MYK159"/>
      <c r="MYL159"/>
      <c r="MYM159"/>
      <c r="MYN159"/>
      <c r="MYO159"/>
      <c r="MYP159"/>
      <c r="MYQ159"/>
      <c r="MYR159"/>
      <c r="MYS159"/>
      <c r="MYT159"/>
      <c r="MYU159"/>
      <c r="MYV159"/>
      <c r="MYW159"/>
      <c r="MYX159"/>
      <c r="MYY159"/>
      <c r="MYZ159"/>
      <c r="MZA159"/>
      <c r="MZB159"/>
      <c r="MZC159"/>
      <c r="MZD159"/>
      <c r="MZE159"/>
      <c r="MZF159"/>
      <c r="MZG159"/>
      <c r="MZH159"/>
      <c r="MZI159"/>
      <c r="MZJ159"/>
      <c r="MZK159"/>
      <c r="MZL159"/>
      <c r="MZM159"/>
      <c r="MZN159"/>
      <c r="MZO159"/>
      <c r="MZP159"/>
      <c r="MZQ159"/>
      <c r="MZR159"/>
      <c r="MZS159"/>
      <c r="MZT159"/>
      <c r="MZU159"/>
      <c r="MZV159"/>
      <c r="MZW159"/>
      <c r="MZX159"/>
      <c r="MZY159"/>
      <c r="MZZ159"/>
      <c r="NAA159"/>
      <c r="NAB159"/>
      <c r="NAC159"/>
      <c r="NAD159"/>
      <c r="NAE159"/>
      <c r="NAF159"/>
      <c r="NAG159"/>
      <c r="NAH159"/>
      <c r="NAI159"/>
      <c r="NAJ159"/>
      <c r="NAK159"/>
      <c r="NAL159"/>
      <c r="NAM159"/>
      <c r="NAN159"/>
      <c r="NAO159"/>
      <c r="NAP159"/>
      <c r="NAQ159"/>
      <c r="NAR159"/>
      <c r="NAS159"/>
      <c r="NAT159"/>
      <c r="NAU159"/>
      <c r="NAV159"/>
      <c r="NAW159"/>
      <c r="NAX159"/>
      <c r="NAY159"/>
      <c r="NAZ159"/>
      <c r="NBA159"/>
      <c r="NBB159"/>
      <c r="NBC159"/>
      <c r="NBD159"/>
      <c r="NBE159"/>
      <c r="NBF159"/>
      <c r="NBG159"/>
      <c r="NBH159"/>
      <c r="NBI159"/>
      <c r="NBJ159"/>
      <c r="NBK159"/>
      <c r="NBL159"/>
      <c r="NBM159"/>
      <c r="NBN159"/>
      <c r="NBO159"/>
      <c r="NBP159"/>
      <c r="NBQ159"/>
      <c r="NBR159"/>
      <c r="NBS159"/>
      <c r="NBT159"/>
      <c r="NBU159"/>
      <c r="NBV159"/>
      <c r="NBW159"/>
      <c r="NBX159"/>
      <c r="NBY159"/>
      <c r="NBZ159"/>
      <c r="NCA159"/>
      <c r="NCB159"/>
      <c r="NCC159"/>
      <c r="NCD159"/>
      <c r="NCE159"/>
      <c r="NCF159"/>
      <c r="NCG159"/>
      <c r="NCH159"/>
      <c r="NCI159"/>
      <c r="NCJ159"/>
      <c r="NCK159"/>
      <c r="NCL159"/>
      <c r="NCM159"/>
      <c r="NCN159"/>
      <c r="NCO159"/>
      <c r="NCP159"/>
      <c r="NCQ159"/>
      <c r="NCR159"/>
      <c r="NCS159"/>
      <c r="NCT159"/>
      <c r="NCU159"/>
      <c r="NCV159"/>
      <c r="NCW159"/>
      <c r="NCX159"/>
      <c r="NCY159"/>
      <c r="NCZ159"/>
      <c r="NDA159"/>
      <c r="NDB159"/>
      <c r="NDC159"/>
      <c r="NDD159"/>
      <c r="NDE159"/>
      <c r="NDF159"/>
      <c r="NDG159"/>
      <c r="NDH159"/>
      <c r="NDI159"/>
      <c r="NDJ159"/>
      <c r="NDK159"/>
      <c r="NDL159"/>
      <c r="NDM159"/>
      <c r="NDN159"/>
      <c r="NDO159"/>
      <c r="NDP159"/>
      <c r="NDQ159"/>
      <c r="NDR159"/>
      <c r="NDS159"/>
      <c r="NDT159"/>
      <c r="NDU159"/>
      <c r="NDV159"/>
      <c r="NDW159"/>
      <c r="NDX159"/>
      <c r="NDY159"/>
      <c r="NDZ159"/>
      <c r="NEA159"/>
      <c r="NEB159"/>
      <c r="NEC159"/>
      <c r="NED159"/>
      <c r="NEE159"/>
      <c r="NEF159"/>
      <c r="NEG159"/>
      <c r="NEH159"/>
      <c r="NEI159"/>
      <c r="NEJ159"/>
      <c r="NEK159"/>
      <c r="NEL159"/>
      <c r="NEM159"/>
      <c r="NEN159"/>
      <c r="NEO159"/>
      <c r="NEP159"/>
      <c r="NEQ159"/>
      <c r="NER159"/>
      <c r="NES159"/>
      <c r="NET159"/>
      <c r="NEU159"/>
      <c r="NEV159"/>
      <c r="NEW159"/>
      <c r="NEX159"/>
      <c r="NEY159"/>
      <c r="NEZ159"/>
      <c r="NFA159"/>
      <c r="NFB159"/>
      <c r="NFC159"/>
      <c r="NFD159"/>
      <c r="NFE159"/>
      <c r="NFF159"/>
      <c r="NFG159"/>
      <c r="NFH159"/>
      <c r="NFI159"/>
      <c r="NFJ159"/>
      <c r="NFK159"/>
      <c r="NFL159"/>
      <c r="NFM159"/>
      <c r="NFN159"/>
      <c r="NFO159"/>
      <c r="NFP159"/>
      <c r="NFQ159"/>
      <c r="NFR159"/>
      <c r="NFS159"/>
      <c r="NFT159"/>
      <c r="NFU159"/>
      <c r="NFV159"/>
      <c r="NFW159"/>
      <c r="NFX159"/>
      <c r="NFY159"/>
      <c r="NFZ159"/>
      <c r="NGA159"/>
      <c r="NGB159"/>
      <c r="NGC159"/>
      <c r="NGD159"/>
      <c r="NGE159"/>
      <c r="NGF159"/>
      <c r="NGG159"/>
      <c r="NGH159"/>
      <c r="NGI159"/>
      <c r="NGJ159"/>
      <c r="NGK159"/>
      <c r="NGL159"/>
      <c r="NGM159"/>
      <c r="NGN159"/>
      <c r="NGO159"/>
      <c r="NGP159"/>
      <c r="NGQ159"/>
      <c r="NGR159"/>
      <c r="NGS159"/>
      <c r="NGT159"/>
      <c r="NGU159"/>
      <c r="NGV159"/>
      <c r="NGW159"/>
      <c r="NGX159"/>
      <c r="NGY159"/>
      <c r="NGZ159"/>
      <c r="NHA159"/>
      <c r="NHB159"/>
      <c r="NHC159"/>
      <c r="NHD159"/>
      <c r="NHE159"/>
      <c r="NHF159"/>
      <c r="NHG159"/>
      <c r="NHH159"/>
      <c r="NHI159"/>
      <c r="NHJ159"/>
      <c r="NHK159"/>
      <c r="NHL159"/>
      <c r="NHM159"/>
      <c r="NHN159"/>
      <c r="NHO159"/>
      <c r="NHP159"/>
      <c r="NHQ159"/>
      <c r="NHR159"/>
      <c r="NHS159"/>
      <c r="NHT159"/>
      <c r="NHU159"/>
      <c r="NHV159"/>
      <c r="NHW159"/>
      <c r="NHX159"/>
      <c r="NHY159"/>
      <c r="NHZ159"/>
      <c r="NIA159"/>
      <c r="NIB159"/>
      <c r="NIC159"/>
      <c r="NID159"/>
      <c r="NIE159"/>
      <c r="NIF159"/>
      <c r="NIG159"/>
      <c r="NIH159"/>
      <c r="NII159"/>
      <c r="NIJ159"/>
      <c r="NIK159"/>
      <c r="NIL159"/>
      <c r="NIM159"/>
      <c r="NIN159"/>
      <c r="NIO159"/>
      <c r="NIP159"/>
      <c r="NIQ159"/>
      <c r="NIR159"/>
      <c r="NIS159"/>
      <c r="NIT159"/>
      <c r="NIU159"/>
      <c r="NIV159"/>
      <c r="NIW159"/>
      <c r="NIX159"/>
      <c r="NIY159"/>
      <c r="NIZ159"/>
      <c r="NJA159"/>
      <c r="NJB159"/>
      <c r="NJC159"/>
      <c r="NJD159"/>
      <c r="NJE159"/>
      <c r="NJF159"/>
      <c r="NJG159"/>
      <c r="NJH159"/>
      <c r="NJI159"/>
      <c r="NJJ159"/>
      <c r="NJK159"/>
      <c r="NJL159"/>
      <c r="NJM159"/>
      <c r="NJN159"/>
      <c r="NJO159"/>
      <c r="NJP159"/>
      <c r="NJQ159"/>
      <c r="NJR159"/>
      <c r="NJS159"/>
      <c r="NJT159"/>
      <c r="NJU159"/>
      <c r="NJV159"/>
      <c r="NJW159"/>
      <c r="NJX159"/>
      <c r="NJY159"/>
      <c r="NJZ159"/>
      <c r="NKA159"/>
      <c r="NKB159"/>
      <c r="NKC159"/>
      <c r="NKD159"/>
      <c r="NKE159"/>
      <c r="NKF159"/>
      <c r="NKG159"/>
      <c r="NKH159"/>
      <c r="NKI159"/>
      <c r="NKJ159"/>
      <c r="NKK159"/>
      <c r="NKL159"/>
      <c r="NKM159"/>
      <c r="NKN159"/>
      <c r="NKO159"/>
      <c r="NKP159"/>
      <c r="NKQ159"/>
      <c r="NKR159"/>
      <c r="NKS159"/>
      <c r="NKT159"/>
      <c r="NKU159"/>
      <c r="NKV159"/>
      <c r="NKW159"/>
      <c r="NKX159"/>
      <c r="NKY159"/>
      <c r="NKZ159"/>
      <c r="NLA159"/>
      <c r="NLB159"/>
      <c r="NLC159"/>
      <c r="NLD159"/>
      <c r="NLE159"/>
      <c r="NLF159"/>
      <c r="NLG159"/>
      <c r="NLH159"/>
      <c r="NLI159"/>
      <c r="NLJ159"/>
      <c r="NLK159"/>
      <c r="NLL159"/>
      <c r="NLM159"/>
      <c r="NLN159"/>
      <c r="NLO159"/>
      <c r="NLP159"/>
      <c r="NLQ159"/>
      <c r="NLR159"/>
      <c r="NLS159"/>
      <c r="NLT159"/>
      <c r="NLU159"/>
      <c r="NLV159"/>
      <c r="NLW159"/>
      <c r="NLX159"/>
      <c r="NLY159"/>
      <c r="NLZ159"/>
      <c r="NMA159"/>
      <c r="NMB159"/>
      <c r="NMC159"/>
      <c r="NMD159"/>
      <c r="NME159"/>
      <c r="NMF159"/>
      <c r="NMG159"/>
      <c r="NMH159"/>
      <c r="NMI159"/>
      <c r="NMJ159"/>
      <c r="NMK159"/>
      <c r="NML159"/>
      <c r="NMM159"/>
      <c r="NMN159"/>
      <c r="NMO159"/>
      <c r="NMP159"/>
      <c r="NMQ159"/>
      <c r="NMR159"/>
      <c r="NMS159"/>
      <c r="NMT159"/>
      <c r="NMU159"/>
      <c r="NMV159"/>
      <c r="NMW159"/>
      <c r="NMX159"/>
      <c r="NMY159"/>
      <c r="NMZ159"/>
      <c r="NNA159"/>
      <c r="NNB159"/>
      <c r="NNC159"/>
      <c r="NND159"/>
      <c r="NNE159"/>
      <c r="NNF159"/>
      <c r="NNG159"/>
      <c r="NNH159"/>
      <c r="NNI159"/>
      <c r="NNJ159"/>
      <c r="NNK159"/>
      <c r="NNL159"/>
      <c r="NNM159"/>
      <c r="NNN159"/>
      <c r="NNO159"/>
      <c r="NNP159"/>
      <c r="NNQ159"/>
      <c r="NNR159"/>
      <c r="NNS159"/>
      <c r="NNT159"/>
      <c r="NNU159"/>
      <c r="NNV159"/>
      <c r="NNW159"/>
      <c r="NNX159"/>
      <c r="NNY159"/>
      <c r="NNZ159"/>
      <c r="NOA159"/>
      <c r="NOB159"/>
      <c r="NOC159"/>
      <c r="NOD159"/>
      <c r="NOE159"/>
      <c r="NOF159"/>
      <c r="NOG159"/>
      <c r="NOH159"/>
      <c r="NOI159"/>
      <c r="NOJ159"/>
      <c r="NOK159"/>
      <c r="NOL159"/>
      <c r="NOM159"/>
      <c r="NON159"/>
      <c r="NOO159"/>
      <c r="NOP159"/>
      <c r="NOQ159"/>
      <c r="NOR159"/>
      <c r="NOS159"/>
      <c r="NOT159"/>
      <c r="NOU159"/>
      <c r="NOV159"/>
      <c r="NOW159"/>
      <c r="NOX159"/>
      <c r="NOY159"/>
      <c r="NOZ159"/>
      <c r="NPA159"/>
      <c r="NPB159"/>
      <c r="NPC159"/>
      <c r="NPD159"/>
      <c r="NPE159"/>
      <c r="NPF159"/>
      <c r="NPG159"/>
      <c r="NPH159"/>
      <c r="NPI159"/>
      <c r="NPJ159"/>
      <c r="NPK159"/>
      <c r="NPL159"/>
      <c r="NPM159"/>
      <c r="NPN159"/>
      <c r="NPO159"/>
      <c r="NPP159"/>
      <c r="NPQ159"/>
      <c r="NPR159"/>
      <c r="NPS159"/>
      <c r="NPT159"/>
      <c r="NPU159"/>
      <c r="NPV159"/>
      <c r="NPW159"/>
      <c r="NPX159"/>
      <c r="NPY159"/>
      <c r="NPZ159"/>
      <c r="NQA159"/>
      <c r="NQB159"/>
      <c r="NQC159"/>
      <c r="NQD159"/>
      <c r="NQE159"/>
      <c r="NQF159"/>
      <c r="NQG159"/>
      <c r="NQH159"/>
      <c r="NQI159"/>
      <c r="NQJ159"/>
      <c r="NQK159"/>
      <c r="NQL159"/>
      <c r="NQM159"/>
      <c r="NQN159"/>
      <c r="NQO159"/>
      <c r="NQP159"/>
      <c r="NQQ159"/>
      <c r="NQR159"/>
      <c r="NQS159"/>
      <c r="NQT159"/>
      <c r="NQU159"/>
      <c r="NQV159"/>
      <c r="NQW159"/>
      <c r="NQX159"/>
      <c r="NQY159"/>
      <c r="NQZ159"/>
      <c r="NRA159"/>
      <c r="NRB159"/>
      <c r="NRC159"/>
      <c r="NRD159"/>
      <c r="NRE159"/>
      <c r="NRF159"/>
      <c r="NRG159"/>
      <c r="NRH159"/>
      <c r="NRI159"/>
      <c r="NRJ159"/>
      <c r="NRK159"/>
      <c r="NRL159"/>
      <c r="NRM159"/>
      <c r="NRN159"/>
      <c r="NRO159"/>
      <c r="NRP159"/>
      <c r="NRQ159"/>
      <c r="NRR159"/>
      <c r="NRS159"/>
      <c r="NRT159"/>
      <c r="NRU159"/>
      <c r="NRV159"/>
      <c r="NRW159"/>
      <c r="NRX159"/>
      <c r="NRY159"/>
      <c r="NRZ159"/>
      <c r="NSA159"/>
      <c r="NSB159"/>
      <c r="NSC159"/>
      <c r="NSD159"/>
      <c r="NSE159"/>
      <c r="NSF159"/>
      <c r="NSG159"/>
      <c r="NSH159"/>
      <c r="NSI159"/>
      <c r="NSJ159"/>
      <c r="NSK159"/>
      <c r="NSL159"/>
      <c r="NSM159"/>
      <c r="NSN159"/>
      <c r="NSO159"/>
      <c r="NSP159"/>
      <c r="NSQ159"/>
      <c r="NSR159"/>
      <c r="NSS159"/>
      <c r="NST159"/>
      <c r="NSU159"/>
      <c r="NSV159"/>
      <c r="NSW159"/>
      <c r="NSX159"/>
      <c r="NSY159"/>
      <c r="NSZ159"/>
      <c r="NTA159"/>
      <c r="NTB159"/>
      <c r="NTC159"/>
      <c r="NTD159"/>
      <c r="NTE159"/>
      <c r="NTF159"/>
      <c r="NTG159"/>
      <c r="NTH159"/>
      <c r="NTI159"/>
      <c r="NTJ159"/>
      <c r="NTK159"/>
      <c r="NTL159"/>
      <c r="NTM159"/>
      <c r="NTN159"/>
      <c r="NTO159"/>
      <c r="NTP159"/>
      <c r="NTQ159"/>
      <c r="NTR159"/>
      <c r="NTS159"/>
      <c r="NTT159"/>
      <c r="NTU159"/>
      <c r="NTV159"/>
      <c r="NTW159"/>
      <c r="NTX159"/>
      <c r="NTY159"/>
      <c r="NTZ159"/>
      <c r="NUA159"/>
      <c r="NUB159"/>
      <c r="NUC159"/>
      <c r="NUD159"/>
      <c r="NUE159"/>
      <c r="NUF159"/>
      <c r="NUG159"/>
      <c r="NUH159"/>
      <c r="NUI159"/>
      <c r="NUJ159"/>
      <c r="NUK159"/>
      <c r="NUL159"/>
      <c r="NUM159"/>
      <c r="NUN159"/>
      <c r="NUO159"/>
      <c r="NUP159"/>
      <c r="NUQ159"/>
      <c r="NUR159"/>
      <c r="NUS159"/>
      <c r="NUT159"/>
      <c r="NUU159"/>
      <c r="NUV159"/>
      <c r="NUW159"/>
      <c r="NUX159"/>
      <c r="NUY159"/>
      <c r="NUZ159"/>
      <c r="NVA159"/>
      <c r="NVB159"/>
      <c r="NVC159"/>
      <c r="NVD159"/>
      <c r="NVE159"/>
      <c r="NVF159"/>
      <c r="NVG159"/>
      <c r="NVH159"/>
      <c r="NVI159"/>
      <c r="NVJ159"/>
      <c r="NVK159"/>
      <c r="NVL159"/>
      <c r="NVM159"/>
      <c r="NVN159"/>
      <c r="NVO159"/>
      <c r="NVP159"/>
      <c r="NVQ159"/>
      <c r="NVR159"/>
      <c r="NVS159"/>
      <c r="NVT159"/>
      <c r="NVU159"/>
      <c r="NVV159"/>
      <c r="NVW159"/>
      <c r="NVX159"/>
      <c r="NVY159"/>
      <c r="NVZ159"/>
      <c r="NWA159"/>
      <c r="NWB159"/>
      <c r="NWC159"/>
      <c r="NWD159"/>
      <c r="NWE159"/>
      <c r="NWF159"/>
      <c r="NWG159"/>
      <c r="NWH159"/>
      <c r="NWI159"/>
      <c r="NWJ159"/>
      <c r="NWK159"/>
      <c r="NWL159"/>
      <c r="NWM159"/>
      <c r="NWN159"/>
      <c r="NWO159"/>
      <c r="NWP159"/>
      <c r="NWQ159"/>
      <c r="NWR159"/>
      <c r="NWS159"/>
      <c r="NWT159"/>
      <c r="NWU159"/>
      <c r="NWV159"/>
      <c r="NWW159"/>
      <c r="NWX159"/>
      <c r="NWY159"/>
      <c r="NWZ159"/>
      <c r="NXA159"/>
      <c r="NXB159"/>
      <c r="NXC159"/>
      <c r="NXD159"/>
      <c r="NXE159"/>
      <c r="NXF159"/>
      <c r="NXG159"/>
      <c r="NXH159"/>
      <c r="NXI159"/>
      <c r="NXJ159"/>
      <c r="NXK159"/>
      <c r="NXL159"/>
      <c r="NXM159"/>
      <c r="NXN159"/>
      <c r="NXO159"/>
      <c r="NXP159"/>
      <c r="NXQ159"/>
      <c r="NXR159"/>
      <c r="NXS159"/>
      <c r="NXT159"/>
      <c r="NXU159"/>
      <c r="NXV159"/>
      <c r="NXW159"/>
      <c r="NXX159"/>
      <c r="NXY159"/>
      <c r="NXZ159"/>
      <c r="NYA159"/>
      <c r="NYB159"/>
      <c r="NYC159"/>
      <c r="NYD159"/>
      <c r="NYE159"/>
      <c r="NYF159"/>
      <c r="NYG159"/>
      <c r="NYH159"/>
      <c r="NYI159"/>
      <c r="NYJ159"/>
      <c r="NYK159"/>
      <c r="NYL159"/>
      <c r="NYM159"/>
      <c r="NYN159"/>
      <c r="NYO159"/>
      <c r="NYP159"/>
      <c r="NYQ159"/>
      <c r="NYR159"/>
      <c r="NYS159"/>
      <c r="NYT159"/>
      <c r="NYU159"/>
      <c r="NYV159"/>
      <c r="NYW159"/>
      <c r="NYX159"/>
      <c r="NYY159"/>
      <c r="NYZ159"/>
      <c r="NZA159"/>
      <c r="NZB159"/>
      <c r="NZC159"/>
      <c r="NZD159"/>
      <c r="NZE159"/>
      <c r="NZF159"/>
      <c r="NZG159"/>
      <c r="NZH159"/>
      <c r="NZI159"/>
      <c r="NZJ159"/>
      <c r="NZK159"/>
      <c r="NZL159"/>
      <c r="NZM159"/>
      <c r="NZN159"/>
      <c r="NZO159"/>
      <c r="NZP159"/>
      <c r="NZQ159"/>
      <c r="NZR159"/>
      <c r="NZS159"/>
      <c r="NZT159"/>
      <c r="NZU159"/>
      <c r="NZV159"/>
      <c r="NZW159"/>
      <c r="NZX159"/>
      <c r="NZY159"/>
      <c r="NZZ159"/>
      <c r="OAA159"/>
      <c r="OAB159"/>
      <c r="OAC159"/>
      <c r="OAD159"/>
      <c r="OAE159"/>
      <c r="OAF159"/>
      <c r="OAG159"/>
      <c r="OAH159"/>
      <c r="OAI159"/>
      <c r="OAJ159"/>
      <c r="OAK159"/>
      <c r="OAL159"/>
      <c r="OAM159"/>
      <c r="OAN159"/>
      <c r="OAO159"/>
      <c r="OAP159"/>
      <c r="OAQ159"/>
      <c r="OAR159"/>
      <c r="OAS159"/>
      <c r="OAT159"/>
      <c r="OAU159"/>
      <c r="OAV159"/>
      <c r="OAW159"/>
      <c r="OAX159"/>
      <c r="OAY159"/>
      <c r="OAZ159"/>
      <c r="OBA159"/>
      <c r="OBB159"/>
      <c r="OBC159"/>
      <c r="OBD159"/>
      <c r="OBE159"/>
      <c r="OBF159"/>
      <c r="OBG159"/>
      <c r="OBH159"/>
      <c r="OBI159"/>
      <c r="OBJ159"/>
      <c r="OBK159"/>
      <c r="OBL159"/>
      <c r="OBM159"/>
      <c r="OBN159"/>
      <c r="OBO159"/>
      <c r="OBP159"/>
      <c r="OBQ159"/>
      <c r="OBR159"/>
      <c r="OBS159"/>
      <c r="OBT159"/>
      <c r="OBU159"/>
      <c r="OBV159"/>
      <c r="OBW159"/>
      <c r="OBX159"/>
      <c r="OBY159"/>
      <c r="OBZ159"/>
      <c r="OCA159"/>
      <c r="OCB159"/>
      <c r="OCC159"/>
      <c r="OCD159"/>
      <c r="OCE159"/>
      <c r="OCF159"/>
      <c r="OCG159"/>
      <c r="OCH159"/>
      <c r="OCI159"/>
      <c r="OCJ159"/>
      <c r="OCK159"/>
      <c r="OCL159"/>
      <c r="OCM159"/>
      <c r="OCN159"/>
      <c r="OCO159"/>
      <c r="OCP159"/>
      <c r="OCQ159"/>
      <c r="OCR159"/>
      <c r="OCS159"/>
      <c r="OCT159"/>
      <c r="OCU159"/>
      <c r="OCV159"/>
      <c r="OCW159"/>
      <c r="OCX159"/>
      <c r="OCY159"/>
      <c r="OCZ159"/>
      <c r="ODA159"/>
      <c r="ODB159"/>
      <c r="ODC159"/>
      <c r="ODD159"/>
      <c r="ODE159"/>
      <c r="ODF159"/>
      <c r="ODG159"/>
      <c r="ODH159"/>
      <c r="ODI159"/>
      <c r="ODJ159"/>
      <c r="ODK159"/>
      <c r="ODL159"/>
      <c r="ODM159"/>
      <c r="ODN159"/>
      <c r="ODO159"/>
      <c r="ODP159"/>
      <c r="ODQ159"/>
      <c r="ODR159"/>
      <c r="ODS159"/>
      <c r="ODT159"/>
      <c r="ODU159"/>
      <c r="ODV159"/>
      <c r="ODW159"/>
      <c r="ODX159"/>
      <c r="ODY159"/>
      <c r="ODZ159"/>
      <c r="OEA159"/>
      <c r="OEB159"/>
      <c r="OEC159"/>
      <c r="OED159"/>
      <c r="OEE159"/>
      <c r="OEF159"/>
      <c r="OEG159"/>
      <c r="OEH159"/>
      <c r="OEI159"/>
      <c r="OEJ159"/>
      <c r="OEK159"/>
      <c r="OEL159"/>
      <c r="OEM159"/>
      <c r="OEN159"/>
      <c r="OEO159"/>
      <c r="OEP159"/>
      <c r="OEQ159"/>
      <c r="OER159"/>
      <c r="OES159"/>
      <c r="OET159"/>
      <c r="OEU159"/>
      <c r="OEV159"/>
      <c r="OEW159"/>
      <c r="OEX159"/>
      <c r="OEY159"/>
      <c r="OEZ159"/>
      <c r="OFA159"/>
      <c r="OFB159"/>
      <c r="OFC159"/>
      <c r="OFD159"/>
      <c r="OFE159"/>
      <c r="OFF159"/>
      <c r="OFG159"/>
      <c r="OFH159"/>
      <c r="OFI159"/>
      <c r="OFJ159"/>
      <c r="OFK159"/>
      <c r="OFL159"/>
      <c r="OFM159"/>
      <c r="OFN159"/>
      <c r="OFO159"/>
      <c r="OFP159"/>
      <c r="OFQ159"/>
      <c r="OFR159"/>
      <c r="OFS159"/>
      <c r="OFT159"/>
      <c r="OFU159"/>
      <c r="OFV159"/>
      <c r="OFW159"/>
      <c r="OFX159"/>
      <c r="OFY159"/>
      <c r="OFZ159"/>
      <c r="OGA159"/>
      <c r="OGB159"/>
      <c r="OGC159"/>
      <c r="OGD159"/>
      <c r="OGE159"/>
      <c r="OGF159"/>
      <c r="OGG159"/>
      <c r="OGH159"/>
      <c r="OGI159"/>
      <c r="OGJ159"/>
      <c r="OGK159"/>
      <c r="OGL159"/>
      <c r="OGM159"/>
      <c r="OGN159"/>
      <c r="OGO159"/>
      <c r="OGP159"/>
      <c r="OGQ159"/>
      <c r="OGR159"/>
      <c r="OGS159"/>
      <c r="OGT159"/>
      <c r="OGU159"/>
      <c r="OGV159"/>
      <c r="OGW159"/>
      <c r="OGX159"/>
      <c r="OGY159"/>
      <c r="OGZ159"/>
      <c r="OHA159"/>
      <c r="OHB159"/>
      <c r="OHC159"/>
      <c r="OHD159"/>
      <c r="OHE159"/>
      <c r="OHF159"/>
      <c r="OHG159"/>
      <c r="OHH159"/>
      <c r="OHI159"/>
      <c r="OHJ159"/>
      <c r="OHK159"/>
      <c r="OHL159"/>
      <c r="OHM159"/>
      <c r="OHN159"/>
      <c r="OHO159"/>
      <c r="OHP159"/>
      <c r="OHQ159"/>
      <c r="OHR159"/>
      <c r="OHS159"/>
      <c r="OHT159"/>
      <c r="OHU159"/>
      <c r="OHV159"/>
      <c r="OHW159"/>
      <c r="OHX159"/>
      <c r="OHY159"/>
      <c r="OHZ159"/>
      <c r="OIA159"/>
      <c r="OIB159"/>
      <c r="OIC159"/>
      <c r="OID159"/>
      <c r="OIE159"/>
      <c r="OIF159"/>
      <c r="OIG159"/>
      <c r="OIH159"/>
      <c r="OII159"/>
      <c r="OIJ159"/>
      <c r="OIK159"/>
      <c r="OIL159"/>
      <c r="OIM159"/>
      <c r="OIN159"/>
      <c r="OIO159"/>
      <c r="OIP159"/>
      <c r="OIQ159"/>
      <c r="OIR159"/>
      <c r="OIS159"/>
      <c r="OIT159"/>
      <c r="OIU159"/>
      <c r="OIV159"/>
      <c r="OIW159"/>
      <c r="OIX159"/>
      <c r="OIY159"/>
      <c r="OIZ159"/>
      <c r="OJA159"/>
      <c r="OJB159"/>
      <c r="OJC159"/>
      <c r="OJD159"/>
      <c r="OJE159"/>
      <c r="OJF159"/>
      <c r="OJG159"/>
      <c r="OJH159"/>
      <c r="OJI159"/>
      <c r="OJJ159"/>
      <c r="OJK159"/>
      <c r="OJL159"/>
      <c r="OJM159"/>
      <c r="OJN159"/>
      <c r="OJO159"/>
      <c r="OJP159"/>
      <c r="OJQ159"/>
      <c r="OJR159"/>
      <c r="OJS159"/>
      <c r="OJT159"/>
      <c r="OJU159"/>
      <c r="OJV159"/>
      <c r="OJW159"/>
      <c r="OJX159"/>
      <c r="OJY159"/>
      <c r="OJZ159"/>
      <c r="OKA159"/>
      <c r="OKB159"/>
      <c r="OKC159"/>
      <c r="OKD159"/>
      <c r="OKE159"/>
      <c r="OKF159"/>
      <c r="OKG159"/>
      <c r="OKH159"/>
      <c r="OKI159"/>
      <c r="OKJ159"/>
      <c r="OKK159"/>
      <c r="OKL159"/>
      <c r="OKM159"/>
      <c r="OKN159"/>
      <c r="OKO159"/>
      <c r="OKP159"/>
      <c r="OKQ159"/>
      <c r="OKR159"/>
      <c r="OKS159"/>
      <c r="OKT159"/>
      <c r="OKU159"/>
      <c r="OKV159"/>
      <c r="OKW159"/>
      <c r="OKX159"/>
      <c r="OKY159"/>
      <c r="OKZ159"/>
      <c r="OLA159"/>
      <c r="OLB159"/>
      <c r="OLC159"/>
      <c r="OLD159"/>
      <c r="OLE159"/>
      <c r="OLF159"/>
      <c r="OLG159"/>
      <c r="OLH159"/>
      <c r="OLI159"/>
      <c r="OLJ159"/>
      <c r="OLK159"/>
      <c r="OLL159"/>
      <c r="OLM159"/>
      <c r="OLN159"/>
      <c r="OLO159"/>
      <c r="OLP159"/>
      <c r="OLQ159"/>
      <c r="OLR159"/>
      <c r="OLS159"/>
      <c r="OLT159"/>
      <c r="OLU159"/>
      <c r="OLV159"/>
      <c r="OLW159"/>
      <c r="OLX159"/>
      <c r="OLY159"/>
      <c r="OLZ159"/>
      <c r="OMA159"/>
      <c r="OMB159"/>
      <c r="OMC159"/>
      <c r="OMD159"/>
      <c r="OME159"/>
      <c r="OMF159"/>
      <c r="OMG159"/>
      <c r="OMH159"/>
      <c r="OMI159"/>
      <c r="OMJ159"/>
      <c r="OMK159"/>
      <c r="OML159"/>
      <c r="OMM159"/>
      <c r="OMN159"/>
      <c r="OMO159"/>
      <c r="OMP159"/>
      <c r="OMQ159"/>
      <c r="OMR159"/>
      <c r="OMS159"/>
      <c r="OMT159"/>
      <c r="OMU159"/>
      <c r="OMV159"/>
      <c r="OMW159"/>
      <c r="OMX159"/>
      <c r="OMY159"/>
      <c r="OMZ159"/>
      <c r="ONA159"/>
      <c r="ONB159"/>
      <c r="ONC159"/>
      <c r="OND159"/>
      <c r="ONE159"/>
      <c r="ONF159"/>
      <c r="ONG159"/>
      <c r="ONH159"/>
      <c r="ONI159"/>
      <c r="ONJ159"/>
      <c r="ONK159"/>
      <c r="ONL159"/>
      <c r="ONM159"/>
      <c r="ONN159"/>
      <c r="ONO159"/>
      <c r="ONP159"/>
      <c r="ONQ159"/>
      <c r="ONR159"/>
      <c r="ONS159"/>
      <c r="ONT159"/>
      <c r="ONU159"/>
      <c r="ONV159"/>
      <c r="ONW159"/>
      <c r="ONX159"/>
      <c r="ONY159"/>
      <c r="ONZ159"/>
      <c r="OOA159"/>
      <c r="OOB159"/>
      <c r="OOC159"/>
      <c r="OOD159"/>
      <c r="OOE159"/>
      <c r="OOF159"/>
      <c r="OOG159"/>
      <c r="OOH159"/>
      <c r="OOI159"/>
      <c r="OOJ159"/>
      <c r="OOK159"/>
      <c r="OOL159"/>
      <c r="OOM159"/>
      <c r="OON159"/>
      <c r="OOO159"/>
      <c r="OOP159"/>
      <c r="OOQ159"/>
      <c r="OOR159"/>
      <c r="OOS159"/>
      <c r="OOT159"/>
      <c r="OOU159"/>
      <c r="OOV159"/>
      <c r="OOW159"/>
      <c r="OOX159"/>
      <c r="OOY159"/>
      <c r="OOZ159"/>
      <c r="OPA159"/>
      <c r="OPB159"/>
      <c r="OPC159"/>
      <c r="OPD159"/>
      <c r="OPE159"/>
      <c r="OPF159"/>
      <c r="OPG159"/>
      <c r="OPH159"/>
      <c r="OPI159"/>
      <c r="OPJ159"/>
      <c r="OPK159"/>
      <c r="OPL159"/>
      <c r="OPM159"/>
      <c r="OPN159"/>
      <c r="OPO159"/>
      <c r="OPP159"/>
      <c r="OPQ159"/>
      <c r="OPR159"/>
      <c r="OPS159"/>
      <c r="OPT159"/>
      <c r="OPU159"/>
      <c r="OPV159"/>
      <c r="OPW159"/>
      <c r="OPX159"/>
      <c r="OPY159"/>
      <c r="OPZ159"/>
      <c r="OQA159"/>
      <c r="OQB159"/>
      <c r="OQC159"/>
      <c r="OQD159"/>
      <c r="OQE159"/>
      <c r="OQF159"/>
      <c r="OQG159"/>
      <c r="OQH159"/>
      <c r="OQI159"/>
      <c r="OQJ159"/>
      <c r="OQK159"/>
      <c r="OQL159"/>
      <c r="OQM159"/>
      <c r="OQN159"/>
      <c r="OQO159"/>
      <c r="OQP159"/>
      <c r="OQQ159"/>
      <c r="OQR159"/>
      <c r="OQS159"/>
      <c r="OQT159"/>
      <c r="OQU159"/>
      <c r="OQV159"/>
      <c r="OQW159"/>
      <c r="OQX159"/>
      <c r="OQY159"/>
      <c r="OQZ159"/>
      <c r="ORA159"/>
      <c r="ORB159"/>
      <c r="ORC159"/>
      <c r="ORD159"/>
      <c r="ORE159"/>
      <c r="ORF159"/>
      <c r="ORG159"/>
      <c r="ORH159"/>
      <c r="ORI159"/>
      <c r="ORJ159"/>
      <c r="ORK159"/>
      <c r="ORL159"/>
      <c r="ORM159"/>
      <c r="ORN159"/>
      <c r="ORO159"/>
      <c r="ORP159"/>
      <c r="ORQ159"/>
      <c r="ORR159"/>
      <c r="ORS159"/>
      <c r="ORT159"/>
      <c r="ORU159"/>
      <c r="ORV159"/>
      <c r="ORW159"/>
      <c r="ORX159"/>
      <c r="ORY159"/>
      <c r="ORZ159"/>
      <c r="OSA159"/>
      <c r="OSB159"/>
      <c r="OSC159"/>
      <c r="OSD159"/>
      <c r="OSE159"/>
      <c r="OSF159"/>
      <c r="OSG159"/>
      <c r="OSH159"/>
      <c r="OSI159"/>
      <c r="OSJ159"/>
      <c r="OSK159"/>
      <c r="OSL159"/>
      <c r="OSM159"/>
      <c r="OSN159"/>
      <c r="OSO159"/>
      <c r="OSP159"/>
      <c r="OSQ159"/>
      <c r="OSR159"/>
      <c r="OSS159"/>
      <c r="OST159"/>
      <c r="OSU159"/>
      <c r="OSV159"/>
      <c r="OSW159"/>
      <c r="OSX159"/>
      <c r="OSY159"/>
      <c r="OSZ159"/>
      <c r="OTA159"/>
      <c r="OTB159"/>
      <c r="OTC159"/>
      <c r="OTD159"/>
      <c r="OTE159"/>
      <c r="OTF159"/>
      <c r="OTG159"/>
      <c r="OTH159"/>
      <c r="OTI159"/>
      <c r="OTJ159"/>
      <c r="OTK159"/>
      <c r="OTL159"/>
      <c r="OTM159"/>
      <c r="OTN159"/>
      <c r="OTO159"/>
      <c r="OTP159"/>
      <c r="OTQ159"/>
      <c r="OTR159"/>
      <c r="OTS159"/>
      <c r="OTT159"/>
      <c r="OTU159"/>
      <c r="OTV159"/>
      <c r="OTW159"/>
      <c r="OTX159"/>
      <c r="OTY159"/>
      <c r="OTZ159"/>
      <c r="OUA159"/>
      <c r="OUB159"/>
      <c r="OUC159"/>
      <c r="OUD159"/>
      <c r="OUE159"/>
      <c r="OUF159"/>
      <c r="OUG159"/>
      <c r="OUH159"/>
      <c r="OUI159"/>
      <c r="OUJ159"/>
      <c r="OUK159"/>
      <c r="OUL159"/>
      <c r="OUM159"/>
      <c r="OUN159"/>
      <c r="OUO159"/>
      <c r="OUP159"/>
      <c r="OUQ159"/>
      <c r="OUR159"/>
      <c r="OUS159"/>
      <c r="OUT159"/>
      <c r="OUU159"/>
      <c r="OUV159"/>
      <c r="OUW159"/>
      <c r="OUX159"/>
      <c r="OUY159"/>
      <c r="OUZ159"/>
      <c r="OVA159"/>
      <c r="OVB159"/>
      <c r="OVC159"/>
      <c r="OVD159"/>
      <c r="OVE159"/>
      <c r="OVF159"/>
      <c r="OVG159"/>
      <c r="OVH159"/>
      <c r="OVI159"/>
      <c r="OVJ159"/>
      <c r="OVK159"/>
      <c r="OVL159"/>
      <c r="OVM159"/>
      <c r="OVN159"/>
      <c r="OVO159"/>
      <c r="OVP159"/>
      <c r="OVQ159"/>
      <c r="OVR159"/>
      <c r="OVS159"/>
      <c r="OVT159"/>
      <c r="OVU159"/>
      <c r="OVV159"/>
      <c r="OVW159"/>
      <c r="OVX159"/>
      <c r="OVY159"/>
      <c r="OVZ159"/>
      <c r="OWA159"/>
      <c r="OWB159"/>
      <c r="OWC159"/>
      <c r="OWD159"/>
      <c r="OWE159"/>
      <c r="OWF159"/>
      <c r="OWG159"/>
      <c r="OWH159"/>
      <c r="OWI159"/>
      <c r="OWJ159"/>
      <c r="OWK159"/>
      <c r="OWL159"/>
      <c r="OWM159"/>
      <c r="OWN159"/>
      <c r="OWO159"/>
      <c r="OWP159"/>
      <c r="OWQ159"/>
      <c r="OWR159"/>
      <c r="OWS159"/>
      <c r="OWT159"/>
      <c r="OWU159"/>
      <c r="OWV159"/>
      <c r="OWW159"/>
      <c r="OWX159"/>
      <c r="OWY159"/>
      <c r="OWZ159"/>
      <c r="OXA159"/>
      <c r="OXB159"/>
      <c r="OXC159"/>
      <c r="OXD159"/>
      <c r="OXE159"/>
      <c r="OXF159"/>
      <c r="OXG159"/>
      <c r="OXH159"/>
      <c r="OXI159"/>
      <c r="OXJ159"/>
      <c r="OXK159"/>
      <c r="OXL159"/>
      <c r="OXM159"/>
      <c r="OXN159"/>
      <c r="OXO159"/>
      <c r="OXP159"/>
      <c r="OXQ159"/>
      <c r="OXR159"/>
      <c r="OXS159"/>
      <c r="OXT159"/>
      <c r="OXU159"/>
      <c r="OXV159"/>
      <c r="OXW159"/>
      <c r="OXX159"/>
      <c r="OXY159"/>
      <c r="OXZ159"/>
      <c r="OYA159"/>
      <c r="OYB159"/>
      <c r="OYC159"/>
      <c r="OYD159"/>
      <c r="OYE159"/>
      <c r="OYF159"/>
      <c r="OYG159"/>
      <c r="OYH159"/>
      <c r="OYI159"/>
      <c r="OYJ159"/>
      <c r="OYK159"/>
      <c r="OYL159"/>
      <c r="OYM159"/>
      <c r="OYN159"/>
      <c r="OYO159"/>
      <c r="OYP159"/>
      <c r="OYQ159"/>
      <c r="OYR159"/>
      <c r="OYS159"/>
      <c r="OYT159"/>
      <c r="OYU159"/>
      <c r="OYV159"/>
      <c r="OYW159"/>
      <c r="OYX159"/>
      <c r="OYY159"/>
      <c r="OYZ159"/>
      <c r="OZA159"/>
      <c r="OZB159"/>
      <c r="OZC159"/>
      <c r="OZD159"/>
      <c r="OZE159"/>
      <c r="OZF159"/>
      <c r="OZG159"/>
      <c r="OZH159"/>
      <c r="OZI159"/>
      <c r="OZJ159"/>
      <c r="OZK159"/>
      <c r="OZL159"/>
      <c r="OZM159"/>
      <c r="OZN159"/>
      <c r="OZO159"/>
      <c r="OZP159"/>
      <c r="OZQ159"/>
      <c r="OZR159"/>
      <c r="OZS159"/>
      <c r="OZT159"/>
      <c r="OZU159"/>
      <c r="OZV159"/>
      <c r="OZW159"/>
      <c r="OZX159"/>
      <c r="OZY159"/>
      <c r="OZZ159"/>
      <c r="PAA159"/>
      <c r="PAB159"/>
      <c r="PAC159"/>
      <c r="PAD159"/>
      <c r="PAE159"/>
      <c r="PAF159"/>
      <c r="PAG159"/>
      <c r="PAH159"/>
      <c r="PAI159"/>
      <c r="PAJ159"/>
      <c r="PAK159"/>
      <c r="PAL159"/>
      <c r="PAM159"/>
      <c r="PAN159"/>
      <c r="PAO159"/>
      <c r="PAP159"/>
      <c r="PAQ159"/>
      <c r="PAR159"/>
      <c r="PAS159"/>
      <c r="PAT159"/>
      <c r="PAU159"/>
      <c r="PAV159"/>
      <c r="PAW159"/>
      <c r="PAX159"/>
      <c r="PAY159"/>
      <c r="PAZ159"/>
      <c r="PBA159"/>
      <c r="PBB159"/>
      <c r="PBC159"/>
      <c r="PBD159"/>
      <c r="PBE159"/>
      <c r="PBF159"/>
      <c r="PBG159"/>
      <c r="PBH159"/>
      <c r="PBI159"/>
      <c r="PBJ159"/>
      <c r="PBK159"/>
      <c r="PBL159"/>
      <c r="PBM159"/>
      <c r="PBN159"/>
      <c r="PBO159"/>
      <c r="PBP159"/>
      <c r="PBQ159"/>
      <c r="PBR159"/>
      <c r="PBS159"/>
      <c r="PBT159"/>
      <c r="PBU159"/>
      <c r="PBV159"/>
      <c r="PBW159"/>
      <c r="PBX159"/>
      <c r="PBY159"/>
      <c r="PBZ159"/>
      <c r="PCA159"/>
      <c r="PCB159"/>
      <c r="PCC159"/>
      <c r="PCD159"/>
      <c r="PCE159"/>
      <c r="PCF159"/>
      <c r="PCG159"/>
      <c r="PCH159"/>
      <c r="PCI159"/>
      <c r="PCJ159"/>
      <c r="PCK159"/>
      <c r="PCL159"/>
      <c r="PCM159"/>
      <c r="PCN159"/>
      <c r="PCO159"/>
      <c r="PCP159"/>
      <c r="PCQ159"/>
      <c r="PCR159"/>
      <c r="PCS159"/>
      <c r="PCT159"/>
      <c r="PCU159"/>
      <c r="PCV159"/>
      <c r="PCW159"/>
      <c r="PCX159"/>
      <c r="PCY159"/>
      <c r="PCZ159"/>
      <c r="PDA159"/>
      <c r="PDB159"/>
      <c r="PDC159"/>
      <c r="PDD159"/>
      <c r="PDE159"/>
      <c r="PDF159"/>
      <c r="PDG159"/>
      <c r="PDH159"/>
      <c r="PDI159"/>
      <c r="PDJ159"/>
      <c r="PDK159"/>
      <c r="PDL159"/>
      <c r="PDM159"/>
      <c r="PDN159"/>
      <c r="PDO159"/>
      <c r="PDP159"/>
      <c r="PDQ159"/>
      <c r="PDR159"/>
      <c r="PDS159"/>
      <c r="PDT159"/>
      <c r="PDU159"/>
      <c r="PDV159"/>
      <c r="PDW159"/>
      <c r="PDX159"/>
      <c r="PDY159"/>
      <c r="PDZ159"/>
      <c r="PEA159"/>
      <c r="PEB159"/>
      <c r="PEC159"/>
      <c r="PED159"/>
      <c r="PEE159"/>
      <c r="PEF159"/>
      <c r="PEG159"/>
      <c r="PEH159"/>
      <c r="PEI159"/>
      <c r="PEJ159"/>
      <c r="PEK159"/>
      <c r="PEL159"/>
      <c r="PEM159"/>
      <c r="PEN159"/>
      <c r="PEO159"/>
      <c r="PEP159"/>
      <c r="PEQ159"/>
      <c r="PER159"/>
      <c r="PES159"/>
      <c r="PET159"/>
      <c r="PEU159"/>
      <c r="PEV159"/>
      <c r="PEW159"/>
      <c r="PEX159"/>
      <c r="PEY159"/>
      <c r="PEZ159"/>
      <c r="PFA159"/>
      <c r="PFB159"/>
      <c r="PFC159"/>
      <c r="PFD159"/>
      <c r="PFE159"/>
      <c r="PFF159"/>
      <c r="PFG159"/>
      <c r="PFH159"/>
      <c r="PFI159"/>
      <c r="PFJ159"/>
      <c r="PFK159"/>
      <c r="PFL159"/>
      <c r="PFM159"/>
      <c r="PFN159"/>
      <c r="PFO159"/>
      <c r="PFP159"/>
      <c r="PFQ159"/>
      <c r="PFR159"/>
      <c r="PFS159"/>
      <c r="PFT159"/>
      <c r="PFU159"/>
      <c r="PFV159"/>
      <c r="PFW159"/>
      <c r="PFX159"/>
      <c r="PFY159"/>
      <c r="PFZ159"/>
      <c r="PGA159"/>
      <c r="PGB159"/>
      <c r="PGC159"/>
      <c r="PGD159"/>
      <c r="PGE159"/>
      <c r="PGF159"/>
      <c r="PGG159"/>
      <c r="PGH159"/>
      <c r="PGI159"/>
      <c r="PGJ159"/>
      <c r="PGK159"/>
      <c r="PGL159"/>
      <c r="PGM159"/>
      <c r="PGN159"/>
      <c r="PGO159"/>
      <c r="PGP159"/>
      <c r="PGQ159"/>
      <c r="PGR159"/>
      <c r="PGS159"/>
      <c r="PGT159"/>
      <c r="PGU159"/>
      <c r="PGV159"/>
      <c r="PGW159"/>
      <c r="PGX159"/>
      <c r="PGY159"/>
      <c r="PGZ159"/>
      <c r="PHA159"/>
      <c r="PHB159"/>
      <c r="PHC159"/>
      <c r="PHD159"/>
      <c r="PHE159"/>
      <c r="PHF159"/>
      <c r="PHG159"/>
      <c r="PHH159"/>
      <c r="PHI159"/>
      <c r="PHJ159"/>
      <c r="PHK159"/>
      <c r="PHL159"/>
      <c r="PHM159"/>
      <c r="PHN159"/>
      <c r="PHO159"/>
      <c r="PHP159"/>
      <c r="PHQ159"/>
      <c r="PHR159"/>
      <c r="PHS159"/>
      <c r="PHT159"/>
      <c r="PHU159"/>
      <c r="PHV159"/>
      <c r="PHW159"/>
      <c r="PHX159"/>
      <c r="PHY159"/>
      <c r="PHZ159"/>
      <c r="PIA159"/>
      <c r="PIB159"/>
      <c r="PIC159"/>
      <c r="PID159"/>
      <c r="PIE159"/>
      <c r="PIF159"/>
      <c r="PIG159"/>
      <c r="PIH159"/>
      <c r="PII159"/>
      <c r="PIJ159"/>
      <c r="PIK159"/>
      <c r="PIL159"/>
      <c r="PIM159"/>
      <c r="PIN159"/>
      <c r="PIO159"/>
      <c r="PIP159"/>
      <c r="PIQ159"/>
      <c r="PIR159"/>
      <c r="PIS159"/>
      <c r="PIT159"/>
      <c r="PIU159"/>
      <c r="PIV159"/>
      <c r="PIW159"/>
      <c r="PIX159"/>
      <c r="PIY159"/>
      <c r="PIZ159"/>
      <c r="PJA159"/>
      <c r="PJB159"/>
      <c r="PJC159"/>
      <c r="PJD159"/>
      <c r="PJE159"/>
      <c r="PJF159"/>
      <c r="PJG159"/>
      <c r="PJH159"/>
      <c r="PJI159"/>
      <c r="PJJ159"/>
      <c r="PJK159"/>
      <c r="PJL159"/>
      <c r="PJM159"/>
      <c r="PJN159"/>
      <c r="PJO159"/>
      <c r="PJP159"/>
      <c r="PJQ159"/>
      <c r="PJR159"/>
      <c r="PJS159"/>
      <c r="PJT159"/>
      <c r="PJU159"/>
      <c r="PJV159"/>
      <c r="PJW159"/>
      <c r="PJX159"/>
      <c r="PJY159"/>
      <c r="PJZ159"/>
      <c r="PKA159"/>
      <c r="PKB159"/>
      <c r="PKC159"/>
      <c r="PKD159"/>
      <c r="PKE159"/>
      <c r="PKF159"/>
      <c r="PKG159"/>
      <c r="PKH159"/>
      <c r="PKI159"/>
      <c r="PKJ159"/>
      <c r="PKK159"/>
      <c r="PKL159"/>
      <c r="PKM159"/>
      <c r="PKN159"/>
      <c r="PKO159"/>
      <c r="PKP159"/>
      <c r="PKQ159"/>
      <c r="PKR159"/>
      <c r="PKS159"/>
      <c r="PKT159"/>
      <c r="PKU159"/>
      <c r="PKV159"/>
      <c r="PKW159"/>
      <c r="PKX159"/>
      <c r="PKY159"/>
      <c r="PKZ159"/>
      <c r="PLA159"/>
      <c r="PLB159"/>
      <c r="PLC159"/>
      <c r="PLD159"/>
      <c r="PLE159"/>
      <c r="PLF159"/>
      <c r="PLG159"/>
      <c r="PLH159"/>
      <c r="PLI159"/>
      <c r="PLJ159"/>
      <c r="PLK159"/>
      <c r="PLL159"/>
      <c r="PLM159"/>
      <c r="PLN159"/>
      <c r="PLO159"/>
      <c r="PLP159"/>
      <c r="PLQ159"/>
      <c r="PLR159"/>
      <c r="PLS159"/>
      <c r="PLT159"/>
      <c r="PLU159"/>
      <c r="PLV159"/>
      <c r="PLW159"/>
      <c r="PLX159"/>
      <c r="PLY159"/>
      <c r="PLZ159"/>
      <c r="PMA159"/>
      <c r="PMB159"/>
      <c r="PMC159"/>
      <c r="PMD159"/>
      <c r="PME159"/>
      <c r="PMF159"/>
      <c r="PMG159"/>
      <c r="PMH159"/>
      <c r="PMI159"/>
      <c r="PMJ159"/>
      <c r="PMK159"/>
      <c r="PML159"/>
      <c r="PMM159"/>
      <c r="PMN159"/>
      <c r="PMO159"/>
      <c r="PMP159"/>
      <c r="PMQ159"/>
      <c r="PMR159"/>
      <c r="PMS159"/>
      <c r="PMT159"/>
      <c r="PMU159"/>
      <c r="PMV159"/>
      <c r="PMW159"/>
      <c r="PMX159"/>
      <c r="PMY159"/>
      <c r="PMZ159"/>
      <c r="PNA159"/>
      <c r="PNB159"/>
      <c r="PNC159"/>
      <c r="PND159"/>
      <c r="PNE159"/>
      <c r="PNF159"/>
      <c r="PNG159"/>
      <c r="PNH159"/>
      <c r="PNI159"/>
      <c r="PNJ159"/>
      <c r="PNK159"/>
      <c r="PNL159"/>
      <c r="PNM159"/>
      <c r="PNN159"/>
      <c r="PNO159"/>
      <c r="PNP159"/>
      <c r="PNQ159"/>
      <c r="PNR159"/>
      <c r="PNS159"/>
      <c r="PNT159"/>
      <c r="PNU159"/>
      <c r="PNV159"/>
      <c r="PNW159"/>
      <c r="PNX159"/>
      <c r="PNY159"/>
      <c r="PNZ159"/>
      <c r="POA159"/>
      <c r="POB159"/>
      <c r="POC159"/>
      <c r="POD159"/>
      <c r="POE159"/>
      <c r="POF159"/>
      <c r="POG159"/>
      <c r="POH159"/>
      <c r="POI159"/>
      <c r="POJ159"/>
      <c r="POK159"/>
      <c r="POL159"/>
      <c r="POM159"/>
      <c r="PON159"/>
      <c r="POO159"/>
      <c r="POP159"/>
      <c r="POQ159"/>
      <c r="POR159"/>
      <c r="POS159"/>
      <c r="POT159"/>
      <c r="POU159"/>
      <c r="POV159"/>
      <c r="POW159"/>
      <c r="POX159"/>
      <c r="POY159"/>
      <c r="POZ159"/>
      <c r="PPA159"/>
      <c r="PPB159"/>
      <c r="PPC159"/>
      <c r="PPD159"/>
      <c r="PPE159"/>
      <c r="PPF159"/>
      <c r="PPG159"/>
      <c r="PPH159"/>
      <c r="PPI159"/>
      <c r="PPJ159"/>
      <c r="PPK159"/>
      <c r="PPL159"/>
      <c r="PPM159"/>
      <c r="PPN159"/>
      <c r="PPO159"/>
      <c r="PPP159"/>
      <c r="PPQ159"/>
      <c r="PPR159"/>
      <c r="PPS159"/>
      <c r="PPT159"/>
      <c r="PPU159"/>
      <c r="PPV159"/>
      <c r="PPW159"/>
      <c r="PPX159"/>
      <c r="PPY159"/>
      <c r="PPZ159"/>
      <c r="PQA159"/>
      <c r="PQB159"/>
      <c r="PQC159"/>
      <c r="PQD159"/>
      <c r="PQE159"/>
      <c r="PQF159"/>
      <c r="PQG159"/>
      <c r="PQH159"/>
      <c r="PQI159"/>
      <c r="PQJ159"/>
      <c r="PQK159"/>
      <c r="PQL159"/>
      <c r="PQM159"/>
      <c r="PQN159"/>
      <c r="PQO159"/>
      <c r="PQP159"/>
      <c r="PQQ159"/>
      <c r="PQR159"/>
      <c r="PQS159"/>
      <c r="PQT159"/>
      <c r="PQU159"/>
      <c r="PQV159"/>
      <c r="PQW159"/>
      <c r="PQX159"/>
      <c r="PQY159"/>
      <c r="PQZ159"/>
      <c r="PRA159"/>
      <c r="PRB159"/>
      <c r="PRC159"/>
      <c r="PRD159"/>
      <c r="PRE159"/>
      <c r="PRF159"/>
      <c r="PRG159"/>
      <c r="PRH159"/>
      <c r="PRI159"/>
      <c r="PRJ159"/>
      <c r="PRK159"/>
      <c r="PRL159"/>
      <c r="PRM159"/>
      <c r="PRN159"/>
      <c r="PRO159"/>
      <c r="PRP159"/>
      <c r="PRQ159"/>
      <c r="PRR159"/>
      <c r="PRS159"/>
      <c r="PRT159"/>
      <c r="PRU159"/>
      <c r="PRV159"/>
      <c r="PRW159"/>
      <c r="PRX159"/>
      <c r="PRY159"/>
      <c r="PRZ159"/>
      <c r="PSA159"/>
      <c r="PSB159"/>
      <c r="PSC159"/>
      <c r="PSD159"/>
      <c r="PSE159"/>
      <c r="PSF159"/>
      <c r="PSG159"/>
      <c r="PSH159"/>
      <c r="PSI159"/>
      <c r="PSJ159"/>
      <c r="PSK159"/>
      <c r="PSL159"/>
      <c r="PSM159"/>
      <c r="PSN159"/>
      <c r="PSO159"/>
      <c r="PSP159"/>
      <c r="PSQ159"/>
      <c r="PSR159"/>
      <c r="PSS159"/>
      <c r="PST159"/>
      <c r="PSU159"/>
      <c r="PSV159"/>
      <c r="PSW159"/>
      <c r="PSX159"/>
      <c r="PSY159"/>
      <c r="PSZ159"/>
      <c r="PTA159"/>
      <c r="PTB159"/>
      <c r="PTC159"/>
      <c r="PTD159"/>
      <c r="PTE159"/>
      <c r="PTF159"/>
      <c r="PTG159"/>
      <c r="PTH159"/>
      <c r="PTI159"/>
      <c r="PTJ159"/>
      <c r="PTK159"/>
      <c r="PTL159"/>
      <c r="PTM159"/>
      <c r="PTN159"/>
      <c r="PTO159"/>
      <c r="PTP159"/>
      <c r="PTQ159"/>
      <c r="PTR159"/>
      <c r="PTS159"/>
      <c r="PTT159"/>
      <c r="PTU159"/>
      <c r="PTV159"/>
      <c r="PTW159"/>
      <c r="PTX159"/>
      <c r="PTY159"/>
      <c r="PTZ159"/>
      <c r="PUA159"/>
      <c r="PUB159"/>
      <c r="PUC159"/>
      <c r="PUD159"/>
      <c r="PUE159"/>
      <c r="PUF159"/>
      <c r="PUG159"/>
      <c r="PUH159"/>
      <c r="PUI159"/>
      <c r="PUJ159"/>
      <c r="PUK159"/>
      <c r="PUL159"/>
      <c r="PUM159"/>
      <c r="PUN159"/>
      <c r="PUO159"/>
      <c r="PUP159"/>
      <c r="PUQ159"/>
      <c r="PUR159"/>
      <c r="PUS159"/>
      <c r="PUT159"/>
      <c r="PUU159"/>
      <c r="PUV159"/>
      <c r="PUW159"/>
      <c r="PUX159"/>
      <c r="PUY159"/>
      <c r="PUZ159"/>
      <c r="PVA159"/>
      <c r="PVB159"/>
      <c r="PVC159"/>
      <c r="PVD159"/>
      <c r="PVE159"/>
      <c r="PVF159"/>
      <c r="PVG159"/>
      <c r="PVH159"/>
      <c r="PVI159"/>
      <c r="PVJ159"/>
      <c r="PVK159"/>
      <c r="PVL159"/>
      <c r="PVM159"/>
      <c r="PVN159"/>
      <c r="PVO159"/>
      <c r="PVP159"/>
      <c r="PVQ159"/>
      <c r="PVR159"/>
      <c r="PVS159"/>
      <c r="PVT159"/>
      <c r="PVU159"/>
      <c r="PVV159"/>
      <c r="PVW159"/>
      <c r="PVX159"/>
      <c r="PVY159"/>
      <c r="PVZ159"/>
      <c r="PWA159"/>
      <c r="PWB159"/>
      <c r="PWC159"/>
      <c r="PWD159"/>
      <c r="PWE159"/>
      <c r="PWF159"/>
      <c r="PWG159"/>
      <c r="PWH159"/>
      <c r="PWI159"/>
      <c r="PWJ159"/>
      <c r="PWK159"/>
      <c r="PWL159"/>
      <c r="PWM159"/>
      <c r="PWN159"/>
      <c r="PWO159"/>
      <c r="PWP159"/>
      <c r="PWQ159"/>
      <c r="PWR159"/>
      <c r="PWS159"/>
      <c r="PWT159"/>
      <c r="PWU159"/>
      <c r="PWV159"/>
      <c r="PWW159"/>
      <c r="PWX159"/>
      <c r="PWY159"/>
      <c r="PWZ159"/>
      <c r="PXA159"/>
      <c r="PXB159"/>
      <c r="PXC159"/>
      <c r="PXD159"/>
      <c r="PXE159"/>
      <c r="PXF159"/>
      <c r="PXG159"/>
      <c r="PXH159"/>
      <c r="PXI159"/>
      <c r="PXJ159"/>
      <c r="PXK159"/>
      <c r="PXL159"/>
      <c r="PXM159"/>
      <c r="PXN159"/>
      <c r="PXO159"/>
      <c r="PXP159"/>
      <c r="PXQ159"/>
      <c r="PXR159"/>
      <c r="PXS159"/>
      <c r="PXT159"/>
      <c r="PXU159"/>
      <c r="PXV159"/>
      <c r="PXW159"/>
      <c r="PXX159"/>
      <c r="PXY159"/>
      <c r="PXZ159"/>
      <c r="PYA159"/>
      <c r="PYB159"/>
      <c r="PYC159"/>
      <c r="PYD159"/>
      <c r="PYE159"/>
      <c r="PYF159"/>
      <c r="PYG159"/>
      <c r="PYH159"/>
      <c r="PYI159"/>
      <c r="PYJ159"/>
      <c r="PYK159"/>
      <c r="PYL159"/>
      <c r="PYM159"/>
      <c r="PYN159"/>
      <c r="PYO159"/>
      <c r="PYP159"/>
      <c r="PYQ159"/>
      <c r="PYR159"/>
      <c r="PYS159"/>
      <c r="PYT159"/>
      <c r="PYU159"/>
      <c r="PYV159"/>
      <c r="PYW159"/>
      <c r="PYX159"/>
      <c r="PYY159"/>
      <c r="PYZ159"/>
      <c r="PZA159"/>
      <c r="PZB159"/>
      <c r="PZC159"/>
      <c r="PZD159"/>
      <c r="PZE159"/>
      <c r="PZF159"/>
      <c r="PZG159"/>
      <c r="PZH159"/>
      <c r="PZI159"/>
      <c r="PZJ159"/>
      <c r="PZK159"/>
      <c r="PZL159"/>
      <c r="PZM159"/>
      <c r="PZN159"/>
      <c r="PZO159"/>
      <c r="PZP159"/>
      <c r="PZQ159"/>
      <c r="PZR159"/>
      <c r="PZS159"/>
      <c r="PZT159"/>
      <c r="PZU159"/>
      <c r="PZV159"/>
      <c r="PZW159"/>
      <c r="PZX159"/>
      <c r="PZY159"/>
      <c r="PZZ159"/>
      <c r="QAA159"/>
      <c r="QAB159"/>
      <c r="QAC159"/>
      <c r="QAD159"/>
      <c r="QAE159"/>
      <c r="QAF159"/>
      <c r="QAG159"/>
      <c r="QAH159"/>
      <c r="QAI159"/>
      <c r="QAJ159"/>
      <c r="QAK159"/>
      <c r="QAL159"/>
      <c r="QAM159"/>
      <c r="QAN159"/>
      <c r="QAO159"/>
      <c r="QAP159"/>
      <c r="QAQ159"/>
      <c r="QAR159"/>
      <c r="QAS159"/>
      <c r="QAT159"/>
      <c r="QAU159"/>
      <c r="QAV159"/>
      <c r="QAW159"/>
      <c r="QAX159"/>
      <c r="QAY159"/>
      <c r="QAZ159"/>
      <c r="QBA159"/>
      <c r="QBB159"/>
      <c r="QBC159"/>
      <c r="QBD159"/>
      <c r="QBE159"/>
      <c r="QBF159"/>
      <c r="QBG159"/>
      <c r="QBH159"/>
      <c r="QBI159"/>
      <c r="QBJ159"/>
      <c r="QBK159"/>
      <c r="QBL159"/>
      <c r="QBM159"/>
      <c r="QBN159"/>
      <c r="QBO159"/>
      <c r="QBP159"/>
      <c r="QBQ159"/>
      <c r="QBR159"/>
      <c r="QBS159"/>
      <c r="QBT159"/>
      <c r="QBU159"/>
      <c r="QBV159"/>
      <c r="QBW159"/>
      <c r="QBX159"/>
      <c r="QBY159"/>
      <c r="QBZ159"/>
      <c r="QCA159"/>
      <c r="QCB159"/>
      <c r="QCC159"/>
      <c r="QCD159"/>
      <c r="QCE159"/>
      <c r="QCF159"/>
      <c r="QCG159"/>
      <c r="QCH159"/>
      <c r="QCI159"/>
      <c r="QCJ159"/>
      <c r="QCK159"/>
      <c r="QCL159"/>
      <c r="QCM159"/>
      <c r="QCN159"/>
      <c r="QCO159"/>
      <c r="QCP159"/>
      <c r="QCQ159"/>
      <c r="QCR159"/>
      <c r="QCS159"/>
      <c r="QCT159"/>
      <c r="QCU159"/>
      <c r="QCV159"/>
      <c r="QCW159"/>
      <c r="QCX159"/>
      <c r="QCY159"/>
      <c r="QCZ159"/>
      <c r="QDA159"/>
      <c r="QDB159"/>
      <c r="QDC159"/>
      <c r="QDD159"/>
      <c r="QDE159"/>
      <c r="QDF159"/>
      <c r="QDG159"/>
      <c r="QDH159"/>
      <c r="QDI159"/>
      <c r="QDJ159"/>
      <c r="QDK159"/>
      <c r="QDL159"/>
      <c r="QDM159"/>
      <c r="QDN159"/>
      <c r="QDO159"/>
      <c r="QDP159"/>
      <c r="QDQ159"/>
      <c r="QDR159"/>
      <c r="QDS159"/>
      <c r="QDT159"/>
      <c r="QDU159"/>
      <c r="QDV159"/>
      <c r="QDW159"/>
      <c r="QDX159"/>
      <c r="QDY159"/>
      <c r="QDZ159"/>
      <c r="QEA159"/>
      <c r="QEB159"/>
      <c r="QEC159"/>
      <c r="QED159"/>
      <c r="QEE159"/>
      <c r="QEF159"/>
      <c r="QEG159"/>
      <c r="QEH159"/>
      <c r="QEI159"/>
      <c r="QEJ159"/>
      <c r="QEK159"/>
      <c r="QEL159"/>
      <c r="QEM159"/>
      <c r="QEN159"/>
      <c r="QEO159"/>
      <c r="QEP159"/>
      <c r="QEQ159"/>
      <c r="QER159"/>
      <c r="QES159"/>
      <c r="QET159"/>
      <c r="QEU159"/>
      <c r="QEV159"/>
      <c r="QEW159"/>
      <c r="QEX159"/>
      <c r="QEY159"/>
      <c r="QEZ159"/>
      <c r="QFA159"/>
      <c r="QFB159"/>
      <c r="QFC159"/>
      <c r="QFD159"/>
      <c r="QFE159"/>
      <c r="QFF159"/>
      <c r="QFG159"/>
      <c r="QFH159"/>
      <c r="QFI159"/>
      <c r="QFJ159"/>
      <c r="QFK159"/>
      <c r="QFL159"/>
      <c r="QFM159"/>
      <c r="QFN159"/>
      <c r="QFO159"/>
      <c r="QFP159"/>
      <c r="QFQ159"/>
      <c r="QFR159"/>
      <c r="QFS159"/>
      <c r="QFT159"/>
      <c r="QFU159"/>
      <c r="QFV159"/>
      <c r="QFW159"/>
      <c r="QFX159"/>
      <c r="QFY159"/>
      <c r="QFZ159"/>
      <c r="QGA159"/>
      <c r="QGB159"/>
      <c r="QGC159"/>
      <c r="QGD159"/>
      <c r="QGE159"/>
      <c r="QGF159"/>
      <c r="QGG159"/>
      <c r="QGH159"/>
      <c r="QGI159"/>
      <c r="QGJ159"/>
      <c r="QGK159"/>
      <c r="QGL159"/>
      <c r="QGM159"/>
      <c r="QGN159"/>
      <c r="QGO159"/>
      <c r="QGP159"/>
      <c r="QGQ159"/>
      <c r="QGR159"/>
      <c r="QGS159"/>
      <c r="QGT159"/>
      <c r="QGU159"/>
      <c r="QGV159"/>
      <c r="QGW159"/>
      <c r="QGX159"/>
      <c r="QGY159"/>
      <c r="QGZ159"/>
      <c r="QHA159"/>
      <c r="QHB159"/>
      <c r="QHC159"/>
      <c r="QHD159"/>
      <c r="QHE159"/>
      <c r="QHF159"/>
      <c r="QHG159"/>
      <c r="QHH159"/>
      <c r="QHI159"/>
      <c r="QHJ159"/>
      <c r="QHK159"/>
      <c r="QHL159"/>
      <c r="QHM159"/>
      <c r="QHN159"/>
      <c r="QHO159"/>
      <c r="QHP159"/>
      <c r="QHQ159"/>
      <c r="QHR159"/>
      <c r="QHS159"/>
      <c r="QHT159"/>
      <c r="QHU159"/>
      <c r="QHV159"/>
      <c r="QHW159"/>
      <c r="QHX159"/>
      <c r="QHY159"/>
      <c r="QHZ159"/>
      <c r="QIA159"/>
      <c r="QIB159"/>
      <c r="QIC159"/>
      <c r="QID159"/>
      <c r="QIE159"/>
      <c r="QIF159"/>
      <c r="QIG159"/>
      <c r="QIH159"/>
      <c r="QII159"/>
      <c r="QIJ159"/>
      <c r="QIK159"/>
      <c r="QIL159"/>
      <c r="QIM159"/>
      <c r="QIN159"/>
      <c r="QIO159"/>
      <c r="QIP159"/>
      <c r="QIQ159"/>
      <c r="QIR159"/>
      <c r="QIS159"/>
      <c r="QIT159"/>
      <c r="QIU159"/>
      <c r="QIV159"/>
      <c r="QIW159"/>
      <c r="QIX159"/>
      <c r="QIY159"/>
      <c r="QIZ159"/>
      <c r="QJA159"/>
      <c r="QJB159"/>
      <c r="QJC159"/>
      <c r="QJD159"/>
      <c r="QJE159"/>
      <c r="QJF159"/>
      <c r="QJG159"/>
      <c r="QJH159"/>
      <c r="QJI159"/>
      <c r="QJJ159"/>
      <c r="QJK159"/>
      <c r="QJL159"/>
      <c r="QJM159"/>
      <c r="QJN159"/>
      <c r="QJO159"/>
      <c r="QJP159"/>
      <c r="QJQ159"/>
      <c r="QJR159"/>
      <c r="QJS159"/>
      <c r="QJT159"/>
      <c r="QJU159"/>
      <c r="QJV159"/>
      <c r="QJW159"/>
      <c r="QJX159"/>
      <c r="QJY159"/>
      <c r="QJZ159"/>
      <c r="QKA159"/>
      <c r="QKB159"/>
      <c r="QKC159"/>
      <c r="QKD159"/>
      <c r="QKE159"/>
      <c r="QKF159"/>
      <c r="QKG159"/>
      <c r="QKH159"/>
      <c r="QKI159"/>
      <c r="QKJ159"/>
      <c r="QKK159"/>
      <c r="QKL159"/>
      <c r="QKM159"/>
      <c r="QKN159"/>
      <c r="QKO159"/>
      <c r="QKP159"/>
      <c r="QKQ159"/>
      <c r="QKR159"/>
      <c r="QKS159"/>
      <c r="QKT159"/>
      <c r="QKU159"/>
      <c r="QKV159"/>
      <c r="QKW159"/>
      <c r="QKX159"/>
      <c r="QKY159"/>
      <c r="QKZ159"/>
      <c r="QLA159"/>
      <c r="QLB159"/>
      <c r="QLC159"/>
      <c r="QLD159"/>
      <c r="QLE159"/>
      <c r="QLF159"/>
      <c r="QLG159"/>
      <c r="QLH159"/>
      <c r="QLI159"/>
      <c r="QLJ159"/>
      <c r="QLK159"/>
      <c r="QLL159"/>
      <c r="QLM159"/>
      <c r="QLN159"/>
      <c r="QLO159"/>
      <c r="QLP159"/>
      <c r="QLQ159"/>
      <c r="QLR159"/>
      <c r="QLS159"/>
      <c r="QLT159"/>
      <c r="QLU159"/>
      <c r="QLV159"/>
      <c r="QLW159"/>
      <c r="QLX159"/>
      <c r="QLY159"/>
      <c r="QLZ159"/>
      <c r="QMA159"/>
      <c r="QMB159"/>
      <c r="QMC159"/>
      <c r="QMD159"/>
      <c r="QME159"/>
      <c r="QMF159"/>
      <c r="QMG159"/>
      <c r="QMH159"/>
      <c r="QMI159"/>
      <c r="QMJ159"/>
      <c r="QMK159"/>
      <c r="QML159"/>
      <c r="QMM159"/>
      <c r="QMN159"/>
      <c r="QMO159"/>
      <c r="QMP159"/>
      <c r="QMQ159"/>
      <c r="QMR159"/>
      <c r="QMS159"/>
      <c r="QMT159"/>
      <c r="QMU159"/>
      <c r="QMV159"/>
      <c r="QMW159"/>
      <c r="QMX159"/>
      <c r="QMY159"/>
      <c r="QMZ159"/>
      <c r="QNA159"/>
      <c r="QNB159"/>
      <c r="QNC159"/>
      <c r="QND159"/>
      <c r="QNE159"/>
      <c r="QNF159"/>
      <c r="QNG159"/>
      <c r="QNH159"/>
      <c r="QNI159"/>
      <c r="QNJ159"/>
      <c r="QNK159"/>
      <c r="QNL159"/>
      <c r="QNM159"/>
      <c r="QNN159"/>
      <c r="QNO159"/>
      <c r="QNP159"/>
      <c r="QNQ159"/>
      <c r="QNR159"/>
      <c r="QNS159"/>
      <c r="QNT159"/>
      <c r="QNU159"/>
      <c r="QNV159"/>
      <c r="QNW159"/>
      <c r="QNX159"/>
      <c r="QNY159"/>
      <c r="QNZ159"/>
      <c r="QOA159"/>
      <c r="QOB159"/>
      <c r="QOC159"/>
      <c r="QOD159"/>
      <c r="QOE159"/>
      <c r="QOF159"/>
      <c r="QOG159"/>
      <c r="QOH159"/>
      <c r="QOI159"/>
      <c r="QOJ159"/>
      <c r="QOK159"/>
      <c r="QOL159"/>
      <c r="QOM159"/>
      <c r="QON159"/>
      <c r="QOO159"/>
      <c r="QOP159"/>
      <c r="QOQ159"/>
      <c r="QOR159"/>
      <c r="QOS159"/>
      <c r="QOT159"/>
      <c r="QOU159"/>
      <c r="QOV159"/>
      <c r="QOW159"/>
      <c r="QOX159"/>
      <c r="QOY159"/>
      <c r="QOZ159"/>
      <c r="QPA159"/>
      <c r="QPB159"/>
      <c r="QPC159"/>
      <c r="QPD159"/>
      <c r="QPE159"/>
      <c r="QPF159"/>
      <c r="QPG159"/>
      <c r="QPH159"/>
      <c r="QPI159"/>
      <c r="QPJ159"/>
      <c r="QPK159"/>
      <c r="QPL159"/>
      <c r="QPM159"/>
      <c r="QPN159"/>
      <c r="QPO159"/>
      <c r="QPP159"/>
      <c r="QPQ159"/>
      <c r="QPR159"/>
      <c r="QPS159"/>
      <c r="QPT159"/>
      <c r="QPU159"/>
      <c r="QPV159"/>
      <c r="QPW159"/>
      <c r="QPX159"/>
      <c r="QPY159"/>
      <c r="QPZ159"/>
      <c r="QQA159"/>
      <c r="QQB159"/>
      <c r="QQC159"/>
      <c r="QQD159"/>
      <c r="QQE159"/>
      <c r="QQF159"/>
      <c r="QQG159"/>
      <c r="QQH159"/>
      <c r="QQI159"/>
      <c r="QQJ159"/>
      <c r="QQK159"/>
      <c r="QQL159"/>
      <c r="QQM159"/>
      <c r="QQN159"/>
      <c r="QQO159"/>
      <c r="QQP159"/>
      <c r="QQQ159"/>
      <c r="QQR159"/>
      <c r="QQS159"/>
      <c r="QQT159"/>
      <c r="QQU159"/>
      <c r="QQV159"/>
      <c r="QQW159"/>
      <c r="QQX159"/>
      <c r="QQY159"/>
      <c r="QQZ159"/>
      <c r="QRA159"/>
      <c r="QRB159"/>
      <c r="QRC159"/>
      <c r="QRD159"/>
      <c r="QRE159"/>
      <c r="QRF159"/>
      <c r="QRG159"/>
      <c r="QRH159"/>
      <c r="QRI159"/>
      <c r="QRJ159"/>
      <c r="QRK159"/>
      <c r="QRL159"/>
      <c r="QRM159"/>
      <c r="QRN159"/>
      <c r="QRO159"/>
      <c r="QRP159"/>
      <c r="QRQ159"/>
      <c r="QRR159"/>
      <c r="QRS159"/>
      <c r="QRT159"/>
      <c r="QRU159"/>
      <c r="QRV159"/>
      <c r="QRW159"/>
      <c r="QRX159"/>
      <c r="QRY159"/>
      <c r="QRZ159"/>
      <c r="QSA159"/>
      <c r="QSB159"/>
      <c r="QSC159"/>
      <c r="QSD159"/>
      <c r="QSE159"/>
      <c r="QSF159"/>
      <c r="QSG159"/>
      <c r="QSH159"/>
      <c r="QSI159"/>
      <c r="QSJ159"/>
      <c r="QSK159"/>
      <c r="QSL159"/>
      <c r="QSM159"/>
      <c r="QSN159"/>
      <c r="QSO159"/>
      <c r="QSP159"/>
      <c r="QSQ159"/>
      <c r="QSR159"/>
      <c r="QSS159"/>
      <c r="QST159"/>
      <c r="QSU159"/>
      <c r="QSV159"/>
      <c r="QSW159"/>
      <c r="QSX159"/>
      <c r="QSY159"/>
      <c r="QSZ159"/>
      <c r="QTA159"/>
      <c r="QTB159"/>
      <c r="QTC159"/>
      <c r="QTD159"/>
      <c r="QTE159"/>
      <c r="QTF159"/>
      <c r="QTG159"/>
      <c r="QTH159"/>
      <c r="QTI159"/>
      <c r="QTJ159"/>
      <c r="QTK159"/>
      <c r="QTL159"/>
      <c r="QTM159"/>
      <c r="QTN159"/>
      <c r="QTO159"/>
      <c r="QTP159"/>
      <c r="QTQ159"/>
      <c r="QTR159"/>
      <c r="QTS159"/>
      <c r="QTT159"/>
      <c r="QTU159"/>
      <c r="QTV159"/>
      <c r="QTW159"/>
      <c r="QTX159"/>
      <c r="QTY159"/>
      <c r="QTZ159"/>
      <c r="QUA159"/>
      <c r="QUB159"/>
      <c r="QUC159"/>
      <c r="QUD159"/>
      <c r="QUE159"/>
      <c r="QUF159"/>
      <c r="QUG159"/>
      <c r="QUH159"/>
      <c r="QUI159"/>
      <c r="QUJ159"/>
      <c r="QUK159"/>
      <c r="QUL159"/>
      <c r="QUM159"/>
      <c r="QUN159"/>
      <c r="QUO159"/>
      <c r="QUP159"/>
      <c r="QUQ159"/>
      <c r="QUR159"/>
      <c r="QUS159"/>
      <c r="QUT159"/>
      <c r="QUU159"/>
      <c r="QUV159"/>
      <c r="QUW159"/>
      <c r="QUX159"/>
      <c r="QUY159"/>
      <c r="QUZ159"/>
      <c r="QVA159"/>
      <c r="QVB159"/>
      <c r="QVC159"/>
      <c r="QVD159"/>
      <c r="QVE159"/>
      <c r="QVF159"/>
      <c r="QVG159"/>
      <c r="QVH159"/>
      <c r="QVI159"/>
      <c r="QVJ159"/>
      <c r="QVK159"/>
      <c r="QVL159"/>
      <c r="QVM159"/>
      <c r="QVN159"/>
      <c r="QVO159"/>
      <c r="QVP159"/>
      <c r="QVQ159"/>
      <c r="QVR159"/>
      <c r="QVS159"/>
      <c r="QVT159"/>
      <c r="QVU159"/>
      <c r="QVV159"/>
      <c r="QVW159"/>
      <c r="QVX159"/>
      <c r="QVY159"/>
      <c r="QVZ159"/>
      <c r="QWA159"/>
      <c r="QWB159"/>
      <c r="QWC159"/>
      <c r="QWD159"/>
      <c r="QWE159"/>
      <c r="QWF159"/>
      <c r="QWG159"/>
      <c r="QWH159"/>
      <c r="QWI159"/>
      <c r="QWJ159"/>
      <c r="QWK159"/>
      <c r="QWL159"/>
      <c r="QWM159"/>
      <c r="QWN159"/>
      <c r="QWO159"/>
      <c r="QWP159"/>
      <c r="QWQ159"/>
      <c r="QWR159"/>
      <c r="QWS159"/>
      <c r="QWT159"/>
      <c r="QWU159"/>
      <c r="QWV159"/>
      <c r="QWW159"/>
      <c r="QWX159"/>
      <c r="QWY159"/>
      <c r="QWZ159"/>
      <c r="QXA159"/>
      <c r="QXB159"/>
      <c r="QXC159"/>
      <c r="QXD159"/>
      <c r="QXE159"/>
      <c r="QXF159"/>
      <c r="QXG159"/>
      <c r="QXH159"/>
      <c r="QXI159"/>
      <c r="QXJ159"/>
      <c r="QXK159"/>
      <c r="QXL159"/>
      <c r="QXM159"/>
      <c r="QXN159"/>
      <c r="QXO159"/>
      <c r="QXP159"/>
      <c r="QXQ159"/>
      <c r="QXR159"/>
      <c r="QXS159"/>
      <c r="QXT159"/>
      <c r="QXU159"/>
      <c r="QXV159"/>
      <c r="QXW159"/>
      <c r="QXX159"/>
      <c r="QXY159"/>
      <c r="QXZ159"/>
      <c r="QYA159"/>
      <c r="QYB159"/>
      <c r="QYC159"/>
      <c r="QYD159"/>
      <c r="QYE159"/>
      <c r="QYF159"/>
      <c r="QYG159"/>
      <c r="QYH159"/>
      <c r="QYI159"/>
      <c r="QYJ159"/>
      <c r="QYK159"/>
      <c r="QYL159"/>
      <c r="QYM159"/>
      <c r="QYN159"/>
      <c r="QYO159"/>
      <c r="QYP159"/>
      <c r="QYQ159"/>
      <c r="QYR159"/>
      <c r="QYS159"/>
      <c r="QYT159"/>
      <c r="QYU159"/>
      <c r="QYV159"/>
      <c r="QYW159"/>
      <c r="QYX159"/>
      <c r="QYY159"/>
      <c r="QYZ159"/>
      <c r="QZA159"/>
      <c r="QZB159"/>
      <c r="QZC159"/>
      <c r="QZD159"/>
      <c r="QZE159"/>
      <c r="QZF159"/>
      <c r="QZG159"/>
      <c r="QZH159"/>
      <c r="QZI159"/>
      <c r="QZJ159"/>
      <c r="QZK159"/>
      <c r="QZL159"/>
      <c r="QZM159"/>
      <c r="QZN159"/>
      <c r="QZO159"/>
      <c r="QZP159"/>
      <c r="QZQ159"/>
      <c r="QZR159"/>
      <c r="QZS159"/>
      <c r="QZT159"/>
      <c r="QZU159"/>
      <c r="QZV159"/>
      <c r="QZW159"/>
      <c r="QZX159"/>
      <c r="QZY159"/>
      <c r="QZZ159"/>
      <c r="RAA159"/>
      <c r="RAB159"/>
      <c r="RAC159"/>
      <c r="RAD159"/>
      <c r="RAE159"/>
      <c r="RAF159"/>
      <c r="RAG159"/>
      <c r="RAH159"/>
      <c r="RAI159"/>
      <c r="RAJ159"/>
      <c r="RAK159"/>
      <c r="RAL159"/>
      <c r="RAM159"/>
      <c r="RAN159"/>
      <c r="RAO159"/>
      <c r="RAP159"/>
      <c r="RAQ159"/>
      <c r="RAR159"/>
      <c r="RAS159"/>
      <c r="RAT159"/>
      <c r="RAU159"/>
      <c r="RAV159"/>
      <c r="RAW159"/>
      <c r="RAX159"/>
      <c r="RAY159"/>
      <c r="RAZ159"/>
      <c r="RBA159"/>
      <c r="RBB159"/>
      <c r="RBC159"/>
      <c r="RBD159"/>
      <c r="RBE159"/>
      <c r="RBF159"/>
      <c r="RBG159"/>
      <c r="RBH159"/>
      <c r="RBI159"/>
      <c r="RBJ159"/>
      <c r="RBK159"/>
      <c r="RBL159"/>
      <c r="RBM159"/>
      <c r="RBN159"/>
      <c r="RBO159"/>
      <c r="RBP159"/>
      <c r="RBQ159"/>
      <c r="RBR159"/>
      <c r="RBS159"/>
      <c r="RBT159"/>
      <c r="RBU159"/>
      <c r="RBV159"/>
      <c r="RBW159"/>
      <c r="RBX159"/>
      <c r="RBY159"/>
      <c r="RBZ159"/>
      <c r="RCA159"/>
      <c r="RCB159"/>
      <c r="RCC159"/>
      <c r="RCD159"/>
      <c r="RCE159"/>
      <c r="RCF159"/>
      <c r="RCG159"/>
      <c r="RCH159"/>
      <c r="RCI159"/>
      <c r="RCJ159"/>
      <c r="RCK159"/>
      <c r="RCL159"/>
      <c r="RCM159"/>
      <c r="RCN159"/>
      <c r="RCO159"/>
      <c r="RCP159"/>
      <c r="RCQ159"/>
      <c r="RCR159"/>
      <c r="RCS159"/>
      <c r="RCT159"/>
      <c r="RCU159"/>
      <c r="RCV159"/>
      <c r="RCW159"/>
      <c r="RCX159"/>
      <c r="RCY159"/>
      <c r="RCZ159"/>
      <c r="RDA159"/>
      <c r="RDB159"/>
      <c r="RDC159"/>
      <c r="RDD159"/>
      <c r="RDE159"/>
      <c r="RDF159"/>
      <c r="RDG159"/>
      <c r="RDH159"/>
      <c r="RDI159"/>
      <c r="RDJ159"/>
      <c r="RDK159"/>
      <c r="RDL159"/>
      <c r="RDM159"/>
      <c r="RDN159"/>
      <c r="RDO159"/>
      <c r="RDP159"/>
      <c r="RDQ159"/>
      <c r="RDR159"/>
      <c r="RDS159"/>
      <c r="RDT159"/>
      <c r="RDU159"/>
      <c r="RDV159"/>
      <c r="RDW159"/>
      <c r="RDX159"/>
      <c r="RDY159"/>
      <c r="RDZ159"/>
      <c r="REA159"/>
      <c r="REB159"/>
      <c r="REC159"/>
      <c r="RED159"/>
      <c r="REE159"/>
      <c r="REF159"/>
      <c r="REG159"/>
      <c r="REH159"/>
      <c r="REI159"/>
      <c r="REJ159"/>
      <c r="REK159"/>
      <c r="REL159"/>
      <c r="REM159"/>
      <c r="REN159"/>
      <c r="REO159"/>
      <c r="REP159"/>
      <c r="REQ159"/>
      <c r="RER159"/>
      <c r="RES159"/>
      <c r="RET159"/>
      <c r="REU159"/>
      <c r="REV159"/>
      <c r="REW159"/>
      <c r="REX159"/>
      <c r="REY159"/>
      <c r="REZ159"/>
      <c r="RFA159"/>
      <c r="RFB159"/>
      <c r="RFC159"/>
      <c r="RFD159"/>
      <c r="RFE159"/>
      <c r="RFF159"/>
      <c r="RFG159"/>
      <c r="RFH159"/>
      <c r="RFI159"/>
      <c r="RFJ159"/>
      <c r="RFK159"/>
      <c r="RFL159"/>
      <c r="RFM159"/>
      <c r="RFN159"/>
      <c r="RFO159"/>
      <c r="RFP159"/>
      <c r="RFQ159"/>
      <c r="RFR159"/>
      <c r="RFS159"/>
      <c r="RFT159"/>
      <c r="RFU159"/>
      <c r="RFV159"/>
      <c r="RFW159"/>
      <c r="RFX159"/>
      <c r="RFY159"/>
      <c r="RFZ159"/>
      <c r="RGA159"/>
      <c r="RGB159"/>
      <c r="RGC159"/>
      <c r="RGD159"/>
      <c r="RGE159"/>
      <c r="RGF159"/>
      <c r="RGG159"/>
      <c r="RGH159"/>
      <c r="RGI159"/>
      <c r="RGJ159"/>
      <c r="RGK159"/>
      <c r="RGL159"/>
      <c r="RGM159"/>
      <c r="RGN159"/>
      <c r="RGO159"/>
      <c r="RGP159"/>
      <c r="RGQ159"/>
      <c r="RGR159"/>
      <c r="RGS159"/>
      <c r="RGT159"/>
      <c r="RGU159"/>
      <c r="RGV159"/>
      <c r="RGW159"/>
      <c r="RGX159"/>
      <c r="RGY159"/>
      <c r="RGZ159"/>
      <c r="RHA159"/>
      <c r="RHB159"/>
      <c r="RHC159"/>
      <c r="RHD159"/>
      <c r="RHE159"/>
      <c r="RHF159"/>
      <c r="RHG159"/>
      <c r="RHH159"/>
      <c r="RHI159"/>
      <c r="RHJ159"/>
      <c r="RHK159"/>
      <c r="RHL159"/>
      <c r="RHM159"/>
      <c r="RHN159"/>
      <c r="RHO159"/>
      <c r="RHP159"/>
      <c r="RHQ159"/>
      <c r="RHR159"/>
      <c r="RHS159"/>
      <c r="RHT159"/>
      <c r="RHU159"/>
      <c r="RHV159"/>
      <c r="RHW159"/>
      <c r="RHX159"/>
      <c r="RHY159"/>
      <c r="RHZ159"/>
      <c r="RIA159"/>
      <c r="RIB159"/>
      <c r="RIC159"/>
      <c r="RID159"/>
      <c r="RIE159"/>
      <c r="RIF159"/>
      <c r="RIG159"/>
      <c r="RIH159"/>
      <c r="RII159"/>
      <c r="RIJ159"/>
      <c r="RIK159"/>
      <c r="RIL159"/>
      <c r="RIM159"/>
      <c r="RIN159"/>
      <c r="RIO159"/>
      <c r="RIP159"/>
      <c r="RIQ159"/>
      <c r="RIR159"/>
      <c r="RIS159"/>
      <c r="RIT159"/>
      <c r="RIU159"/>
      <c r="RIV159"/>
      <c r="RIW159"/>
      <c r="RIX159"/>
      <c r="RIY159"/>
      <c r="RIZ159"/>
      <c r="RJA159"/>
      <c r="RJB159"/>
      <c r="RJC159"/>
      <c r="RJD159"/>
      <c r="RJE159"/>
      <c r="RJF159"/>
      <c r="RJG159"/>
      <c r="RJH159"/>
      <c r="RJI159"/>
      <c r="RJJ159"/>
      <c r="RJK159"/>
      <c r="RJL159"/>
      <c r="RJM159"/>
      <c r="RJN159"/>
      <c r="RJO159"/>
      <c r="RJP159"/>
      <c r="RJQ159"/>
      <c r="RJR159"/>
      <c r="RJS159"/>
      <c r="RJT159"/>
      <c r="RJU159"/>
      <c r="RJV159"/>
      <c r="RJW159"/>
      <c r="RJX159"/>
      <c r="RJY159"/>
      <c r="RJZ159"/>
      <c r="RKA159"/>
      <c r="RKB159"/>
      <c r="RKC159"/>
      <c r="RKD159"/>
      <c r="RKE159"/>
      <c r="RKF159"/>
      <c r="RKG159"/>
      <c r="RKH159"/>
      <c r="RKI159"/>
      <c r="RKJ159"/>
      <c r="RKK159"/>
      <c r="RKL159"/>
      <c r="RKM159"/>
      <c r="RKN159"/>
      <c r="RKO159"/>
      <c r="RKP159"/>
      <c r="RKQ159"/>
      <c r="RKR159"/>
      <c r="RKS159"/>
      <c r="RKT159"/>
      <c r="RKU159"/>
      <c r="RKV159"/>
      <c r="RKW159"/>
      <c r="RKX159"/>
      <c r="RKY159"/>
      <c r="RKZ159"/>
      <c r="RLA159"/>
      <c r="RLB159"/>
      <c r="RLC159"/>
      <c r="RLD159"/>
      <c r="RLE159"/>
      <c r="RLF159"/>
      <c r="RLG159"/>
      <c r="RLH159"/>
      <c r="RLI159"/>
      <c r="RLJ159"/>
      <c r="RLK159"/>
      <c r="RLL159"/>
      <c r="RLM159"/>
      <c r="RLN159"/>
      <c r="RLO159"/>
      <c r="RLP159"/>
      <c r="RLQ159"/>
      <c r="RLR159"/>
      <c r="RLS159"/>
      <c r="RLT159"/>
      <c r="RLU159"/>
      <c r="RLV159"/>
      <c r="RLW159"/>
      <c r="RLX159"/>
      <c r="RLY159"/>
      <c r="RLZ159"/>
      <c r="RMA159"/>
      <c r="RMB159"/>
      <c r="RMC159"/>
      <c r="RMD159"/>
      <c r="RME159"/>
      <c r="RMF159"/>
      <c r="RMG159"/>
      <c r="RMH159"/>
      <c r="RMI159"/>
      <c r="RMJ159"/>
      <c r="RMK159"/>
      <c r="RML159"/>
      <c r="RMM159"/>
      <c r="RMN159"/>
      <c r="RMO159"/>
      <c r="RMP159"/>
      <c r="RMQ159"/>
      <c r="RMR159"/>
      <c r="RMS159"/>
      <c r="RMT159"/>
      <c r="RMU159"/>
      <c r="RMV159"/>
      <c r="RMW159"/>
      <c r="RMX159"/>
      <c r="RMY159"/>
      <c r="RMZ159"/>
      <c r="RNA159"/>
      <c r="RNB159"/>
      <c r="RNC159"/>
      <c r="RND159"/>
      <c r="RNE159"/>
      <c r="RNF159"/>
      <c r="RNG159"/>
      <c r="RNH159"/>
      <c r="RNI159"/>
      <c r="RNJ159"/>
      <c r="RNK159"/>
      <c r="RNL159"/>
      <c r="RNM159"/>
      <c r="RNN159"/>
      <c r="RNO159"/>
      <c r="RNP159"/>
      <c r="RNQ159"/>
      <c r="RNR159"/>
      <c r="RNS159"/>
      <c r="RNT159"/>
      <c r="RNU159"/>
      <c r="RNV159"/>
      <c r="RNW159"/>
      <c r="RNX159"/>
      <c r="RNY159"/>
      <c r="RNZ159"/>
      <c r="ROA159"/>
      <c r="ROB159"/>
      <c r="ROC159"/>
      <c r="ROD159"/>
      <c r="ROE159"/>
      <c r="ROF159"/>
      <c r="ROG159"/>
      <c r="ROH159"/>
      <c r="ROI159"/>
      <c r="ROJ159"/>
      <c r="ROK159"/>
      <c r="ROL159"/>
      <c r="ROM159"/>
      <c r="RON159"/>
      <c r="ROO159"/>
      <c r="ROP159"/>
      <c r="ROQ159"/>
      <c r="ROR159"/>
      <c r="ROS159"/>
      <c r="ROT159"/>
      <c r="ROU159"/>
      <c r="ROV159"/>
      <c r="ROW159"/>
      <c r="ROX159"/>
      <c r="ROY159"/>
      <c r="ROZ159"/>
      <c r="RPA159"/>
      <c r="RPB159"/>
      <c r="RPC159"/>
      <c r="RPD159"/>
      <c r="RPE159"/>
      <c r="RPF159"/>
      <c r="RPG159"/>
      <c r="RPH159"/>
      <c r="RPI159"/>
      <c r="RPJ159"/>
      <c r="RPK159"/>
      <c r="RPL159"/>
      <c r="RPM159"/>
      <c r="RPN159"/>
      <c r="RPO159"/>
      <c r="RPP159"/>
      <c r="RPQ159"/>
      <c r="RPR159"/>
      <c r="RPS159"/>
      <c r="RPT159"/>
      <c r="RPU159"/>
      <c r="RPV159"/>
      <c r="RPW159"/>
      <c r="RPX159"/>
      <c r="RPY159"/>
      <c r="RPZ159"/>
      <c r="RQA159"/>
      <c r="RQB159"/>
      <c r="RQC159"/>
      <c r="RQD159"/>
      <c r="RQE159"/>
      <c r="RQF159"/>
      <c r="RQG159"/>
      <c r="RQH159"/>
      <c r="RQI159"/>
      <c r="RQJ159"/>
      <c r="RQK159"/>
      <c r="RQL159"/>
      <c r="RQM159"/>
      <c r="RQN159"/>
      <c r="RQO159"/>
      <c r="RQP159"/>
      <c r="RQQ159"/>
      <c r="RQR159"/>
      <c r="RQS159"/>
      <c r="RQT159"/>
      <c r="RQU159"/>
      <c r="RQV159"/>
      <c r="RQW159"/>
      <c r="RQX159"/>
      <c r="RQY159"/>
      <c r="RQZ159"/>
      <c r="RRA159"/>
      <c r="RRB159"/>
      <c r="RRC159"/>
      <c r="RRD159"/>
      <c r="RRE159"/>
      <c r="RRF159"/>
      <c r="RRG159"/>
      <c r="RRH159"/>
      <c r="RRI159"/>
      <c r="RRJ159"/>
      <c r="RRK159"/>
      <c r="RRL159"/>
      <c r="RRM159"/>
      <c r="RRN159"/>
      <c r="RRO159"/>
      <c r="RRP159"/>
      <c r="RRQ159"/>
      <c r="RRR159"/>
      <c r="RRS159"/>
      <c r="RRT159"/>
      <c r="RRU159"/>
      <c r="RRV159"/>
      <c r="RRW159"/>
      <c r="RRX159"/>
      <c r="RRY159"/>
      <c r="RRZ159"/>
      <c r="RSA159"/>
      <c r="RSB159"/>
      <c r="RSC159"/>
      <c r="RSD159"/>
      <c r="RSE159"/>
      <c r="RSF159"/>
      <c r="RSG159"/>
      <c r="RSH159"/>
      <c r="RSI159"/>
      <c r="RSJ159"/>
      <c r="RSK159"/>
      <c r="RSL159"/>
      <c r="RSM159"/>
      <c r="RSN159"/>
      <c r="RSO159"/>
      <c r="RSP159"/>
      <c r="RSQ159"/>
      <c r="RSR159"/>
      <c r="RSS159"/>
      <c r="RST159"/>
      <c r="RSU159"/>
      <c r="RSV159"/>
      <c r="RSW159"/>
      <c r="RSX159"/>
      <c r="RSY159"/>
      <c r="RSZ159"/>
      <c r="RTA159"/>
      <c r="RTB159"/>
      <c r="RTC159"/>
      <c r="RTD159"/>
      <c r="RTE159"/>
      <c r="RTF159"/>
      <c r="RTG159"/>
      <c r="RTH159"/>
      <c r="RTI159"/>
      <c r="RTJ159"/>
      <c r="RTK159"/>
      <c r="RTL159"/>
      <c r="RTM159"/>
      <c r="RTN159"/>
      <c r="RTO159"/>
      <c r="RTP159"/>
      <c r="RTQ159"/>
      <c r="RTR159"/>
      <c r="RTS159"/>
      <c r="RTT159"/>
      <c r="RTU159"/>
      <c r="RTV159"/>
      <c r="RTW159"/>
      <c r="RTX159"/>
      <c r="RTY159"/>
      <c r="RTZ159"/>
      <c r="RUA159"/>
      <c r="RUB159"/>
      <c r="RUC159"/>
      <c r="RUD159"/>
      <c r="RUE159"/>
      <c r="RUF159"/>
      <c r="RUG159"/>
      <c r="RUH159"/>
      <c r="RUI159"/>
      <c r="RUJ159"/>
      <c r="RUK159"/>
      <c r="RUL159"/>
      <c r="RUM159"/>
      <c r="RUN159"/>
      <c r="RUO159"/>
      <c r="RUP159"/>
      <c r="RUQ159"/>
      <c r="RUR159"/>
      <c r="RUS159"/>
      <c r="RUT159"/>
      <c r="RUU159"/>
      <c r="RUV159"/>
      <c r="RUW159"/>
      <c r="RUX159"/>
      <c r="RUY159"/>
      <c r="RUZ159"/>
      <c r="RVA159"/>
      <c r="RVB159"/>
      <c r="RVC159"/>
      <c r="RVD159"/>
      <c r="RVE159"/>
      <c r="RVF159"/>
      <c r="RVG159"/>
      <c r="RVH159"/>
      <c r="RVI159"/>
      <c r="RVJ159"/>
      <c r="RVK159"/>
      <c r="RVL159"/>
      <c r="RVM159"/>
      <c r="RVN159"/>
      <c r="RVO159"/>
      <c r="RVP159"/>
      <c r="RVQ159"/>
      <c r="RVR159"/>
      <c r="RVS159"/>
      <c r="RVT159"/>
      <c r="RVU159"/>
      <c r="RVV159"/>
      <c r="RVW159"/>
      <c r="RVX159"/>
      <c r="RVY159"/>
      <c r="RVZ159"/>
      <c r="RWA159"/>
      <c r="RWB159"/>
      <c r="RWC159"/>
      <c r="RWD159"/>
      <c r="RWE159"/>
      <c r="RWF159"/>
      <c r="RWG159"/>
      <c r="RWH159"/>
      <c r="RWI159"/>
      <c r="RWJ159"/>
      <c r="RWK159"/>
      <c r="RWL159"/>
      <c r="RWM159"/>
      <c r="RWN159"/>
      <c r="RWO159"/>
      <c r="RWP159"/>
      <c r="RWQ159"/>
      <c r="RWR159"/>
      <c r="RWS159"/>
      <c r="RWT159"/>
      <c r="RWU159"/>
      <c r="RWV159"/>
      <c r="RWW159"/>
      <c r="RWX159"/>
      <c r="RWY159"/>
      <c r="RWZ159"/>
      <c r="RXA159"/>
      <c r="RXB159"/>
      <c r="RXC159"/>
      <c r="RXD159"/>
      <c r="RXE159"/>
      <c r="RXF159"/>
      <c r="RXG159"/>
      <c r="RXH159"/>
      <c r="RXI159"/>
      <c r="RXJ159"/>
      <c r="RXK159"/>
      <c r="RXL159"/>
      <c r="RXM159"/>
      <c r="RXN159"/>
      <c r="RXO159"/>
      <c r="RXP159"/>
      <c r="RXQ159"/>
      <c r="RXR159"/>
      <c r="RXS159"/>
      <c r="RXT159"/>
      <c r="RXU159"/>
      <c r="RXV159"/>
      <c r="RXW159"/>
      <c r="RXX159"/>
      <c r="RXY159"/>
      <c r="RXZ159"/>
      <c r="RYA159"/>
      <c r="RYB159"/>
      <c r="RYC159"/>
      <c r="RYD159"/>
      <c r="RYE159"/>
      <c r="RYF159"/>
      <c r="RYG159"/>
      <c r="RYH159"/>
      <c r="RYI159"/>
      <c r="RYJ159"/>
      <c r="RYK159"/>
      <c r="RYL159"/>
      <c r="RYM159"/>
      <c r="RYN159"/>
      <c r="RYO159"/>
      <c r="RYP159"/>
      <c r="RYQ159"/>
      <c r="RYR159"/>
      <c r="RYS159"/>
      <c r="RYT159"/>
      <c r="RYU159"/>
      <c r="RYV159"/>
      <c r="RYW159"/>
      <c r="RYX159"/>
      <c r="RYY159"/>
      <c r="RYZ159"/>
      <c r="RZA159"/>
      <c r="RZB159"/>
      <c r="RZC159"/>
      <c r="RZD159"/>
      <c r="RZE159"/>
      <c r="RZF159"/>
      <c r="RZG159"/>
      <c r="RZH159"/>
      <c r="RZI159"/>
      <c r="RZJ159"/>
      <c r="RZK159"/>
      <c r="RZL159"/>
      <c r="RZM159"/>
      <c r="RZN159"/>
      <c r="RZO159"/>
      <c r="RZP159"/>
      <c r="RZQ159"/>
      <c r="RZR159"/>
      <c r="RZS159"/>
      <c r="RZT159"/>
      <c r="RZU159"/>
      <c r="RZV159"/>
      <c r="RZW159"/>
      <c r="RZX159"/>
      <c r="RZY159"/>
      <c r="RZZ159"/>
      <c r="SAA159"/>
      <c r="SAB159"/>
      <c r="SAC159"/>
      <c r="SAD159"/>
      <c r="SAE159"/>
      <c r="SAF159"/>
      <c r="SAG159"/>
      <c r="SAH159"/>
      <c r="SAI159"/>
      <c r="SAJ159"/>
      <c r="SAK159"/>
      <c r="SAL159"/>
      <c r="SAM159"/>
      <c r="SAN159"/>
      <c r="SAO159"/>
      <c r="SAP159"/>
      <c r="SAQ159"/>
      <c r="SAR159"/>
      <c r="SAS159"/>
      <c r="SAT159"/>
      <c r="SAU159"/>
      <c r="SAV159"/>
      <c r="SAW159"/>
      <c r="SAX159"/>
      <c r="SAY159"/>
      <c r="SAZ159"/>
      <c r="SBA159"/>
      <c r="SBB159"/>
      <c r="SBC159"/>
      <c r="SBD159"/>
      <c r="SBE159"/>
      <c r="SBF159"/>
      <c r="SBG159"/>
      <c r="SBH159"/>
      <c r="SBI159"/>
      <c r="SBJ159"/>
      <c r="SBK159"/>
      <c r="SBL159"/>
      <c r="SBM159"/>
      <c r="SBN159"/>
      <c r="SBO159"/>
      <c r="SBP159"/>
      <c r="SBQ159"/>
      <c r="SBR159"/>
      <c r="SBS159"/>
      <c r="SBT159"/>
      <c r="SBU159"/>
      <c r="SBV159"/>
      <c r="SBW159"/>
      <c r="SBX159"/>
      <c r="SBY159"/>
      <c r="SBZ159"/>
      <c r="SCA159"/>
      <c r="SCB159"/>
      <c r="SCC159"/>
      <c r="SCD159"/>
      <c r="SCE159"/>
      <c r="SCF159"/>
      <c r="SCG159"/>
      <c r="SCH159"/>
      <c r="SCI159"/>
      <c r="SCJ159"/>
      <c r="SCK159"/>
      <c r="SCL159"/>
      <c r="SCM159"/>
      <c r="SCN159"/>
      <c r="SCO159"/>
      <c r="SCP159"/>
      <c r="SCQ159"/>
      <c r="SCR159"/>
      <c r="SCS159"/>
      <c r="SCT159"/>
      <c r="SCU159"/>
      <c r="SCV159"/>
      <c r="SCW159"/>
      <c r="SCX159"/>
      <c r="SCY159"/>
      <c r="SCZ159"/>
      <c r="SDA159"/>
      <c r="SDB159"/>
      <c r="SDC159"/>
      <c r="SDD159"/>
      <c r="SDE159"/>
      <c r="SDF159"/>
      <c r="SDG159"/>
      <c r="SDH159"/>
      <c r="SDI159"/>
      <c r="SDJ159"/>
      <c r="SDK159"/>
      <c r="SDL159"/>
      <c r="SDM159"/>
      <c r="SDN159"/>
      <c r="SDO159"/>
      <c r="SDP159"/>
      <c r="SDQ159"/>
      <c r="SDR159"/>
      <c r="SDS159"/>
      <c r="SDT159"/>
      <c r="SDU159"/>
      <c r="SDV159"/>
      <c r="SDW159"/>
      <c r="SDX159"/>
      <c r="SDY159"/>
      <c r="SDZ159"/>
      <c r="SEA159"/>
      <c r="SEB159"/>
      <c r="SEC159"/>
      <c r="SED159"/>
      <c r="SEE159"/>
      <c r="SEF159"/>
      <c r="SEG159"/>
      <c r="SEH159"/>
      <c r="SEI159"/>
      <c r="SEJ159"/>
      <c r="SEK159"/>
      <c r="SEL159"/>
      <c r="SEM159"/>
      <c r="SEN159"/>
      <c r="SEO159"/>
      <c r="SEP159"/>
      <c r="SEQ159"/>
      <c r="SER159"/>
      <c r="SES159"/>
      <c r="SET159"/>
      <c r="SEU159"/>
      <c r="SEV159"/>
      <c r="SEW159"/>
      <c r="SEX159"/>
      <c r="SEY159"/>
      <c r="SEZ159"/>
      <c r="SFA159"/>
      <c r="SFB159"/>
      <c r="SFC159"/>
      <c r="SFD159"/>
      <c r="SFE159"/>
      <c r="SFF159"/>
      <c r="SFG159"/>
      <c r="SFH159"/>
      <c r="SFI159"/>
      <c r="SFJ159"/>
      <c r="SFK159"/>
      <c r="SFL159"/>
      <c r="SFM159"/>
      <c r="SFN159"/>
      <c r="SFO159"/>
      <c r="SFP159"/>
      <c r="SFQ159"/>
      <c r="SFR159"/>
      <c r="SFS159"/>
      <c r="SFT159"/>
      <c r="SFU159"/>
      <c r="SFV159"/>
      <c r="SFW159"/>
      <c r="SFX159"/>
      <c r="SFY159"/>
      <c r="SFZ159"/>
      <c r="SGA159"/>
      <c r="SGB159"/>
      <c r="SGC159"/>
      <c r="SGD159"/>
      <c r="SGE159"/>
      <c r="SGF159"/>
      <c r="SGG159"/>
      <c r="SGH159"/>
      <c r="SGI159"/>
      <c r="SGJ159"/>
      <c r="SGK159"/>
      <c r="SGL159"/>
      <c r="SGM159"/>
      <c r="SGN159"/>
      <c r="SGO159"/>
      <c r="SGP159"/>
      <c r="SGQ159"/>
      <c r="SGR159"/>
      <c r="SGS159"/>
      <c r="SGT159"/>
      <c r="SGU159"/>
      <c r="SGV159"/>
      <c r="SGW159"/>
      <c r="SGX159"/>
      <c r="SGY159"/>
      <c r="SGZ159"/>
      <c r="SHA159"/>
      <c r="SHB159"/>
      <c r="SHC159"/>
      <c r="SHD159"/>
      <c r="SHE159"/>
      <c r="SHF159"/>
      <c r="SHG159"/>
      <c r="SHH159"/>
      <c r="SHI159"/>
      <c r="SHJ159"/>
      <c r="SHK159"/>
      <c r="SHL159"/>
      <c r="SHM159"/>
      <c r="SHN159"/>
      <c r="SHO159"/>
      <c r="SHP159"/>
      <c r="SHQ159"/>
      <c r="SHR159"/>
      <c r="SHS159"/>
      <c r="SHT159"/>
      <c r="SHU159"/>
      <c r="SHV159"/>
      <c r="SHW159"/>
      <c r="SHX159"/>
      <c r="SHY159"/>
      <c r="SHZ159"/>
      <c r="SIA159"/>
      <c r="SIB159"/>
      <c r="SIC159"/>
      <c r="SID159"/>
      <c r="SIE159"/>
      <c r="SIF159"/>
      <c r="SIG159"/>
      <c r="SIH159"/>
      <c r="SII159"/>
      <c r="SIJ159"/>
      <c r="SIK159"/>
      <c r="SIL159"/>
      <c r="SIM159"/>
      <c r="SIN159"/>
      <c r="SIO159"/>
      <c r="SIP159"/>
      <c r="SIQ159"/>
      <c r="SIR159"/>
      <c r="SIS159"/>
      <c r="SIT159"/>
      <c r="SIU159"/>
      <c r="SIV159"/>
      <c r="SIW159"/>
      <c r="SIX159"/>
      <c r="SIY159"/>
      <c r="SIZ159"/>
      <c r="SJA159"/>
      <c r="SJB159"/>
      <c r="SJC159"/>
      <c r="SJD159"/>
      <c r="SJE159"/>
      <c r="SJF159"/>
      <c r="SJG159"/>
      <c r="SJH159"/>
      <c r="SJI159"/>
      <c r="SJJ159"/>
      <c r="SJK159"/>
      <c r="SJL159"/>
      <c r="SJM159"/>
      <c r="SJN159"/>
      <c r="SJO159"/>
      <c r="SJP159"/>
      <c r="SJQ159"/>
      <c r="SJR159"/>
      <c r="SJS159"/>
      <c r="SJT159"/>
      <c r="SJU159"/>
      <c r="SJV159"/>
      <c r="SJW159"/>
      <c r="SJX159"/>
      <c r="SJY159"/>
      <c r="SJZ159"/>
      <c r="SKA159"/>
      <c r="SKB159"/>
      <c r="SKC159"/>
      <c r="SKD159"/>
      <c r="SKE159"/>
      <c r="SKF159"/>
      <c r="SKG159"/>
      <c r="SKH159"/>
      <c r="SKI159"/>
      <c r="SKJ159"/>
      <c r="SKK159"/>
      <c r="SKL159"/>
      <c r="SKM159"/>
      <c r="SKN159"/>
      <c r="SKO159"/>
      <c r="SKP159"/>
      <c r="SKQ159"/>
      <c r="SKR159"/>
      <c r="SKS159"/>
      <c r="SKT159"/>
      <c r="SKU159"/>
      <c r="SKV159"/>
      <c r="SKW159"/>
      <c r="SKX159"/>
      <c r="SKY159"/>
      <c r="SKZ159"/>
      <c r="SLA159"/>
      <c r="SLB159"/>
      <c r="SLC159"/>
      <c r="SLD159"/>
      <c r="SLE159"/>
      <c r="SLF159"/>
      <c r="SLG159"/>
      <c r="SLH159"/>
      <c r="SLI159"/>
      <c r="SLJ159"/>
      <c r="SLK159"/>
      <c r="SLL159"/>
      <c r="SLM159"/>
      <c r="SLN159"/>
      <c r="SLO159"/>
      <c r="SLP159"/>
      <c r="SLQ159"/>
      <c r="SLR159"/>
      <c r="SLS159"/>
      <c r="SLT159"/>
      <c r="SLU159"/>
      <c r="SLV159"/>
      <c r="SLW159"/>
      <c r="SLX159"/>
      <c r="SLY159"/>
      <c r="SLZ159"/>
      <c r="SMA159"/>
      <c r="SMB159"/>
      <c r="SMC159"/>
      <c r="SMD159"/>
      <c r="SME159"/>
      <c r="SMF159"/>
      <c r="SMG159"/>
      <c r="SMH159"/>
      <c r="SMI159"/>
      <c r="SMJ159"/>
      <c r="SMK159"/>
      <c r="SML159"/>
      <c r="SMM159"/>
      <c r="SMN159"/>
      <c r="SMO159"/>
      <c r="SMP159"/>
      <c r="SMQ159"/>
      <c r="SMR159"/>
      <c r="SMS159"/>
      <c r="SMT159"/>
      <c r="SMU159"/>
      <c r="SMV159"/>
      <c r="SMW159"/>
      <c r="SMX159"/>
      <c r="SMY159"/>
      <c r="SMZ159"/>
      <c r="SNA159"/>
      <c r="SNB159"/>
      <c r="SNC159"/>
      <c r="SND159"/>
      <c r="SNE159"/>
      <c r="SNF159"/>
      <c r="SNG159"/>
      <c r="SNH159"/>
      <c r="SNI159"/>
      <c r="SNJ159"/>
      <c r="SNK159"/>
      <c r="SNL159"/>
      <c r="SNM159"/>
      <c r="SNN159"/>
      <c r="SNO159"/>
      <c r="SNP159"/>
      <c r="SNQ159"/>
      <c r="SNR159"/>
      <c r="SNS159"/>
      <c r="SNT159"/>
      <c r="SNU159"/>
      <c r="SNV159"/>
      <c r="SNW159"/>
      <c r="SNX159"/>
      <c r="SNY159"/>
      <c r="SNZ159"/>
      <c r="SOA159"/>
      <c r="SOB159"/>
      <c r="SOC159"/>
      <c r="SOD159"/>
      <c r="SOE159"/>
      <c r="SOF159"/>
      <c r="SOG159"/>
      <c r="SOH159"/>
      <c r="SOI159"/>
      <c r="SOJ159"/>
      <c r="SOK159"/>
      <c r="SOL159"/>
      <c r="SOM159"/>
      <c r="SON159"/>
      <c r="SOO159"/>
      <c r="SOP159"/>
      <c r="SOQ159"/>
      <c r="SOR159"/>
      <c r="SOS159"/>
      <c r="SOT159"/>
      <c r="SOU159"/>
      <c r="SOV159"/>
      <c r="SOW159"/>
      <c r="SOX159"/>
      <c r="SOY159"/>
      <c r="SOZ159"/>
      <c r="SPA159"/>
      <c r="SPB159"/>
      <c r="SPC159"/>
      <c r="SPD159"/>
      <c r="SPE159"/>
      <c r="SPF159"/>
      <c r="SPG159"/>
      <c r="SPH159"/>
      <c r="SPI159"/>
      <c r="SPJ159"/>
      <c r="SPK159"/>
      <c r="SPL159"/>
      <c r="SPM159"/>
      <c r="SPN159"/>
      <c r="SPO159"/>
      <c r="SPP159"/>
      <c r="SPQ159"/>
      <c r="SPR159"/>
      <c r="SPS159"/>
      <c r="SPT159"/>
      <c r="SPU159"/>
      <c r="SPV159"/>
      <c r="SPW159"/>
      <c r="SPX159"/>
      <c r="SPY159"/>
      <c r="SPZ159"/>
      <c r="SQA159"/>
      <c r="SQB159"/>
      <c r="SQC159"/>
      <c r="SQD159"/>
      <c r="SQE159"/>
      <c r="SQF159"/>
      <c r="SQG159"/>
      <c r="SQH159"/>
      <c r="SQI159"/>
      <c r="SQJ159"/>
      <c r="SQK159"/>
      <c r="SQL159"/>
      <c r="SQM159"/>
      <c r="SQN159"/>
      <c r="SQO159"/>
      <c r="SQP159"/>
      <c r="SQQ159"/>
      <c r="SQR159"/>
      <c r="SQS159"/>
      <c r="SQT159"/>
      <c r="SQU159"/>
      <c r="SQV159"/>
      <c r="SQW159"/>
      <c r="SQX159"/>
      <c r="SQY159"/>
      <c r="SQZ159"/>
      <c r="SRA159"/>
      <c r="SRB159"/>
      <c r="SRC159"/>
      <c r="SRD159"/>
      <c r="SRE159"/>
      <c r="SRF159"/>
      <c r="SRG159"/>
      <c r="SRH159"/>
      <c r="SRI159"/>
      <c r="SRJ159"/>
      <c r="SRK159"/>
      <c r="SRL159"/>
      <c r="SRM159"/>
      <c r="SRN159"/>
      <c r="SRO159"/>
      <c r="SRP159"/>
      <c r="SRQ159"/>
      <c r="SRR159"/>
      <c r="SRS159"/>
      <c r="SRT159"/>
      <c r="SRU159"/>
      <c r="SRV159"/>
      <c r="SRW159"/>
      <c r="SRX159"/>
      <c r="SRY159"/>
      <c r="SRZ159"/>
      <c r="SSA159"/>
      <c r="SSB159"/>
      <c r="SSC159"/>
      <c r="SSD159"/>
      <c r="SSE159"/>
      <c r="SSF159"/>
      <c r="SSG159"/>
      <c r="SSH159"/>
      <c r="SSI159"/>
      <c r="SSJ159"/>
      <c r="SSK159"/>
      <c r="SSL159"/>
      <c r="SSM159"/>
      <c r="SSN159"/>
      <c r="SSO159"/>
      <c r="SSP159"/>
      <c r="SSQ159"/>
      <c r="SSR159"/>
      <c r="SSS159"/>
      <c r="SST159"/>
      <c r="SSU159"/>
      <c r="SSV159"/>
      <c r="SSW159"/>
      <c r="SSX159"/>
      <c r="SSY159"/>
      <c r="SSZ159"/>
      <c r="STA159"/>
      <c r="STB159"/>
      <c r="STC159"/>
      <c r="STD159"/>
      <c r="STE159"/>
      <c r="STF159"/>
      <c r="STG159"/>
      <c r="STH159"/>
      <c r="STI159"/>
      <c r="STJ159"/>
      <c r="STK159"/>
      <c r="STL159"/>
      <c r="STM159"/>
      <c r="STN159"/>
      <c r="STO159"/>
      <c r="STP159"/>
      <c r="STQ159"/>
      <c r="STR159"/>
      <c r="STS159"/>
      <c r="STT159"/>
      <c r="STU159"/>
      <c r="STV159"/>
      <c r="STW159"/>
      <c r="STX159"/>
      <c r="STY159"/>
      <c r="STZ159"/>
      <c r="SUA159"/>
      <c r="SUB159"/>
      <c r="SUC159"/>
      <c r="SUD159"/>
      <c r="SUE159"/>
      <c r="SUF159"/>
      <c r="SUG159"/>
      <c r="SUH159"/>
      <c r="SUI159"/>
      <c r="SUJ159"/>
      <c r="SUK159"/>
      <c r="SUL159"/>
      <c r="SUM159"/>
      <c r="SUN159"/>
      <c r="SUO159"/>
      <c r="SUP159"/>
      <c r="SUQ159"/>
      <c r="SUR159"/>
      <c r="SUS159"/>
      <c r="SUT159"/>
      <c r="SUU159"/>
      <c r="SUV159"/>
      <c r="SUW159"/>
      <c r="SUX159"/>
      <c r="SUY159"/>
      <c r="SUZ159"/>
      <c r="SVA159"/>
      <c r="SVB159"/>
      <c r="SVC159"/>
      <c r="SVD159"/>
      <c r="SVE159"/>
      <c r="SVF159"/>
      <c r="SVG159"/>
      <c r="SVH159"/>
      <c r="SVI159"/>
      <c r="SVJ159"/>
      <c r="SVK159"/>
      <c r="SVL159"/>
      <c r="SVM159"/>
      <c r="SVN159"/>
      <c r="SVO159"/>
      <c r="SVP159"/>
      <c r="SVQ159"/>
      <c r="SVR159"/>
      <c r="SVS159"/>
      <c r="SVT159"/>
      <c r="SVU159"/>
      <c r="SVV159"/>
      <c r="SVW159"/>
      <c r="SVX159"/>
      <c r="SVY159"/>
      <c r="SVZ159"/>
      <c r="SWA159"/>
      <c r="SWB159"/>
      <c r="SWC159"/>
      <c r="SWD159"/>
      <c r="SWE159"/>
      <c r="SWF159"/>
      <c r="SWG159"/>
      <c r="SWH159"/>
      <c r="SWI159"/>
      <c r="SWJ159"/>
      <c r="SWK159"/>
      <c r="SWL159"/>
      <c r="SWM159"/>
      <c r="SWN159"/>
      <c r="SWO159"/>
      <c r="SWP159"/>
      <c r="SWQ159"/>
      <c r="SWR159"/>
      <c r="SWS159"/>
      <c r="SWT159"/>
      <c r="SWU159"/>
      <c r="SWV159"/>
      <c r="SWW159"/>
      <c r="SWX159"/>
      <c r="SWY159"/>
      <c r="SWZ159"/>
      <c r="SXA159"/>
      <c r="SXB159"/>
      <c r="SXC159"/>
      <c r="SXD159"/>
      <c r="SXE159"/>
      <c r="SXF159"/>
      <c r="SXG159"/>
      <c r="SXH159"/>
      <c r="SXI159"/>
      <c r="SXJ159"/>
      <c r="SXK159"/>
      <c r="SXL159"/>
      <c r="SXM159"/>
      <c r="SXN159"/>
      <c r="SXO159"/>
      <c r="SXP159"/>
      <c r="SXQ159"/>
      <c r="SXR159"/>
      <c r="SXS159"/>
      <c r="SXT159"/>
      <c r="SXU159"/>
      <c r="SXV159"/>
      <c r="SXW159"/>
      <c r="SXX159"/>
      <c r="SXY159"/>
      <c r="SXZ159"/>
      <c r="SYA159"/>
      <c r="SYB159"/>
      <c r="SYC159"/>
      <c r="SYD159"/>
      <c r="SYE159"/>
      <c r="SYF159"/>
      <c r="SYG159"/>
      <c r="SYH159"/>
      <c r="SYI159"/>
      <c r="SYJ159"/>
      <c r="SYK159"/>
      <c r="SYL159"/>
      <c r="SYM159"/>
      <c r="SYN159"/>
      <c r="SYO159"/>
      <c r="SYP159"/>
      <c r="SYQ159"/>
      <c r="SYR159"/>
      <c r="SYS159"/>
      <c r="SYT159"/>
      <c r="SYU159"/>
      <c r="SYV159"/>
      <c r="SYW159"/>
      <c r="SYX159"/>
      <c r="SYY159"/>
      <c r="SYZ159"/>
      <c r="SZA159"/>
      <c r="SZB159"/>
      <c r="SZC159"/>
      <c r="SZD159"/>
      <c r="SZE159"/>
      <c r="SZF159"/>
      <c r="SZG159"/>
      <c r="SZH159"/>
      <c r="SZI159"/>
      <c r="SZJ159"/>
      <c r="SZK159"/>
      <c r="SZL159"/>
      <c r="SZM159"/>
      <c r="SZN159"/>
      <c r="SZO159"/>
      <c r="SZP159"/>
      <c r="SZQ159"/>
      <c r="SZR159"/>
      <c r="SZS159"/>
      <c r="SZT159"/>
      <c r="SZU159"/>
      <c r="SZV159"/>
      <c r="SZW159"/>
      <c r="SZX159"/>
      <c r="SZY159"/>
      <c r="SZZ159"/>
      <c r="TAA159"/>
      <c r="TAB159"/>
      <c r="TAC159"/>
      <c r="TAD159"/>
      <c r="TAE159"/>
      <c r="TAF159"/>
      <c r="TAG159"/>
      <c r="TAH159"/>
      <c r="TAI159"/>
      <c r="TAJ159"/>
      <c r="TAK159"/>
      <c r="TAL159"/>
      <c r="TAM159"/>
      <c r="TAN159"/>
      <c r="TAO159"/>
      <c r="TAP159"/>
      <c r="TAQ159"/>
      <c r="TAR159"/>
      <c r="TAS159"/>
      <c r="TAT159"/>
      <c r="TAU159"/>
      <c r="TAV159"/>
      <c r="TAW159"/>
      <c r="TAX159"/>
      <c r="TAY159"/>
      <c r="TAZ159"/>
      <c r="TBA159"/>
      <c r="TBB159"/>
      <c r="TBC159"/>
      <c r="TBD159"/>
      <c r="TBE159"/>
      <c r="TBF159"/>
      <c r="TBG159"/>
      <c r="TBH159"/>
      <c r="TBI159"/>
      <c r="TBJ159"/>
      <c r="TBK159"/>
      <c r="TBL159"/>
      <c r="TBM159"/>
      <c r="TBN159"/>
      <c r="TBO159"/>
      <c r="TBP159"/>
      <c r="TBQ159"/>
      <c r="TBR159"/>
      <c r="TBS159"/>
      <c r="TBT159"/>
      <c r="TBU159"/>
      <c r="TBV159"/>
      <c r="TBW159"/>
      <c r="TBX159"/>
      <c r="TBY159"/>
      <c r="TBZ159"/>
      <c r="TCA159"/>
      <c r="TCB159"/>
      <c r="TCC159"/>
      <c r="TCD159"/>
      <c r="TCE159"/>
      <c r="TCF159"/>
      <c r="TCG159"/>
      <c r="TCH159"/>
      <c r="TCI159"/>
      <c r="TCJ159"/>
      <c r="TCK159"/>
      <c r="TCL159"/>
      <c r="TCM159"/>
      <c r="TCN159"/>
      <c r="TCO159"/>
      <c r="TCP159"/>
      <c r="TCQ159"/>
      <c r="TCR159"/>
      <c r="TCS159"/>
      <c r="TCT159"/>
      <c r="TCU159"/>
      <c r="TCV159"/>
      <c r="TCW159"/>
      <c r="TCX159"/>
      <c r="TCY159"/>
      <c r="TCZ159"/>
      <c r="TDA159"/>
      <c r="TDB159"/>
      <c r="TDC159"/>
      <c r="TDD159"/>
      <c r="TDE159"/>
      <c r="TDF159"/>
      <c r="TDG159"/>
      <c r="TDH159"/>
      <c r="TDI159"/>
      <c r="TDJ159"/>
      <c r="TDK159"/>
      <c r="TDL159"/>
      <c r="TDM159"/>
      <c r="TDN159"/>
      <c r="TDO159"/>
      <c r="TDP159"/>
      <c r="TDQ159"/>
      <c r="TDR159"/>
      <c r="TDS159"/>
      <c r="TDT159"/>
      <c r="TDU159"/>
      <c r="TDV159"/>
      <c r="TDW159"/>
      <c r="TDX159"/>
      <c r="TDY159"/>
      <c r="TDZ159"/>
      <c r="TEA159"/>
      <c r="TEB159"/>
      <c r="TEC159"/>
      <c r="TED159"/>
      <c r="TEE159"/>
      <c r="TEF159"/>
      <c r="TEG159"/>
      <c r="TEH159"/>
      <c r="TEI159"/>
      <c r="TEJ159"/>
      <c r="TEK159"/>
      <c r="TEL159"/>
      <c r="TEM159"/>
      <c r="TEN159"/>
      <c r="TEO159"/>
      <c r="TEP159"/>
      <c r="TEQ159"/>
      <c r="TER159"/>
      <c r="TES159"/>
      <c r="TET159"/>
      <c r="TEU159"/>
      <c r="TEV159"/>
      <c r="TEW159"/>
      <c r="TEX159"/>
      <c r="TEY159"/>
      <c r="TEZ159"/>
      <c r="TFA159"/>
      <c r="TFB159"/>
      <c r="TFC159"/>
      <c r="TFD159"/>
      <c r="TFE159"/>
      <c r="TFF159"/>
      <c r="TFG159"/>
      <c r="TFH159"/>
      <c r="TFI159"/>
      <c r="TFJ159"/>
      <c r="TFK159"/>
      <c r="TFL159"/>
      <c r="TFM159"/>
      <c r="TFN159"/>
      <c r="TFO159"/>
      <c r="TFP159"/>
      <c r="TFQ159"/>
      <c r="TFR159"/>
      <c r="TFS159"/>
      <c r="TFT159"/>
      <c r="TFU159"/>
      <c r="TFV159"/>
      <c r="TFW159"/>
      <c r="TFX159"/>
      <c r="TFY159"/>
      <c r="TFZ159"/>
      <c r="TGA159"/>
      <c r="TGB159"/>
      <c r="TGC159"/>
      <c r="TGD159"/>
      <c r="TGE159"/>
      <c r="TGF159"/>
      <c r="TGG159"/>
      <c r="TGH159"/>
      <c r="TGI159"/>
      <c r="TGJ159"/>
      <c r="TGK159"/>
      <c r="TGL159"/>
      <c r="TGM159"/>
      <c r="TGN159"/>
      <c r="TGO159"/>
      <c r="TGP159"/>
      <c r="TGQ159"/>
      <c r="TGR159"/>
      <c r="TGS159"/>
      <c r="TGT159"/>
      <c r="TGU159"/>
      <c r="TGV159"/>
      <c r="TGW159"/>
      <c r="TGX159"/>
      <c r="TGY159"/>
      <c r="TGZ159"/>
      <c r="THA159"/>
      <c r="THB159"/>
      <c r="THC159"/>
      <c r="THD159"/>
      <c r="THE159"/>
      <c r="THF159"/>
      <c r="THG159"/>
      <c r="THH159"/>
      <c r="THI159"/>
      <c r="THJ159"/>
      <c r="THK159"/>
      <c r="THL159"/>
      <c r="THM159"/>
      <c r="THN159"/>
      <c r="THO159"/>
      <c r="THP159"/>
      <c r="THQ159"/>
      <c r="THR159"/>
      <c r="THS159"/>
      <c r="THT159"/>
      <c r="THU159"/>
      <c r="THV159"/>
      <c r="THW159"/>
      <c r="THX159"/>
      <c r="THY159"/>
      <c r="THZ159"/>
      <c r="TIA159"/>
      <c r="TIB159"/>
      <c r="TIC159"/>
      <c r="TID159"/>
      <c r="TIE159"/>
      <c r="TIF159"/>
      <c r="TIG159"/>
      <c r="TIH159"/>
      <c r="TII159"/>
      <c r="TIJ159"/>
      <c r="TIK159"/>
      <c r="TIL159"/>
      <c r="TIM159"/>
      <c r="TIN159"/>
      <c r="TIO159"/>
      <c r="TIP159"/>
      <c r="TIQ159"/>
      <c r="TIR159"/>
      <c r="TIS159"/>
      <c r="TIT159"/>
      <c r="TIU159"/>
      <c r="TIV159"/>
      <c r="TIW159"/>
      <c r="TIX159"/>
      <c r="TIY159"/>
      <c r="TIZ159"/>
      <c r="TJA159"/>
      <c r="TJB159"/>
      <c r="TJC159"/>
      <c r="TJD159"/>
      <c r="TJE159"/>
      <c r="TJF159"/>
      <c r="TJG159"/>
      <c r="TJH159"/>
      <c r="TJI159"/>
      <c r="TJJ159"/>
      <c r="TJK159"/>
      <c r="TJL159"/>
      <c r="TJM159"/>
      <c r="TJN159"/>
      <c r="TJO159"/>
      <c r="TJP159"/>
      <c r="TJQ159"/>
      <c r="TJR159"/>
      <c r="TJS159"/>
      <c r="TJT159"/>
      <c r="TJU159"/>
      <c r="TJV159"/>
      <c r="TJW159"/>
      <c r="TJX159"/>
      <c r="TJY159"/>
      <c r="TJZ159"/>
      <c r="TKA159"/>
      <c r="TKB159"/>
      <c r="TKC159"/>
      <c r="TKD159"/>
      <c r="TKE159"/>
      <c r="TKF159"/>
      <c r="TKG159"/>
      <c r="TKH159"/>
      <c r="TKI159"/>
      <c r="TKJ159"/>
      <c r="TKK159"/>
      <c r="TKL159"/>
      <c r="TKM159"/>
      <c r="TKN159"/>
      <c r="TKO159"/>
      <c r="TKP159"/>
      <c r="TKQ159"/>
      <c r="TKR159"/>
      <c r="TKS159"/>
      <c r="TKT159"/>
      <c r="TKU159"/>
      <c r="TKV159"/>
      <c r="TKW159"/>
      <c r="TKX159"/>
      <c r="TKY159"/>
      <c r="TKZ159"/>
      <c r="TLA159"/>
      <c r="TLB159"/>
      <c r="TLC159"/>
      <c r="TLD159"/>
      <c r="TLE159"/>
      <c r="TLF159"/>
      <c r="TLG159"/>
      <c r="TLH159"/>
      <c r="TLI159"/>
      <c r="TLJ159"/>
      <c r="TLK159"/>
      <c r="TLL159"/>
      <c r="TLM159"/>
      <c r="TLN159"/>
      <c r="TLO159"/>
      <c r="TLP159"/>
      <c r="TLQ159"/>
      <c r="TLR159"/>
      <c r="TLS159"/>
      <c r="TLT159"/>
      <c r="TLU159"/>
      <c r="TLV159"/>
      <c r="TLW159"/>
      <c r="TLX159"/>
      <c r="TLY159"/>
      <c r="TLZ159"/>
      <c r="TMA159"/>
      <c r="TMB159"/>
      <c r="TMC159"/>
      <c r="TMD159"/>
      <c r="TME159"/>
      <c r="TMF159"/>
      <c r="TMG159"/>
      <c r="TMH159"/>
      <c r="TMI159"/>
      <c r="TMJ159"/>
      <c r="TMK159"/>
      <c r="TML159"/>
      <c r="TMM159"/>
      <c r="TMN159"/>
      <c r="TMO159"/>
      <c r="TMP159"/>
      <c r="TMQ159"/>
      <c r="TMR159"/>
      <c r="TMS159"/>
      <c r="TMT159"/>
      <c r="TMU159"/>
      <c r="TMV159"/>
      <c r="TMW159"/>
      <c r="TMX159"/>
      <c r="TMY159"/>
      <c r="TMZ159"/>
      <c r="TNA159"/>
      <c r="TNB159"/>
      <c r="TNC159"/>
      <c r="TND159"/>
      <c r="TNE159"/>
      <c r="TNF159"/>
      <c r="TNG159"/>
      <c r="TNH159"/>
      <c r="TNI159"/>
      <c r="TNJ159"/>
      <c r="TNK159"/>
      <c r="TNL159"/>
      <c r="TNM159"/>
      <c r="TNN159"/>
      <c r="TNO159"/>
      <c r="TNP159"/>
      <c r="TNQ159"/>
      <c r="TNR159"/>
      <c r="TNS159"/>
      <c r="TNT159"/>
      <c r="TNU159"/>
      <c r="TNV159"/>
      <c r="TNW159"/>
      <c r="TNX159"/>
      <c r="TNY159"/>
      <c r="TNZ159"/>
      <c r="TOA159"/>
      <c r="TOB159"/>
      <c r="TOC159"/>
      <c r="TOD159"/>
      <c r="TOE159"/>
      <c r="TOF159"/>
      <c r="TOG159"/>
      <c r="TOH159"/>
      <c r="TOI159"/>
      <c r="TOJ159"/>
      <c r="TOK159"/>
      <c r="TOL159"/>
      <c r="TOM159"/>
      <c r="TON159"/>
      <c r="TOO159"/>
      <c r="TOP159"/>
      <c r="TOQ159"/>
      <c r="TOR159"/>
      <c r="TOS159"/>
      <c r="TOT159"/>
      <c r="TOU159"/>
      <c r="TOV159"/>
      <c r="TOW159"/>
      <c r="TOX159"/>
      <c r="TOY159"/>
      <c r="TOZ159"/>
      <c r="TPA159"/>
      <c r="TPB159"/>
      <c r="TPC159"/>
      <c r="TPD159"/>
      <c r="TPE159"/>
      <c r="TPF159"/>
      <c r="TPG159"/>
      <c r="TPH159"/>
      <c r="TPI159"/>
      <c r="TPJ159"/>
      <c r="TPK159"/>
      <c r="TPL159"/>
      <c r="TPM159"/>
      <c r="TPN159"/>
      <c r="TPO159"/>
      <c r="TPP159"/>
      <c r="TPQ159"/>
      <c r="TPR159"/>
      <c r="TPS159"/>
      <c r="TPT159"/>
      <c r="TPU159"/>
      <c r="TPV159"/>
      <c r="TPW159"/>
      <c r="TPX159"/>
      <c r="TPY159"/>
      <c r="TPZ159"/>
      <c r="TQA159"/>
      <c r="TQB159"/>
      <c r="TQC159"/>
      <c r="TQD159"/>
      <c r="TQE159"/>
      <c r="TQF159"/>
      <c r="TQG159"/>
      <c r="TQH159"/>
      <c r="TQI159"/>
      <c r="TQJ159"/>
      <c r="TQK159"/>
      <c r="TQL159"/>
      <c r="TQM159"/>
      <c r="TQN159"/>
      <c r="TQO159"/>
      <c r="TQP159"/>
      <c r="TQQ159"/>
      <c r="TQR159"/>
      <c r="TQS159"/>
      <c r="TQT159"/>
      <c r="TQU159"/>
      <c r="TQV159"/>
      <c r="TQW159"/>
      <c r="TQX159"/>
      <c r="TQY159"/>
      <c r="TQZ159"/>
      <c r="TRA159"/>
      <c r="TRB159"/>
      <c r="TRC159"/>
      <c r="TRD159"/>
      <c r="TRE159"/>
      <c r="TRF159"/>
      <c r="TRG159"/>
      <c r="TRH159"/>
      <c r="TRI159"/>
      <c r="TRJ159"/>
      <c r="TRK159"/>
      <c r="TRL159"/>
      <c r="TRM159"/>
      <c r="TRN159"/>
      <c r="TRO159"/>
      <c r="TRP159"/>
      <c r="TRQ159"/>
      <c r="TRR159"/>
      <c r="TRS159"/>
      <c r="TRT159"/>
      <c r="TRU159"/>
      <c r="TRV159"/>
      <c r="TRW159"/>
      <c r="TRX159"/>
      <c r="TRY159"/>
      <c r="TRZ159"/>
      <c r="TSA159"/>
      <c r="TSB159"/>
      <c r="TSC159"/>
      <c r="TSD159"/>
      <c r="TSE159"/>
      <c r="TSF159"/>
      <c r="TSG159"/>
      <c r="TSH159"/>
      <c r="TSI159"/>
      <c r="TSJ159"/>
      <c r="TSK159"/>
      <c r="TSL159"/>
      <c r="TSM159"/>
      <c r="TSN159"/>
      <c r="TSO159"/>
      <c r="TSP159"/>
      <c r="TSQ159"/>
      <c r="TSR159"/>
      <c r="TSS159"/>
      <c r="TST159"/>
      <c r="TSU159"/>
      <c r="TSV159"/>
      <c r="TSW159"/>
      <c r="TSX159"/>
      <c r="TSY159"/>
      <c r="TSZ159"/>
      <c r="TTA159"/>
      <c r="TTB159"/>
      <c r="TTC159"/>
      <c r="TTD159"/>
      <c r="TTE159"/>
      <c r="TTF159"/>
      <c r="TTG159"/>
      <c r="TTH159"/>
      <c r="TTI159"/>
      <c r="TTJ159"/>
      <c r="TTK159"/>
      <c r="TTL159"/>
      <c r="TTM159"/>
      <c r="TTN159"/>
      <c r="TTO159"/>
      <c r="TTP159"/>
      <c r="TTQ159"/>
      <c r="TTR159"/>
      <c r="TTS159"/>
      <c r="TTT159"/>
      <c r="TTU159"/>
      <c r="TTV159"/>
      <c r="TTW159"/>
      <c r="TTX159"/>
      <c r="TTY159"/>
      <c r="TTZ159"/>
      <c r="TUA159"/>
      <c r="TUB159"/>
      <c r="TUC159"/>
      <c r="TUD159"/>
      <c r="TUE159"/>
      <c r="TUF159"/>
      <c r="TUG159"/>
      <c r="TUH159"/>
      <c r="TUI159"/>
      <c r="TUJ159"/>
      <c r="TUK159"/>
      <c r="TUL159"/>
      <c r="TUM159"/>
      <c r="TUN159"/>
      <c r="TUO159"/>
      <c r="TUP159"/>
      <c r="TUQ159"/>
      <c r="TUR159"/>
      <c r="TUS159"/>
      <c r="TUT159"/>
      <c r="TUU159"/>
      <c r="TUV159"/>
      <c r="TUW159"/>
      <c r="TUX159"/>
      <c r="TUY159"/>
      <c r="TUZ159"/>
      <c r="TVA159"/>
      <c r="TVB159"/>
      <c r="TVC159"/>
      <c r="TVD159"/>
      <c r="TVE159"/>
      <c r="TVF159"/>
      <c r="TVG159"/>
      <c r="TVH159"/>
      <c r="TVI159"/>
      <c r="TVJ159"/>
      <c r="TVK159"/>
      <c r="TVL159"/>
      <c r="TVM159"/>
      <c r="TVN159"/>
      <c r="TVO159"/>
      <c r="TVP159"/>
      <c r="TVQ159"/>
      <c r="TVR159"/>
      <c r="TVS159"/>
      <c r="TVT159"/>
      <c r="TVU159"/>
      <c r="TVV159"/>
      <c r="TVW159"/>
      <c r="TVX159"/>
      <c r="TVY159"/>
      <c r="TVZ159"/>
      <c r="TWA159"/>
      <c r="TWB159"/>
      <c r="TWC159"/>
      <c r="TWD159"/>
      <c r="TWE159"/>
      <c r="TWF159"/>
      <c r="TWG159"/>
      <c r="TWH159"/>
      <c r="TWI159"/>
      <c r="TWJ159"/>
      <c r="TWK159"/>
      <c r="TWL159"/>
      <c r="TWM159"/>
      <c r="TWN159"/>
      <c r="TWO159"/>
      <c r="TWP159"/>
      <c r="TWQ159"/>
      <c r="TWR159"/>
      <c r="TWS159"/>
      <c r="TWT159"/>
      <c r="TWU159"/>
      <c r="TWV159"/>
      <c r="TWW159"/>
      <c r="TWX159"/>
      <c r="TWY159"/>
      <c r="TWZ159"/>
      <c r="TXA159"/>
      <c r="TXB159"/>
      <c r="TXC159"/>
      <c r="TXD159"/>
      <c r="TXE159"/>
      <c r="TXF159"/>
      <c r="TXG159"/>
      <c r="TXH159"/>
      <c r="TXI159"/>
      <c r="TXJ159"/>
      <c r="TXK159"/>
      <c r="TXL159"/>
      <c r="TXM159"/>
      <c r="TXN159"/>
      <c r="TXO159"/>
      <c r="TXP159"/>
      <c r="TXQ159"/>
      <c r="TXR159"/>
      <c r="TXS159"/>
      <c r="TXT159"/>
      <c r="TXU159"/>
      <c r="TXV159"/>
      <c r="TXW159"/>
      <c r="TXX159"/>
      <c r="TXY159"/>
      <c r="TXZ159"/>
      <c r="TYA159"/>
      <c r="TYB159"/>
      <c r="TYC159"/>
      <c r="TYD159"/>
      <c r="TYE159"/>
      <c r="TYF159"/>
      <c r="TYG159"/>
      <c r="TYH159"/>
      <c r="TYI159"/>
      <c r="TYJ159"/>
      <c r="TYK159"/>
      <c r="TYL159"/>
      <c r="TYM159"/>
      <c r="TYN159"/>
      <c r="TYO159"/>
      <c r="TYP159"/>
      <c r="TYQ159"/>
      <c r="TYR159"/>
      <c r="TYS159"/>
      <c r="TYT159"/>
      <c r="TYU159"/>
      <c r="TYV159"/>
      <c r="TYW159"/>
      <c r="TYX159"/>
      <c r="TYY159"/>
      <c r="TYZ159"/>
      <c r="TZA159"/>
      <c r="TZB159"/>
      <c r="TZC159"/>
      <c r="TZD159"/>
      <c r="TZE159"/>
      <c r="TZF159"/>
      <c r="TZG159"/>
      <c r="TZH159"/>
      <c r="TZI159"/>
      <c r="TZJ159"/>
      <c r="TZK159"/>
      <c r="TZL159"/>
      <c r="TZM159"/>
      <c r="TZN159"/>
      <c r="TZO159"/>
      <c r="TZP159"/>
      <c r="TZQ159"/>
      <c r="TZR159"/>
      <c r="TZS159"/>
      <c r="TZT159"/>
      <c r="TZU159"/>
      <c r="TZV159"/>
      <c r="TZW159"/>
      <c r="TZX159"/>
      <c r="TZY159"/>
      <c r="TZZ159"/>
      <c r="UAA159"/>
      <c r="UAB159"/>
      <c r="UAC159"/>
      <c r="UAD159"/>
      <c r="UAE159"/>
      <c r="UAF159"/>
      <c r="UAG159"/>
      <c r="UAH159"/>
      <c r="UAI159"/>
      <c r="UAJ159"/>
      <c r="UAK159"/>
      <c r="UAL159"/>
      <c r="UAM159"/>
      <c r="UAN159"/>
      <c r="UAO159"/>
      <c r="UAP159"/>
      <c r="UAQ159"/>
      <c r="UAR159"/>
      <c r="UAS159"/>
      <c r="UAT159"/>
      <c r="UAU159"/>
      <c r="UAV159"/>
      <c r="UAW159"/>
      <c r="UAX159"/>
      <c r="UAY159"/>
      <c r="UAZ159"/>
      <c r="UBA159"/>
      <c r="UBB159"/>
      <c r="UBC159"/>
      <c r="UBD159"/>
      <c r="UBE159"/>
      <c r="UBF159"/>
      <c r="UBG159"/>
      <c r="UBH159"/>
      <c r="UBI159"/>
      <c r="UBJ159"/>
      <c r="UBK159"/>
      <c r="UBL159"/>
      <c r="UBM159"/>
      <c r="UBN159"/>
      <c r="UBO159"/>
      <c r="UBP159"/>
      <c r="UBQ159"/>
      <c r="UBR159"/>
      <c r="UBS159"/>
      <c r="UBT159"/>
      <c r="UBU159"/>
      <c r="UBV159"/>
      <c r="UBW159"/>
      <c r="UBX159"/>
      <c r="UBY159"/>
      <c r="UBZ159"/>
      <c r="UCA159"/>
      <c r="UCB159"/>
      <c r="UCC159"/>
      <c r="UCD159"/>
      <c r="UCE159"/>
      <c r="UCF159"/>
      <c r="UCG159"/>
      <c r="UCH159"/>
      <c r="UCI159"/>
      <c r="UCJ159"/>
      <c r="UCK159"/>
      <c r="UCL159"/>
      <c r="UCM159"/>
      <c r="UCN159"/>
      <c r="UCO159"/>
      <c r="UCP159"/>
      <c r="UCQ159"/>
      <c r="UCR159"/>
      <c r="UCS159"/>
      <c r="UCT159"/>
      <c r="UCU159"/>
      <c r="UCV159"/>
      <c r="UCW159"/>
      <c r="UCX159"/>
      <c r="UCY159"/>
      <c r="UCZ159"/>
      <c r="UDA159"/>
      <c r="UDB159"/>
      <c r="UDC159"/>
      <c r="UDD159"/>
      <c r="UDE159"/>
      <c r="UDF159"/>
      <c r="UDG159"/>
      <c r="UDH159"/>
      <c r="UDI159"/>
      <c r="UDJ159"/>
      <c r="UDK159"/>
      <c r="UDL159"/>
      <c r="UDM159"/>
      <c r="UDN159"/>
      <c r="UDO159"/>
      <c r="UDP159"/>
      <c r="UDQ159"/>
      <c r="UDR159"/>
      <c r="UDS159"/>
      <c r="UDT159"/>
      <c r="UDU159"/>
      <c r="UDV159"/>
      <c r="UDW159"/>
      <c r="UDX159"/>
      <c r="UDY159"/>
      <c r="UDZ159"/>
      <c r="UEA159"/>
      <c r="UEB159"/>
      <c r="UEC159"/>
      <c r="UED159"/>
      <c r="UEE159"/>
      <c r="UEF159"/>
      <c r="UEG159"/>
      <c r="UEH159"/>
      <c r="UEI159"/>
      <c r="UEJ159"/>
      <c r="UEK159"/>
      <c r="UEL159"/>
      <c r="UEM159"/>
      <c r="UEN159"/>
      <c r="UEO159"/>
      <c r="UEP159"/>
      <c r="UEQ159"/>
      <c r="UER159"/>
      <c r="UES159"/>
      <c r="UET159"/>
      <c r="UEU159"/>
      <c r="UEV159"/>
      <c r="UEW159"/>
      <c r="UEX159"/>
      <c r="UEY159"/>
      <c r="UEZ159"/>
      <c r="UFA159"/>
      <c r="UFB159"/>
      <c r="UFC159"/>
      <c r="UFD159"/>
      <c r="UFE159"/>
      <c r="UFF159"/>
      <c r="UFG159"/>
      <c r="UFH159"/>
      <c r="UFI159"/>
      <c r="UFJ159"/>
      <c r="UFK159"/>
      <c r="UFL159"/>
      <c r="UFM159"/>
      <c r="UFN159"/>
      <c r="UFO159"/>
      <c r="UFP159"/>
      <c r="UFQ159"/>
      <c r="UFR159"/>
      <c r="UFS159"/>
      <c r="UFT159"/>
      <c r="UFU159"/>
      <c r="UFV159"/>
      <c r="UFW159"/>
      <c r="UFX159"/>
      <c r="UFY159"/>
      <c r="UFZ159"/>
      <c r="UGA159"/>
      <c r="UGB159"/>
      <c r="UGC159"/>
      <c r="UGD159"/>
      <c r="UGE159"/>
      <c r="UGF159"/>
      <c r="UGG159"/>
      <c r="UGH159"/>
      <c r="UGI159"/>
      <c r="UGJ159"/>
      <c r="UGK159"/>
      <c r="UGL159"/>
      <c r="UGM159"/>
      <c r="UGN159"/>
      <c r="UGO159"/>
      <c r="UGP159"/>
      <c r="UGQ159"/>
      <c r="UGR159"/>
      <c r="UGS159"/>
      <c r="UGT159"/>
      <c r="UGU159"/>
      <c r="UGV159"/>
      <c r="UGW159"/>
      <c r="UGX159"/>
      <c r="UGY159"/>
      <c r="UGZ159"/>
      <c r="UHA159"/>
      <c r="UHB159"/>
      <c r="UHC159"/>
      <c r="UHD159"/>
      <c r="UHE159"/>
      <c r="UHF159"/>
      <c r="UHG159"/>
      <c r="UHH159"/>
      <c r="UHI159"/>
      <c r="UHJ159"/>
      <c r="UHK159"/>
      <c r="UHL159"/>
      <c r="UHM159"/>
      <c r="UHN159"/>
      <c r="UHO159"/>
      <c r="UHP159"/>
      <c r="UHQ159"/>
      <c r="UHR159"/>
      <c r="UHS159"/>
      <c r="UHT159"/>
      <c r="UHU159"/>
      <c r="UHV159"/>
      <c r="UHW159"/>
      <c r="UHX159"/>
      <c r="UHY159"/>
      <c r="UHZ159"/>
      <c r="UIA159"/>
      <c r="UIB159"/>
      <c r="UIC159"/>
      <c r="UID159"/>
      <c r="UIE159"/>
      <c r="UIF159"/>
      <c r="UIG159"/>
      <c r="UIH159"/>
      <c r="UII159"/>
      <c r="UIJ159"/>
      <c r="UIK159"/>
      <c r="UIL159"/>
      <c r="UIM159"/>
      <c r="UIN159"/>
      <c r="UIO159"/>
      <c r="UIP159"/>
      <c r="UIQ159"/>
      <c r="UIR159"/>
      <c r="UIS159"/>
      <c r="UIT159"/>
      <c r="UIU159"/>
      <c r="UIV159"/>
      <c r="UIW159"/>
      <c r="UIX159"/>
      <c r="UIY159"/>
      <c r="UIZ159"/>
      <c r="UJA159"/>
      <c r="UJB159"/>
      <c r="UJC159"/>
      <c r="UJD159"/>
      <c r="UJE159"/>
      <c r="UJF159"/>
      <c r="UJG159"/>
      <c r="UJH159"/>
      <c r="UJI159"/>
      <c r="UJJ159"/>
      <c r="UJK159"/>
      <c r="UJL159"/>
      <c r="UJM159"/>
      <c r="UJN159"/>
      <c r="UJO159"/>
      <c r="UJP159"/>
      <c r="UJQ159"/>
      <c r="UJR159"/>
      <c r="UJS159"/>
      <c r="UJT159"/>
      <c r="UJU159"/>
      <c r="UJV159"/>
      <c r="UJW159"/>
      <c r="UJX159"/>
      <c r="UJY159"/>
      <c r="UJZ159"/>
      <c r="UKA159"/>
      <c r="UKB159"/>
      <c r="UKC159"/>
      <c r="UKD159"/>
      <c r="UKE159"/>
      <c r="UKF159"/>
      <c r="UKG159"/>
      <c r="UKH159"/>
      <c r="UKI159"/>
      <c r="UKJ159"/>
      <c r="UKK159"/>
      <c r="UKL159"/>
      <c r="UKM159"/>
      <c r="UKN159"/>
      <c r="UKO159"/>
      <c r="UKP159"/>
      <c r="UKQ159"/>
      <c r="UKR159"/>
      <c r="UKS159"/>
      <c r="UKT159"/>
      <c r="UKU159"/>
      <c r="UKV159"/>
      <c r="UKW159"/>
      <c r="UKX159"/>
      <c r="UKY159"/>
      <c r="UKZ159"/>
      <c r="ULA159"/>
      <c r="ULB159"/>
      <c r="ULC159"/>
      <c r="ULD159"/>
      <c r="ULE159"/>
      <c r="ULF159"/>
      <c r="ULG159"/>
      <c r="ULH159"/>
      <c r="ULI159"/>
      <c r="ULJ159"/>
      <c r="ULK159"/>
      <c r="ULL159"/>
      <c r="ULM159"/>
      <c r="ULN159"/>
      <c r="ULO159"/>
      <c r="ULP159"/>
      <c r="ULQ159"/>
      <c r="ULR159"/>
      <c r="ULS159"/>
      <c r="ULT159"/>
      <c r="ULU159"/>
      <c r="ULV159"/>
      <c r="ULW159"/>
      <c r="ULX159"/>
      <c r="ULY159"/>
      <c r="ULZ159"/>
      <c r="UMA159"/>
      <c r="UMB159"/>
      <c r="UMC159"/>
      <c r="UMD159"/>
      <c r="UME159"/>
      <c r="UMF159"/>
      <c r="UMG159"/>
      <c r="UMH159"/>
      <c r="UMI159"/>
      <c r="UMJ159"/>
      <c r="UMK159"/>
      <c r="UML159"/>
      <c r="UMM159"/>
      <c r="UMN159"/>
      <c r="UMO159"/>
      <c r="UMP159"/>
      <c r="UMQ159"/>
      <c r="UMR159"/>
      <c r="UMS159"/>
      <c r="UMT159"/>
      <c r="UMU159"/>
      <c r="UMV159"/>
      <c r="UMW159"/>
      <c r="UMX159"/>
      <c r="UMY159"/>
      <c r="UMZ159"/>
      <c r="UNA159"/>
      <c r="UNB159"/>
      <c r="UNC159"/>
      <c r="UND159"/>
      <c r="UNE159"/>
      <c r="UNF159"/>
      <c r="UNG159"/>
      <c r="UNH159"/>
      <c r="UNI159"/>
      <c r="UNJ159"/>
      <c r="UNK159"/>
      <c r="UNL159"/>
      <c r="UNM159"/>
      <c r="UNN159"/>
      <c r="UNO159"/>
      <c r="UNP159"/>
      <c r="UNQ159"/>
      <c r="UNR159"/>
      <c r="UNS159"/>
      <c r="UNT159"/>
      <c r="UNU159"/>
      <c r="UNV159"/>
      <c r="UNW159"/>
      <c r="UNX159"/>
      <c r="UNY159"/>
      <c r="UNZ159"/>
      <c r="UOA159"/>
      <c r="UOB159"/>
      <c r="UOC159"/>
      <c r="UOD159"/>
      <c r="UOE159"/>
      <c r="UOF159"/>
      <c r="UOG159"/>
      <c r="UOH159"/>
      <c r="UOI159"/>
      <c r="UOJ159"/>
      <c r="UOK159"/>
      <c r="UOL159"/>
      <c r="UOM159"/>
      <c r="UON159"/>
      <c r="UOO159"/>
      <c r="UOP159"/>
      <c r="UOQ159"/>
      <c r="UOR159"/>
      <c r="UOS159"/>
      <c r="UOT159"/>
      <c r="UOU159"/>
      <c r="UOV159"/>
      <c r="UOW159"/>
      <c r="UOX159"/>
      <c r="UOY159"/>
      <c r="UOZ159"/>
      <c r="UPA159"/>
      <c r="UPB159"/>
      <c r="UPC159"/>
      <c r="UPD159"/>
      <c r="UPE159"/>
      <c r="UPF159"/>
      <c r="UPG159"/>
      <c r="UPH159"/>
      <c r="UPI159"/>
      <c r="UPJ159"/>
      <c r="UPK159"/>
      <c r="UPL159"/>
      <c r="UPM159"/>
      <c r="UPN159"/>
      <c r="UPO159"/>
      <c r="UPP159"/>
      <c r="UPQ159"/>
      <c r="UPR159"/>
      <c r="UPS159"/>
      <c r="UPT159"/>
      <c r="UPU159"/>
      <c r="UPV159"/>
      <c r="UPW159"/>
      <c r="UPX159"/>
      <c r="UPY159"/>
      <c r="UPZ159"/>
      <c r="UQA159"/>
      <c r="UQB159"/>
      <c r="UQC159"/>
      <c r="UQD159"/>
      <c r="UQE159"/>
      <c r="UQF159"/>
      <c r="UQG159"/>
      <c r="UQH159"/>
      <c r="UQI159"/>
      <c r="UQJ159"/>
      <c r="UQK159"/>
      <c r="UQL159"/>
      <c r="UQM159"/>
      <c r="UQN159"/>
      <c r="UQO159"/>
      <c r="UQP159"/>
      <c r="UQQ159"/>
      <c r="UQR159"/>
      <c r="UQS159"/>
      <c r="UQT159"/>
      <c r="UQU159"/>
      <c r="UQV159"/>
      <c r="UQW159"/>
      <c r="UQX159"/>
      <c r="UQY159"/>
      <c r="UQZ159"/>
      <c r="URA159"/>
      <c r="URB159"/>
      <c r="URC159"/>
      <c r="URD159"/>
      <c r="URE159"/>
      <c r="URF159"/>
      <c r="URG159"/>
      <c r="URH159"/>
      <c r="URI159"/>
      <c r="URJ159"/>
      <c r="URK159"/>
      <c r="URL159"/>
      <c r="URM159"/>
      <c r="URN159"/>
      <c r="URO159"/>
      <c r="URP159"/>
      <c r="URQ159"/>
      <c r="URR159"/>
      <c r="URS159"/>
      <c r="URT159"/>
      <c r="URU159"/>
      <c r="URV159"/>
      <c r="URW159"/>
      <c r="URX159"/>
      <c r="URY159"/>
      <c r="URZ159"/>
      <c r="USA159"/>
      <c r="USB159"/>
      <c r="USC159"/>
      <c r="USD159"/>
      <c r="USE159"/>
      <c r="USF159"/>
      <c r="USG159"/>
      <c r="USH159"/>
      <c r="USI159"/>
      <c r="USJ159"/>
      <c r="USK159"/>
      <c r="USL159"/>
      <c r="USM159"/>
      <c r="USN159"/>
      <c r="USO159"/>
      <c r="USP159"/>
      <c r="USQ159"/>
      <c r="USR159"/>
      <c r="USS159"/>
      <c r="UST159"/>
      <c r="USU159"/>
      <c r="USV159"/>
      <c r="USW159"/>
      <c r="USX159"/>
      <c r="USY159"/>
      <c r="USZ159"/>
      <c r="UTA159"/>
      <c r="UTB159"/>
      <c r="UTC159"/>
      <c r="UTD159"/>
      <c r="UTE159"/>
      <c r="UTF159"/>
      <c r="UTG159"/>
      <c r="UTH159"/>
      <c r="UTI159"/>
      <c r="UTJ159"/>
      <c r="UTK159"/>
      <c r="UTL159"/>
      <c r="UTM159"/>
      <c r="UTN159"/>
      <c r="UTO159"/>
      <c r="UTP159"/>
      <c r="UTQ159"/>
      <c r="UTR159"/>
      <c r="UTS159"/>
      <c r="UTT159"/>
      <c r="UTU159"/>
      <c r="UTV159"/>
      <c r="UTW159"/>
      <c r="UTX159"/>
      <c r="UTY159"/>
      <c r="UTZ159"/>
      <c r="UUA159"/>
      <c r="UUB159"/>
      <c r="UUC159"/>
      <c r="UUD159"/>
      <c r="UUE159"/>
      <c r="UUF159"/>
      <c r="UUG159"/>
      <c r="UUH159"/>
      <c r="UUI159"/>
      <c r="UUJ159"/>
      <c r="UUK159"/>
      <c r="UUL159"/>
      <c r="UUM159"/>
      <c r="UUN159"/>
      <c r="UUO159"/>
      <c r="UUP159"/>
      <c r="UUQ159"/>
      <c r="UUR159"/>
      <c r="UUS159"/>
      <c r="UUT159"/>
      <c r="UUU159"/>
      <c r="UUV159"/>
      <c r="UUW159"/>
      <c r="UUX159"/>
      <c r="UUY159"/>
      <c r="UUZ159"/>
      <c r="UVA159"/>
      <c r="UVB159"/>
      <c r="UVC159"/>
      <c r="UVD159"/>
      <c r="UVE159"/>
      <c r="UVF159"/>
      <c r="UVG159"/>
      <c r="UVH159"/>
      <c r="UVI159"/>
      <c r="UVJ159"/>
      <c r="UVK159"/>
      <c r="UVL159"/>
      <c r="UVM159"/>
      <c r="UVN159"/>
      <c r="UVO159"/>
      <c r="UVP159"/>
      <c r="UVQ159"/>
      <c r="UVR159"/>
      <c r="UVS159"/>
      <c r="UVT159"/>
      <c r="UVU159"/>
      <c r="UVV159"/>
      <c r="UVW159"/>
      <c r="UVX159"/>
      <c r="UVY159"/>
      <c r="UVZ159"/>
      <c r="UWA159"/>
      <c r="UWB159"/>
      <c r="UWC159"/>
      <c r="UWD159"/>
      <c r="UWE159"/>
      <c r="UWF159"/>
      <c r="UWG159"/>
      <c r="UWH159"/>
      <c r="UWI159"/>
      <c r="UWJ159"/>
      <c r="UWK159"/>
      <c r="UWL159"/>
      <c r="UWM159"/>
      <c r="UWN159"/>
      <c r="UWO159"/>
      <c r="UWP159"/>
      <c r="UWQ159"/>
      <c r="UWR159"/>
      <c r="UWS159"/>
      <c r="UWT159"/>
      <c r="UWU159"/>
      <c r="UWV159"/>
      <c r="UWW159"/>
      <c r="UWX159"/>
      <c r="UWY159"/>
      <c r="UWZ159"/>
      <c r="UXA159"/>
      <c r="UXB159"/>
      <c r="UXC159"/>
      <c r="UXD159"/>
      <c r="UXE159"/>
      <c r="UXF159"/>
      <c r="UXG159"/>
      <c r="UXH159"/>
      <c r="UXI159"/>
      <c r="UXJ159"/>
      <c r="UXK159"/>
      <c r="UXL159"/>
      <c r="UXM159"/>
      <c r="UXN159"/>
      <c r="UXO159"/>
      <c r="UXP159"/>
      <c r="UXQ159"/>
      <c r="UXR159"/>
      <c r="UXS159"/>
      <c r="UXT159"/>
      <c r="UXU159"/>
      <c r="UXV159"/>
      <c r="UXW159"/>
      <c r="UXX159"/>
      <c r="UXY159"/>
      <c r="UXZ159"/>
      <c r="UYA159"/>
      <c r="UYB159"/>
      <c r="UYC159"/>
      <c r="UYD159"/>
      <c r="UYE159"/>
      <c r="UYF159"/>
      <c r="UYG159"/>
      <c r="UYH159"/>
      <c r="UYI159"/>
      <c r="UYJ159"/>
      <c r="UYK159"/>
      <c r="UYL159"/>
      <c r="UYM159"/>
      <c r="UYN159"/>
      <c r="UYO159"/>
      <c r="UYP159"/>
      <c r="UYQ159"/>
      <c r="UYR159"/>
      <c r="UYS159"/>
      <c r="UYT159"/>
      <c r="UYU159"/>
      <c r="UYV159"/>
      <c r="UYW159"/>
      <c r="UYX159"/>
      <c r="UYY159"/>
      <c r="UYZ159"/>
      <c r="UZA159"/>
      <c r="UZB159"/>
      <c r="UZC159"/>
      <c r="UZD159"/>
      <c r="UZE159"/>
      <c r="UZF159"/>
      <c r="UZG159"/>
      <c r="UZH159"/>
      <c r="UZI159"/>
      <c r="UZJ159"/>
      <c r="UZK159"/>
      <c r="UZL159"/>
      <c r="UZM159"/>
      <c r="UZN159"/>
      <c r="UZO159"/>
      <c r="UZP159"/>
      <c r="UZQ159"/>
      <c r="UZR159"/>
      <c r="UZS159"/>
      <c r="UZT159"/>
      <c r="UZU159"/>
      <c r="UZV159"/>
      <c r="UZW159"/>
      <c r="UZX159"/>
      <c r="UZY159"/>
      <c r="UZZ159"/>
      <c r="VAA159"/>
      <c r="VAB159"/>
      <c r="VAC159"/>
      <c r="VAD159"/>
      <c r="VAE159"/>
      <c r="VAF159"/>
      <c r="VAG159"/>
      <c r="VAH159"/>
      <c r="VAI159"/>
      <c r="VAJ159"/>
      <c r="VAK159"/>
      <c r="VAL159"/>
      <c r="VAM159"/>
      <c r="VAN159"/>
      <c r="VAO159"/>
      <c r="VAP159"/>
      <c r="VAQ159"/>
      <c r="VAR159"/>
      <c r="VAS159"/>
      <c r="VAT159"/>
      <c r="VAU159"/>
      <c r="VAV159"/>
      <c r="VAW159"/>
      <c r="VAX159"/>
      <c r="VAY159"/>
      <c r="VAZ159"/>
      <c r="VBA159"/>
      <c r="VBB159"/>
      <c r="VBC159"/>
      <c r="VBD159"/>
      <c r="VBE159"/>
      <c r="VBF159"/>
      <c r="VBG159"/>
      <c r="VBH159"/>
      <c r="VBI159"/>
      <c r="VBJ159"/>
      <c r="VBK159"/>
      <c r="VBL159"/>
      <c r="VBM159"/>
      <c r="VBN159"/>
      <c r="VBO159"/>
      <c r="VBP159"/>
      <c r="VBQ159"/>
      <c r="VBR159"/>
      <c r="VBS159"/>
      <c r="VBT159"/>
      <c r="VBU159"/>
      <c r="VBV159"/>
      <c r="VBW159"/>
      <c r="VBX159"/>
      <c r="VBY159"/>
      <c r="VBZ159"/>
      <c r="VCA159"/>
      <c r="VCB159"/>
      <c r="VCC159"/>
      <c r="VCD159"/>
      <c r="VCE159"/>
      <c r="VCF159"/>
      <c r="VCG159"/>
      <c r="VCH159"/>
      <c r="VCI159"/>
      <c r="VCJ159"/>
      <c r="VCK159"/>
      <c r="VCL159"/>
      <c r="VCM159"/>
      <c r="VCN159"/>
      <c r="VCO159"/>
      <c r="VCP159"/>
      <c r="VCQ159"/>
      <c r="VCR159"/>
      <c r="VCS159"/>
      <c r="VCT159"/>
      <c r="VCU159"/>
      <c r="VCV159"/>
      <c r="VCW159"/>
      <c r="VCX159"/>
      <c r="VCY159"/>
      <c r="VCZ159"/>
      <c r="VDA159"/>
      <c r="VDB159"/>
      <c r="VDC159"/>
      <c r="VDD159"/>
      <c r="VDE159"/>
      <c r="VDF159"/>
      <c r="VDG159"/>
      <c r="VDH159"/>
      <c r="VDI159"/>
      <c r="VDJ159"/>
      <c r="VDK159"/>
      <c r="VDL159"/>
      <c r="VDM159"/>
      <c r="VDN159"/>
      <c r="VDO159"/>
      <c r="VDP159"/>
      <c r="VDQ159"/>
      <c r="VDR159"/>
      <c r="VDS159"/>
      <c r="VDT159"/>
      <c r="VDU159"/>
      <c r="VDV159"/>
      <c r="VDW159"/>
      <c r="VDX159"/>
      <c r="VDY159"/>
      <c r="VDZ159"/>
      <c r="VEA159"/>
      <c r="VEB159"/>
      <c r="VEC159"/>
      <c r="VED159"/>
      <c r="VEE159"/>
      <c r="VEF159"/>
      <c r="VEG159"/>
      <c r="VEH159"/>
      <c r="VEI159"/>
      <c r="VEJ159"/>
      <c r="VEK159"/>
      <c r="VEL159"/>
      <c r="VEM159"/>
      <c r="VEN159"/>
      <c r="VEO159"/>
      <c r="VEP159"/>
      <c r="VEQ159"/>
      <c r="VER159"/>
      <c r="VES159"/>
      <c r="VET159"/>
      <c r="VEU159"/>
      <c r="VEV159"/>
      <c r="VEW159"/>
      <c r="VEX159"/>
      <c r="VEY159"/>
      <c r="VEZ159"/>
      <c r="VFA159"/>
      <c r="VFB159"/>
      <c r="VFC159"/>
      <c r="VFD159"/>
      <c r="VFE159"/>
      <c r="VFF159"/>
      <c r="VFG159"/>
      <c r="VFH159"/>
      <c r="VFI159"/>
      <c r="VFJ159"/>
      <c r="VFK159"/>
      <c r="VFL159"/>
      <c r="VFM159"/>
      <c r="VFN159"/>
      <c r="VFO159"/>
      <c r="VFP159"/>
      <c r="VFQ159"/>
      <c r="VFR159"/>
      <c r="VFS159"/>
      <c r="VFT159"/>
      <c r="VFU159"/>
      <c r="VFV159"/>
      <c r="VFW159"/>
      <c r="VFX159"/>
      <c r="VFY159"/>
      <c r="VFZ159"/>
      <c r="VGA159"/>
      <c r="VGB159"/>
      <c r="VGC159"/>
      <c r="VGD159"/>
      <c r="VGE159"/>
      <c r="VGF159"/>
      <c r="VGG159"/>
      <c r="VGH159"/>
      <c r="VGI159"/>
      <c r="VGJ159"/>
      <c r="VGK159"/>
      <c r="VGL159"/>
      <c r="VGM159"/>
      <c r="VGN159"/>
      <c r="VGO159"/>
      <c r="VGP159"/>
      <c r="VGQ159"/>
      <c r="VGR159"/>
      <c r="VGS159"/>
      <c r="VGT159"/>
      <c r="VGU159"/>
      <c r="VGV159"/>
      <c r="VGW159"/>
      <c r="VGX159"/>
      <c r="VGY159"/>
      <c r="VGZ159"/>
      <c r="VHA159"/>
      <c r="VHB159"/>
      <c r="VHC159"/>
      <c r="VHD159"/>
      <c r="VHE159"/>
      <c r="VHF159"/>
      <c r="VHG159"/>
      <c r="VHH159"/>
      <c r="VHI159"/>
      <c r="VHJ159"/>
      <c r="VHK159"/>
      <c r="VHL159"/>
      <c r="VHM159"/>
      <c r="VHN159"/>
      <c r="VHO159"/>
      <c r="VHP159"/>
      <c r="VHQ159"/>
      <c r="VHR159"/>
      <c r="VHS159"/>
      <c r="VHT159"/>
      <c r="VHU159"/>
      <c r="VHV159"/>
      <c r="VHW159"/>
      <c r="VHX159"/>
      <c r="VHY159"/>
      <c r="VHZ159"/>
      <c r="VIA159"/>
      <c r="VIB159"/>
      <c r="VIC159"/>
      <c r="VID159"/>
      <c r="VIE159"/>
      <c r="VIF159"/>
      <c r="VIG159"/>
      <c r="VIH159"/>
      <c r="VII159"/>
      <c r="VIJ159"/>
      <c r="VIK159"/>
      <c r="VIL159"/>
      <c r="VIM159"/>
      <c r="VIN159"/>
      <c r="VIO159"/>
      <c r="VIP159"/>
      <c r="VIQ159"/>
      <c r="VIR159"/>
      <c r="VIS159"/>
      <c r="VIT159"/>
      <c r="VIU159"/>
      <c r="VIV159"/>
      <c r="VIW159"/>
      <c r="VIX159"/>
      <c r="VIY159"/>
      <c r="VIZ159"/>
      <c r="VJA159"/>
      <c r="VJB159"/>
      <c r="VJC159"/>
      <c r="VJD159"/>
      <c r="VJE159"/>
      <c r="VJF159"/>
      <c r="VJG159"/>
      <c r="VJH159"/>
      <c r="VJI159"/>
      <c r="VJJ159"/>
      <c r="VJK159"/>
      <c r="VJL159"/>
      <c r="VJM159"/>
      <c r="VJN159"/>
      <c r="VJO159"/>
      <c r="VJP159"/>
      <c r="VJQ159"/>
      <c r="VJR159"/>
      <c r="VJS159"/>
      <c r="VJT159"/>
      <c r="VJU159"/>
      <c r="VJV159"/>
      <c r="VJW159"/>
      <c r="VJX159"/>
      <c r="VJY159"/>
      <c r="VJZ159"/>
      <c r="VKA159"/>
      <c r="VKB159"/>
      <c r="VKC159"/>
      <c r="VKD159"/>
      <c r="VKE159"/>
      <c r="VKF159"/>
      <c r="VKG159"/>
      <c r="VKH159"/>
      <c r="VKI159"/>
      <c r="VKJ159"/>
      <c r="VKK159"/>
      <c r="VKL159"/>
      <c r="VKM159"/>
      <c r="VKN159"/>
      <c r="VKO159"/>
      <c r="VKP159"/>
      <c r="VKQ159"/>
      <c r="VKR159"/>
      <c r="VKS159"/>
      <c r="VKT159"/>
      <c r="VKU159"/>
      <c r="VKV159"/>
      <c r="VKW159"/>
      <c r="VKX159"/>
      <c r="VKY159"/>
      <c r="VKZ159"/>
      <c r="VLA159"/>
      <c r="VLB159"/>
      <c r="VLC159"/>
      <c r="VLD159"/>
      <c r="VLE159"/>
      <c r="VLF159"/>
      <c r="VLG159"/>
      <c r="VLH159"/>
      <c r="VLI159"/>
      <c r="VLJ159"/>
      <c r="VLK159"/>
      <c r="VLL159"/>
      <c r="VLM159"/>
      <c r="VLN159"/>
      <c r="VLO159"/>
      <c r="VLP159"/>
      <c r="VLQ159"/>
      <c r="VLR159"/>
      <c r="VLS159"/>
      <c r="VLT159"/>
      <c r="VLU159"/>
      <c r="VLV159"/>
      <c r="VLW159"/>
      <c r="VLX159"/>
      <c r="VLY159"/>
      <c r="VLZ159"/>
      <c r="VMA159"/>
      <c r="VMB159"/>
      <c r="VMC159"/>
      <c r="VMD159"/>
      <c r="VME159"/>
      <c r="VMF159"/>
      <c r="VMG159"/>
      <c r="VMH159"/>
      <c r="VMI159"/>
      <c r="VMJ159"/>
      <c r="VMK159"/>
      <c r="VML159"/>
      <c r="VMM159"/>
      <c r="VMN159"/>
      <c r="VMO159"/>
      <c r="VMP159"/>
      <c r="VMQ159"/>
      <c r="VMR159"/>
      <c r="VMS159"/>
      <c r="VMT159"/>
      <c r="VMU159"/>
      <c r="VMV159"/>
      <c r="VMW159"/>
      <c r="VMX159"/>
      <c r="VMY159"/>
      <c r="VMZ159"/>
      <c r="VNA159"/>
      <c r="VNB159"/>
      <c r="VNC159"/>
      <c r="VND159"/>
      <c r="VNE159"/>
      <c r="VNF159"/>
      <c r="VNG159"/>
      <c r="VNH159"/>
      <c r="VNI159"/>
      <c r="VNJ159"/>
      <c r="VNK159"/>
      <c r="VNL159"/>
      <c r="VNM159"/>
      <c r="VNN159"/>
      <c r="VNO159"/>
      <c r="VNP159"/>
      <c r="VNQ159"/>
      <c r="VNR159"/>
      <c r="VNS159"/>
      <c r="VNT159"/>
      <c r="VNU159"/>
      <c r="VNV159"/>
      <c r="VNW159"/>
      <c r="VNX159"/>
      <c r="VNY159"/>
      <c r="VNZ159"/>
      <c r="VOA159"/>
      <c r="VOB159"/>
      <c r="VOC159"/>
      <c r="VOD159"/>
      <c r="VOE159"/>
      <c r="VOF159"/>
      <c r="VOG159"/>
      <c r="VOH159"/>
      <c r="VOI159"/>
      <c r="VOJ159"/>
      <c r="VOK159"/>
      <c r="VOL159"/>
      <c r="VOM159"/>
      <c r="VON159"/>
      <c r="VOO159"/>
      <c r="VOP159"/>
      <c r="VOQ159"/>
      <c r="VOR159"/>
      <c r="VOS159"/>
      <c r="VOT159"/>
      <c r="VOU159"/>
      <c r="VOV159"/>
      <c r="VOW159"/>
      <c r="VOX159"/>
      <c r="VOY159"/>
      <c r="VOZ159"/>
      <c r="VPA159"/>
      <c r="VPB159"/>
      <c r="VPC159"/>
      <c r="VPD159"/>
      <c r="VPE159"/>
      <c r="VPF159"/>
      <c r="VPG159"/>
      <c r="VPH159"/>
      <c r="VPI159"/>
      <c r="VPJ159"/>
      <c r="VPK159"/>
      <c r="VPL159"/>
      <c r="VPM159"/>
      <c r="VPN159"/>
      <c r="VPO159"/>
      <c r="VPP159"/>
      <c r="VPQ159"/>
      <c r="VPR159"/>
      <c r="VPS159"/>
      <c r="VPT159"/>
      <c r="VPU159"/>
      <c r="VPV159"/>
      <c r="VPW159"/>
      <c r="VPX159"/>
      <c r="VPY159"/>
      <c r="VPZ159"/>
      <c r="VQA159"/>
      <c r="VQB159"/>
      <c r="VQC159"/>
      <c r="VQD159"/>
      <c r="VQE159"/>
      <c r="VQF159"/>
      <c r="VQG159"/>
      <c r="VQH159"/>
      <c r="VQI159"/>
      <c r="VQJ159"/>
      <c r="VQK159"/>
      <c r="VQL159"/>
      <c r="VQM159"/>
      <c r="VQN159"/>
      <c r="VQO159"/>
      <c r="VQP159"/>
      <c r="VQQ159"/>
      <c r="VQR159"/>
      <c r="VQS159"/>
      <c r="VQT159"/>
      <c r="VQU159"/>
      <c r="VQV159"/>
      <c r="VQW159"/>
      <c r="VQX159"/>
      <c r="VQY159"/>
      <c r="VQZ159"/>
      <c r="VRA159"/>
      <c r="VRB159"/>
      <c r="VRC159"/>
      <c r="VRD159"/>
      <c r="VRE159"/>
      <c r="VRF159"/>
      <c r="VRG159"/>
      <c r="VRH159"/>
      <c r="VRI159"/>
      <c r="VRJ159"/>
      <c r="VRK159"/>
      <c r="VRL159"/>
      <c r="VRM159"/>
      <c r="VRN159"/>
      <c r="VRO159"/>
      <c r="VRP159"/>
      <c r="VRQ159"/>
      <c r="VRR159"/>
      <c r="VRS159"/>
      <c r="VRT159"/>
      <c r="VRU159"/>
      <c r="VRV159"/>
      <c r="VRW159"/>
      <c r="VRX159"/>
      <c r="VRY159"/>
      <c r="VRZ159"/>
      <c r="VSA159"/>
      <c r="VSB159"/>
      <c r="VSC159"/>
      <c r="VSD159"/>
      <c r="VSE159"/>
      <c r="VSF159"/>
      <c r="VSG159"/>
      <c r="VSH159"/>
      <c r="VSI159"/>
      <c r="VSJ159"/>
      <c r="VSK159"/>
      <c r="VSL159"/>
      <c r="VSM159"/>
      <c r="VSN159"/>
      <c r="VSO159"/>
      <c r="VSP159"/>
      <c r="VSQ159"/>
      <c r="VSR159"/>
      <c r="VSS159"/>
      <c r="VST159"/>
      <c r="VSU159"/>
      <c r="VSV159"/>
      <c r="VSW159"/>
      <c r="VSX159"/>
      <c r="VSY159"/>
      <c r="VSZ159"/>
      <c r="VTA159"/>
      <c r="VTB159"/>
      <c r="VTC159"/>
      <c r="VTD159"/>
      <c r="VTE159"/>
      <c r="VTF159"/>
      <c r="VTG159"/>
      <c r="VTH159"/>
      <c r="VTI159"/>
      <c r="VTJ159"/>
      <c r="VTK159"/>
      <c r="VTL159"/>
      <c r="VTM159"/>
      <c r="VTN159"/>
      <c r="VTO159"/>
      <c r="VTP159"/>
      <c r="VTQ159"/>
      <c r="VTR159"/>
      <c r="VTS159"/>
      <c r="VTT159"/>
      <c r="VTU159"/>
      <c r="VTV159"/>
      <c r="VTW159"/>
      <c r="VTX159"/>
      <c r="VTY159"/>
      <c r="VTZ159"/>
      <c r="VUA159"/>
      <c r="VUB159"/>
      <c r="VUC159"/>
      <c r="VUD159"/>
      <c r="VUE159"/>
      <c r="VUF159"/>
      <c r="VUG159"/>
      <c r="VUH159"/>
      <c r="VUI159"/>
      <c r="VUJ159"/>
      <c r="VUK159"/>
      <c r="VUL159"/>
      <c r="VUM159"/>
      <c r="VUN159"/>
      <c r="VUO159"/>
      <c r="VUP159"/>
      <c r="VUQ159"/>
      <c r="VUR159"/>
      <c r="VUS159"/>
      <c r="VUT159"/>
      <c r="VUU159"/>
      <c r="VUV159"/>
      <c r="VUW159"/>
      <c r="VUX159"/>
      <c r="VUY159"/>
      <c r="VUZ159"/>
      <c r="VVA159"/>
      <c r="VVB159"/>
      <c r="VVC159"/>
      <c r="VVD159"/>
      <c r="VVE159"/>
      <c r="VVF159"/>
      <c r="VVG159"/>
      <c r="VVH159"/>
      <c r="VVI159"/>
      <c r="VVJ159"/>
      <c r="VVK159"/>
      <c r="VVL159"/>
      <c r="VVM159"/>
      <c r="VVN159"/>
      <c r="VVO159"/>
      <c r="VVP159"/>
      <c r="VVQ159"/>
      <c r="VVR159"/>
      <c r="VVS159"/>
      <c r="VVT159"/>
      <c r="VVU159"/>
      <c r="VVV159"/>
      <c r="VVW159"/>
      <c r="VVX159"/>
      <c r="VVY159"/>
      <c r="VVZ159"/>
      <c r="VWA159"/>
      <c r="VWB159"/>
      <c r="VWC159"/>
      <c r="VWD159"/>
      <c r="VWE159"/>
      <c r="VWF159"/>
      <c r="VWG159"/>
      <c r="VWH159"/>
      <c r="VWI159"/>
      <c r="VWJ159"/>
      <c r="VWK159"/>
      <c r="VWL159"/>
      <c r="VWM159"/>
      <c r="VWN159"/>
      <c r="VWO159"/>
      <c r="VWP159"/>
      <c r="VWQ159"/>
      <c r="VWR159"/>
      <c r="VWS159"/>
      <c r="VWT159"/>
      <c r="VWU159"/>
      <c r="VWV159"/>
      <c r="VWW159"/>
      <c r="VWX159"/>
      <c r="VWY159"/>
      <c r="VWZ159"/>
      <c r="VXA159"/>
      <c r="VXB159"/>
      <c r="VXC159"/>
      <c r="VXD159"/>
      <c r="VXE159"/>
      <c r="VXF159"/>
      <c r="VXG159"/>
      <c r="VXH159"/>
      <c r="VXI159"/>
      <c r="VXJ159"/>
      <c r="VXK159"/>
      <c r="VXL159"/>
      <c r="VXM159"/>
      <c r="VXN159"/>
      <c r="VXO159"/>
      <c r="VXP159"/>
      <c r="VXQ159"/>
      <c r="VXR159"/>
      <c r="VXS159"/>
      <c r="VXT159"/>
      <c r="VXU159"/>
      <c r="VXV159"/>
      <c r="VXW159"/>
      <c r="VXX159"/>
      <c r="VXY159"/>
      <c r="VXZ159"/>
      <c r="VYA159"/>
      <c r="VYB159"/>
      <c r="VYC159"/>
      <c r="VYD159"/>
      <c r="VYE159"/>
      <c r="VYF159"/>
      <c r="VYG159"/>
      <c r="VYH159"/>
      <c r="VYI159"/>
      <c r="VYJ159"/>
      <c r="VYK159"/>
      <c r="VYL159"/>
      <c r="VYM159"/>
      <c r="VYN159"/>
      <c r="VYO159"/>
      <c r="VYP159"/>
      <c r="VYQ159"/>
      <c r="VYR159"/>
      <c r="VYS159"/>
      <c r="VYT159"/>
      <c r="VYU159"/>
      <c r="VYV159"/>
      <c r="VYW159"/>
      <c r="VYX159"/>
      <c r="VYY159"/>
      <c r="VYZ159"/>
      <c r="VZA159"/>
      <c r="VZB159"/>
      <c r="VZC159"/>
      <c r="VZD159"/>
      <c r="VZE159"/>
      <c r="VZF159"/>
      <c r="VZG159"/>
      <c r="VZH159"/>
      <c r="VZI159"/>
      <c r="VZJ159"/>
      <c r="VZK159"/>
      <c r="VZL159"/>
      <c r="VZM159"/>
      <c r="VZN159"/>
      <c r="VZO159"/>
      <c r="VZP159"/>
      <c r="VZQ159"/>
      <c r="VZR159"/>
      <c r="VZS159"/>
      <c r="VZT159"/>
      <c r="VZU159"/>
      <c r="VZV159"/>
      <c r="VZW159"/>
      <c r="VZX159"/>
      <c r="VZY159"/>
      <c r="VZZ159"/>
      <c r="WAA159"/>
      <c r="WAB159"/>
      <c r="WAC159"/>
      <c r="WAD159"/>
      <c r="WAE159"/>
      <c r="WAF159"/>
      <c r="WAG159"/>
      <c r="WAH159"/>
      <c r="WAI159"/>
      <c r="WAJ159"/>
      <c r="WAK159"/>
      <c r="WAL159"/>
      <c r="WAM159"/>
      <c r="WAN159"/>
      <c r="WAO159"/>
      <c r="WAP159"/>
      <c r="WAQ159"/>
      <c r="WAR159"/>
      <c r="WAS159"/>
      <c r="WAT159"/>
      <c r="WAU159"/>
      <c r="WAV159"/>
      <c r="WAW159"/>
      <c r="WAX159"/>
      <c r="WAY159"/>
      <c r="WAZ159"/>
      <c r="WBA159"/>
      <c r="WBB159"/>
      <c r="WBC159"/>
      <c r="WBD159"/>
      <c r="WBE159"/>
      <c r="WBF159"/>
      <c r="WBG159"/>
      <c r="WBH159"/>
      <c r="WBI159"/>
      <c r="WBJ159"/>
      <c r="WBK159"/>
      <c r="WBL159"/>
      <c r="WBM159"/>
      <c r="WBN159"/>
      <c r="WBO159"/>
      <c r="WBP159"/>
      <c r="WBQ159"/>
      <c r="WBR159"/>
      <c r="WBS159"/>
      <c r="WBT159"/>
      <c r="WBU159"/>
      <c r="WBV159"/>
      <c r="WBW159"/>
      <c r="WBX159"/>
      <c r="WBY159"/>
      <c r="WBZ159"/>
      <c r="WCA159"/>
      <c r="WCB159"/>
      <c r="WCC159"/>
      <c r="WCD159"/>
      <c r="WCE159"/>
      <c r="WCF159"/>
      <c r="WCG159"/>
      <c r="WCH159"/>
      <c r="WCI159"/>
      <c r="WCJ159"/>
      <c r="WCK159"/>
      <c r="WCL159"/>
      <c r="WCM159"/>
      <c r="WCN159"/>
      <c r="WCO159"/>
      <c r="WCP159"/>
      <c r="WCQ159"/>
      <c r="WCR159"/>
      <c r="WCS159"/>
      <c r="WCT159"/>
      <c r="WCU159"/>
      <c r="WCV159"/>
      <c r="WCW159"/>
      <c r="WCX159"/>
      <c r="WCY159"/>
      <c r="WCZ159"/>
      <c r="WDA159"/>
      <c r="WDB159"/>
      <c r="WDC159"/>
      <c r="WDD159"/>
      <c r="WDE159"/>
      <c r="WDF159"/>
      <c r="WDG159"/>
      <c r="WDH159"/>
      <c r="WDI159"/>
      <c r="WDJ159"/>
      <c r="WDK159"/>
      <c r="WDL159"/>
      <c r="WDM159"/>
      <c r="WDN159"/>
      <c r="WDO159"/>
      <c r="WDP159"/>
      <c r="WDQ159"/>
      <c r="WDR159"/>
      <c r="WDS159"/>
      <c r="WDT159"/>
      <c r="WDU159"/>
      <c r="WDV159"/>
      <c r="WDW159"/>
      <c r="WDX159"/>
      <c r="WDY159"/>
      <c r="WDZ159"/>
      <c r="WEA159"/>
      <c r="WEB159"/>
      <c r="WEC159"/>
      <c r="WED159"/>
      <c r="WEE159"/>
      <c r="WEF159"/>
      <c r="WEG159"/>
      <c r="WEH159"/>
      <c r="WEI159"/>
      <c r="WEJ159"/>
      <c r="WEK159"/>
      <c r="WEL159"/>
      <c r="WEM159"/>
      <c r="WEN159"/>
      <c r="WEO159"/>
      <c r="WEP159"/>
      <c r="WEQ159"/>
      <c r="WER159"/>
      <c r="WES159"/>
      <c r="WET159"/>
      <c r="WEU159"/>
      <c r="WEV159"/>
      <c r="WEW159"/>
      <c r="WEX159"/>
      <c r="WEY159"/>
      <c r="WEZ159"/>
      <c r="WFA159"/>
      <c r="WFB159"/>
      <c r="WFC159"/>
      <c r="WFD159"/>
      <c r="WFE159"/>
      <c r="WFF159"/>
      <c r="WFG159"/>
      <c r="WFH159"/>
      <c r="WFI159"/>
      <c r="WFJ159"/>
      <c r="WFK159"/>
      <c r="WFL159"/>
      <c r="WFM159"/>
      <c r="WFN159"/>
      <c r="WFO159"/>
      <c r="WFP159"/>
      <c r="WFQ159"/>
      <c r="WFR159"/>
      <c r="WFS159"/>
      <c r="WFT159"/>
      <c r="WFU159"/>
      <c r="WFV159"/>
      <c r="WFW159"/>
      <c r="WFX159"/>
      <c r="WFY159"/>
      <c r="WFZ159"/>
      <c r="WGA159"/>
      <c r="WGB159"/>
      <c r="WGC159"/>
      <c r="WGD159"/>
      <c r="WGE159"/>
      <c r="WGF159"/>
      <c r="WGG159"/>
      <c r="WGH159"/>
      <c r="WGI159"/>
      <c r="WGJ159"/>
      <c r="WGK159"/>
      <c r="WGL159"/>
      <c r="WGM159"/>
      <c r="WGN159"/>
      <c r="WGO159"/>
      <c r="WGP159"/>
      <c r="WGQ159"/>
      <c r="WGR159"/>
      <c r="WGS159"/>
      <c r="WGT159"/>
      <c r="WGU159"/>
      <c r="WGV159"/>
      <c r="WGW159"/>
      <c r="WGX159"/>
      <c r="WGY159"/>
      <c r="WGZ159"/>
      <c r="WHA159"/>
      <c r="WHB159"/>
      <c r="WHC159"/>
      <c r="WHD159"/>
      <c r="WHE159"/>
      <c r="WHF159"/>
      <c r="WHG159"/>
      <c r="WHH159"/>
      <c r="WHI159"/>
      <c r="WHJ159"/>
      <c r="WHK159"/>
      <c r="WHL159"/>
      <c r="WHM159"/>
      <c r="WHN159"/>
      <c r="WHO159"/>
      <c r="WHP159"/>
      <c r="WHQ159"/>
      <c r="WHR159"/>
      <c r="WHS159"/>
      <c r="WHT159"/>
      <c r="WHU159"/>
      <c r="WHV159"/>
      <c r="WHW159"/>
      <c r="WHX159"/>
      <c r="WHY159"/>
      <c r="WHZ159"/>
      <c r="WIA159"/>
      <c r="WIB159"/>
      <c r="WIC159"/>
      <c r="WID159"/>
      <c r="WIE159"/>
      <c r="WIF159"/>
      <c r="WIG159"/>
      <c r="WIH159"/>
      <c r="WII159"/>
      <c r="WIJ159"/>
      <c r="WIK159"/>
      <c r="WIL159"/>
      <c r="WIM159"/>
      <c r="WIN159"/>
      <c r="WIO159"/>
      <c r="WIP159"/>
      <c r="WIQ159"/>
      <c r="WIR159"/>
      <c r="WIS159"/>
      <c r="WIT159"/>
      <c r="WIU159"/>
      <c r="WIV159"/>
      <c r="WIW159"/>
      <c r="WIX159"/>
      <c r="WIY159"/>
      <c r="WIZ159"/>
      <c r="WJA159"/>
      <c r="WJB159"/>
      <c r="WJC159"/>
      <c r="WJD159"/>
      <c r="WJE159"/>
      <c r="WJF159"/>
      <c r="WJG159"/>
      <c r="WJH159"/>
      <c r="WJI159"/>
      <c r="WJJ159"/>
      <c r="WJK159"/>
      <c r="WJL159"/>
      <c r="WJM159"/>
      <c r="WJN159"/>
      <c r="WJO159"/>
      <c r="WJP159"/>
      <c r="WJQ159"/>
      <c r="WJR159"/>
      <c r="WJS159"/>
      <c r="WJT159"/>
      <c r="WJU159"/>
      <c r="WJV159"/>
      <c r="WJW159"/>
      <c r="WJX159"/>
      <c r="WJY159"/>
      <c r="WJZ159"/>
      <c r="WKA159"/>
      <c r="WKB159"/>
      <c r="WKC159"/>
      <c r="WKD159"/>
      <c r="WKE159"/>
      <c r="WKF159"/>
      <c r="WKG159"/>
      <c r="WKH159"/>
      <c r="WKI159"/>
      <c r="WKJ159"/>
      <c r="WKK159"/>
      <c r="WKL159"/>
      <c r="WKM159"/>
      <c r="WKN159"/>
      <c r="WKO159"/>
      <c r="WKP159"/>
      <c r="WKQ159"/>
      <c r="WKR159"/>
      <c r="WKS159"/>
      <c r="WKT159"/>
      <c r="WKU159"/>
      <c r="WKV159"/>
      <c r="WKW159"/>
      <c r="WKX159"/>
      <c r="WKY159"/>
      <c r="WKZ159"/>
      <c r="WLA159"/>
      <c r="WLB159"/>
      <c r="WLC159"/>
      <c r="WLD159"/>
      <c r="WLE159"/>
      <c r="WLF159"/>
      <c r="WLG159"/>
      <c r="WLH159"/>
      <c r="WLI159"/>
      <c r="WLJ159"/>
      <c r="WLK159"/>
      <c r="WLL159"/>
      <c r="WLM159"/>
      <c r="WLN159"/>
      <c r="WLO159"/>
      <c r="WLP159"/>
      <c r="WLQ159"/>
      <c r="WLR159"/>
      <c r="WLS159"/>
      <c r="WLT159"/>
      <c r="WLU159"/>
      <c r="WLV159"/>
      <c r="WLW159"/>
      <c r="WLX159"/>
      <c r="WLY159"/>
      <c r="WLZ159"/>
      <c r="WMA159"/>
      <c r="WMB159"/>
      <c r="WMC159"/>
      <c r="WMD159"/>
      <c r="WME159"/>
      <c r="WMF159"/>
      <c r="WMG159"/>
      <c r="WMH159"/>
      <c r="WMI159"/>
      <c r="WMJ159"/>
      <c r="WMK159"/>
      <c r="WML159"/>
      <c r="WMM159"/>
      <c r="WMN159"/>
      <c r="WMO159"/>
      <c r="WMP159"/>
      <c r="WMQ159"/>
      <c r="WMR159"/>
      <c r="WMS159"/>
      <c r="WMT159"/>
      <c r="WMU159"/>
      <c r="WMV159"/>
      <c r="WMW159"/>
      <c r="WMX159"/>
      <c r="WMY159"/>
      <c r="WMZ159"/>
      <c r="WNA159"/>
      <c r="WNB159"/>
      <c r="WNC159"/>
      <c r="WND159"/>
      <c r="WNE159"/>
      <c r="WNF159"/>
      <c r="WNG159"/>
      <c r="WNH159"/>
      <c r="WNI159"/>
      <c r="WNJ159"/>
      <c r="WNK159"/>
      <c r="WNL159"/>
      <c r="WNM159"/>
      <c r="WNN159"/>
      <c r="WNO159"/>
      <c r="WNP159"/>
      <c r="WNQ159"/>
      <c r="WNR159"/>
      <c r="WNS159"/>
      <c r="WNT159"/>
      <c r="WNU159"/>
      <c r="WNV159"/>
      <c r="WNW159"/>
      <c r="WNX159"/>
      <c r="WNY159"/>
      <c r="WNZ159"/>
      <c r="WOA159"/>
      <c r="WOB159"/>
      <c r="WOC159"/>
      <c r="WOD159"/>
      <c r="WOE159"/>
      <c r="WOF159"/>
      <c r="WOG159"/>
      <c r="WOH159"/>
      <c r="WOI159"/>
      <c r="WOJ159"/>
      <c r="WOK159"/>
      <c r="WOL159"/>
      <c r="WOM159"/>
      <c r="WON159"/>
      <c r="WOO159"/>
      <c r="WOP159"/>
      <c r="WOQ159"/>
      <c r="WOR159"/>
      <c r="WOS159"/>
      <c r="WOT159"/>
      <c r="WOU159"/>
      <c r="WOV159"/>
      <c r="WOW159"/>
      <c r="WOX159"/>
      <c r="WOY159"/>
      <c r="WOZ159"/>
      <c r="WPA159"/>
      <c r="WPB159"/>
      <c r="WPC159"/>
      <c r="WPD159"/>
      <c r="WPE159"/>
      <c r="WPF159"/>
      <c r="WPG159"/>
      <c r="WPH159"/>
      <c r="WPI159"/>
      <c r="WPJ159"/>
      <c r="WPK159"/>
      <c r="WPL159"/>
      <c r="WPM159"/>
      <c r="WPN159"/>
      <c r="WPO159"/>
      <c r="WPP159"/>
      <c r="WPQ159"/>
      <c r="WPR159"/>
      <c r="WPS159"/>
      <c r="WPT159"/>
      <c r="WPU159"/>
      <c r="WPV159"/>
      <c r="WPW159"/>
      <c r="WPX159"/>
      <c r="WPY159"/>
      <c r="WPZ159"/>
      <c r="WQA159"/>
      <c r="WQB159"/>
      <c r="WQC159"/>
      <c r="WQD159"/>
      <c r="WQE159"/>
      <c r="WQF159"/>
      <c r="WQG159"/>
      <c r="WQH159"/>
      <c r="WQI159"/>
      <c r="WQJ159"/>
      <c r="WQK159"/>
      <c r="WQL159"/>
      <c r="WQM159"/>
      <c r="WQN159"/>
      <c r="WQO159"/>
      <c r="WQP159"/>
      <c r="WQQ159"/>
      <c r="WQR159"/>
      <c r="WQS159"/>
      <c r="WQT159"/>
      <c r="WQU159"/>
      <c r="WQV159"/>
      <c r="WQW159"/>
      <c r="WQX159"/>
      <c r="WQY159"/>
      <c r="WQZ159"/>
      <c r="WRA159"/>
      <c r="WRB159"/>
      <c r="WRC159"/>
      <c r="WRD159"/>
      <c r="WRE159"/>
      <c r="WRF159"/>
      <c r="WRG159"/>
      <c r="WRH159"/>
      <c r="WRI159"/>
      <c r="WRJ159"/>
      <c r="WRK159"/>
      <c r="WRL159"/>
      <c r="WRM159"/>
      <c r="WRN159"/>
      <c r="WRO159"/>
      <c r="WRP159"/>
      <c r="WRQ159"/>
      <c r="WRR159"/>
      <c r="WRS159"/>
      <c r="WRT159"/>
      <c r="WRU159"/>
      <c r="WRV159"/>
      <c r="WRW159"/>
      <c r="WRX159"/>
      <c r="WRY159"/>
      <c r="WRZ159"/>
      <c r="WSA159"/>
      <c r="WSB159"/>
      <c r="WSC159"/>
      <c r="WSD159"/>
      <c r="WSE159"/>
      <c r="WSF159"/>
      <c r="WSG159"/>
      <c r="WSH159"/>
      <c r="WSI159"/>
      <c r="WSJ159"/>
      <c r="WSK159"/>
      <c r="WSL159"/>
      <c r="WSM159"/>
      <c r="WSN159"/>
      <c r="WSO159"/>
      <c r="WSP159"/>
      <c r="WSQ159"/>
      <c r="WSR159"/>
      <c r="WSS159"/>
      <c r="WST159"/>
      <c r="WSU159"/>
      <c r="WSV159"/>
      <c r="WSW159"/>
      <c r="WSX159"/>
      <c r="WSY159"/>
      <c r="WSZ159"/>
      <c r="WTA159"/>
      <c r="WTB159"/>
      <c r="WTC159"/>
      <c r="WTD159"/>
      <c r="WTE159"/>
      <c r="WTF159"/>
      <c r="WTG159"/>
      <c r="WTH159"/>
      <c r="WTI159"/>
      <c r="WTJ159"/>
      <c r="WTK159"/>
      <c r="WTL159"/>
      <c r="WTM159"/>
      <c r="WTN159"/>
      <c r="WTO159"/>
      <c r="WTP159"/>
      <c r="WTQ159"/>
      <c r="WTR159"/>
      <c r="WTS159"/>
      <c r="WTT159"/>
      <c r="WTU159"/>
      <c r="WTV159"/>
      <c r="WTW159"/>
      <c r="WTX159"/>
      <c r="WTY159"/>
      <c r="WTZ159"/>
      <c r="WUA159"/>
      <c r="WUB159"/>
      <c r="WUC159"/>
      <c r="WUD159"/>
      <c r="WUE159"/>
      <c r="WUF159"/>
      <c r="WUG159"/>
      <c r="WUH159"/>
      <c r="WUI159"/>
      <c r="WUJ159"/>
      <c r="WUK159"/>
      <c r="WUL159"/>
      <c r="WUM159"/>
      <c r="WUN159"/>
      <c r="WUO159"/>
      <c r="WUP159"/>
      <c r="WUQ159"/>
      <c r="WUR159"/>
      <c r="WUS159"/>
      <c r="WUT159"/>
      <c r="WUU159"/>
      <c r="WUV159"/>
      <c r="WUW159"/>
      <c r="WUX159"/>
      <c r="WUY159"/>
      <c r="WUZ159"/>
      <c r="WVA159"/>
      <c r="WVB159"/>
      <c r="WVC159"/>
      <c r="WVD159"/>
      <c r="WVE159"/>
      <c r="WVF159"/>
      <c r="WVG159"/>
      <c r="WVH159"/>
      <c r="WVI159"/>
      <c r="WVJ159"/>
      <c r="WVK159"/>
      <c r="WVL159"/>
      <c r="WVM159"/>
      <c r="WVN159"/>
      <c r="WVO159"/>
      <c r="WVP159"/>
      <c r="WVQ159"/>
      <c r="WVR159"/>
      <c r="WVS159"/>
      <c r="WVT159"/>
      <c r="WVU159"/>
      <c r="WVV159"/>
      <c r="WVW159"/>
      <c r="WVX159"/>
      <c r="WVY159"/>
      <c r="WVZ159"/>
      <c r="WWA159"/>
      <c r="WWB159"/>
      <c r="WWC159"/>
      <c r="WWD159"/>
      <c r="WWE159"/>
      <c r="WWF159"/>
      <c r="WWG159"/>
      <c r="WWH159"/>
      <c r="WWI159"/>
      <c r="WWJ159"/>
      <c r="WWK159"/>
      <c r="WWL159"/>
      <c r="WWM159"/>
      <c r="WWN159"/>
      <c r="WWO159"/>
      <c r="WWP159"/>
      <c r="WWQ159"/>
      <c r="WWR159"/>
      <c r="WWS159"/>
      <c r="WWT159"/>
      <c r="WWU159"/>
      <c r="WWV159"/>
      <c r="WWW159"/>
      <c r="WWX159"/>
      <c r="WWY159"/>
      <c r="WWZ159"/>
      <c r="WXA159"/>
      <c r="WXB159"/>
      <c r="WXC159"/>
      <c r="WXD159"/>
      <c r="WXE159"/>
      <c r="WXF159"/>
      <c r="WXG159"/>
      <c r="WXH159"/>
      <c r="WXI159"/>
      <c r="WXJ159"/>
      <c r="WXK159"/>
      <c r="WXL159"/>
      <c r="WXM159"/>
      <c r="WXN159"/>
      <c r="WXO159"/>
      <c r="WXP159"/>
      <c r="WXQ159"/>
      <c r="WXR159"/>
      <c r="WXS159"/>
      <c r="WXT159"/>
      <c r="WXU159"/>
      <c r="WXV159"/>
      <c r="WXW159"/>
      <c r="WXX159"/>
      <c r="WXY159"/>
      <c r="WXZ159"/>
      <c r="WYA159"/>
      <c r="WYB159"/>
      <c r="WYC159"/>
      <c r="WYD159"/>
      <c r="WYE159"/>
      <c r="WYF159"/>
      <c r="WYG159"/>
      <c r="WYH159"/>
      <c r="WYI159"/>
      <c r="WYJ159"/>
      <c r="WYK159"/>
      <c r="WYL159"/>
      <c r="WYM159"/>
      <c r="WYN159"/>
      <c r="WYO159"/>
      <c r="WYP159"/>
      <c r="WYQ159"/>
      <c r="WYR159"/>
      <c r="WYS159"/>
      <c r="WYT159"/>
      <c r="WYU159"/>
      <c r="WYV159"/>
      <c r="WYW159"/>
      <c r="WYX159"/>
      <c r="WYY159"/>
      <c r="WYZ159"/>
      <c r="WZA159"/>
      <c r="WZB159"/>
      <c r="WZC159"/>
      <c r="WZD159"/>
      <c r="WZE159"/>
      <c r="WZF159"/>
      <c r="WZG159"/>
      <c r="WZH159"/>
      <c r="WZI159"/>
      <c r="WZJ159"/>
      <c r="WZK159"/>
      <c r="WZL159"/>
      <c r="WZM159"/>
      <c r="WZN159"/>
      <c r="WZO159"/>
      <c r="WZP159"/>
      <c r="WZQ159"/>
      <c r="WZR159"/>
      <c r="WZS159"/>
      <c r="WZT159"/>
      <c r="WZU159"/>
      <c r="WZV159"/>
      <c r="WZW159"/>
      <c r="WZX159"/>
      <c r="WZY159"/>
      <c r="WZZ159"/>
      <c r="XAA159"/>
      <c r="XAB159"/>
      <c r="XAC159"/>
      <c r="XAD159"/>
      <c r="XAE159"/>
      <c r="XAF159"/>
      <c r="XAG159"/>
      <c r="XAH159"/>
      <c r="XAI159"/>
      <c r="XAJ159"/>
      <c r="XAK159"/>
      <c r="XAL159"/>
      <c r="XAM159"/>
      <c r="XAN159"/>
      <c r="XAO159"/>
      <c r="XAP159"/>
      <c r="XAQ159"/>
      <c r="XAR159"/>
      <c r="XAS159"/>
      <c r="XAT159"/>
      <c r="XAU159"/>
      <c r="XAV159"/>
      <c r="XAW159"/>
      <c r="XAX159"/>
      <c r="XAY159"/>
      <c r="XAZ159"/>
      <c r="XBA159"/>
      <c r="XBB159"/>
      <c r="XBC159"/>
      <c r="XBD159"/>
      <c r="XBE159"/>
      <c r="XBF159"/>
      <c r="XBG159"/>
      <c r="XBH159"/>
      <c r="XBI159"/>
      <c r="XBJ159"/>
      <c r="XBK159"/>
      <c r="XBL159"/>
      <c r="XBM159"/>
      <c r="XBN159"/>
      <c r="XBO159"/>
      <c r="XBP159"/>
      <c r="XBQ159"/>
      <c r="XBR159"/>
      <c r="XBS159"/>
      <c r="XBT159"/>
      <c r="XBU159"/>
      <c r="XBV159"/>
      <c r="XBW159"/>
      <c r="XBX159"/>
      <c r="XBY159"/>
      <c r="XBZ159"/>
      <c r="XCA159"/>
      <c r="XCB159"/>
      <c r="XCC159"/>
      <c r="XCD159"/>
      <c r="XCE159"/>
      <c r="XCF159"/>
      <c r="XCG159"/>
      <c r="XCH159"/>
      <c r="XCI159"/>
      <c r="XCJ159"/>
      <c r="XCK159"/>
      <c r="XCL159"/>
      <c r="XCM159"/>
      <c r="XCN159"/>
      <c r="XCO159"/>
      <c r="XCP159"/>
      <c r="XCQ159"/>
      <c r="XCR159"/>
      <c r="XCS159"/>
      <c r="XCT159"/>
      <c r="XCU159"/>
      <c r="XCV159"/>
      <c r="XCW159"/>
      <c r="XCX159"/>
      <c r="XCY159"/>
      <c r="XCZ159"/>
      <c r="XDA159"/>
      <c r="XDB159"/>
      <c r="XDC159"/>
      <c r="XDD159"/>
      <c r="XDE159"/>
      <c r="XDF159"/>
      <c r="XDG159"/>
      <c r="XDH159"/>
      <c r="XDI159"/>
      <c r="XDJ159"/>
      <c r="XDK159"/>
      <c r="XDL159"/>
      <c r="XDM159"/>
      <c r="XDN159"/>
      <c r="XDO159"/>
      <c r="XDP159"/>
      <c r="XDQ159"/>
      <c r="XDR159"/>
      <c r="XDS159"/>
      <c r="XDT159"/>
      <c r="XDU159"/>
      <c r="XDV159"/>
      <c r="XDW159"/>
      <c r="XDX159"/>
      <c r="XDY159"/>
      <c r="XDZ159"/>
      <c r="XEA159"/>
      <c r="XEB159"/>
      <c r="XEC159"/>
      <c r="XED159"/>
      <c r="XEE159"/>
      <c r="XEF159"/>
      <c r="XEG159"/>
      <c r="XEH159"/>
      <c r="XEI159"/>
      <c r="XEJ159"/>
      <c r="XEK159"/>
      <c r="XEL159"/>
      <c r="XEM159"/>
      <c r="XEN159"/>
      <c r="XEO159"/>
      <c r="XEP159"/>
      <c r="XEQ159"/>
      <c r="XER159"/>
      <c r="XES159"/>
      <c r="XET159"/>
      <c r="XEU159"/>
      <c r="XEV159"/>
      <c r="XEW159"/>
      <c r="XEX159"/>
      <c r="XEY159"/>
    </row>
    <row r="160" spans="1:16379">
      <c r="A160" s="37" t="s">
        <v>3632</v>
      </c>
      <c r="B160" s="9"/>
      <c r="C160" s="54" t="s">
        <v>3613</v>
      </c>
      <c r="D160" s="40">
        <v>9772410</v>
      </c>
      <c r="E160" s="40"/>
      <c r="F160" s="55"/>
      <c r="G160" s="37"/>
    </row>
    <row r="161" spans="1:7">
      <c r="A161" s="40"/>
      <c r="B161" s="9"/>
      <c r="C161" s="54"/>
      <c r="D161" s="40"/>
      <c r="E161" s="40"/>
      <c r="F161" s="55"/>
      <c r="G161" s="37"/>
    </row>
    <row r="162" spans="1:7">
      <c r="A162" s="40"/>
      <c r="B162" s="9"/>
      <c r="C162" s="54" t="s">
        <v>3613</v>
      </c>
      <c r="D162" s="40"/>
      <c r="E162" s="40" t="s">
        <v>3633</v>
      </c>
      <c r="F162" s="55"/>
      <c r="G162" s="37" t="s">
        <v>3634</v>
      </c>
    </row>
    <row r="163" spans="1:7">
      <c r="A163" s="40"/>
      <c r="B163" s="9"/>
      <c r="C163" s="54" t="s">
        <v>3613</v>
      </c>
      <c r="D163" s="40"/>
      <c r="E163" s="40" t="s">
        <v>3635</v>
      </c>
      <c r="F163" s="55"/>
      <c r="G163" s="37" t="s">
        <v>3636</v>
      </c>
    </row>
    <row r="164" spans="1:7">
      <c r="A164" s="59"/>
      <c r="B164" s="9"/>
      <c r="C164" s="60" t="s">
        <v>3613</v>
      </c>
      <c r="D164" s="108"/>
      <c r="E164" s="40" t="s">
        <v>3637</v>
      </c>
      <c r="F164" s="55"/>
      <c r="G164" s="37" t="s">
        <v>3638</v>
      </c>
    </row>
    <row r="165" spans="1:7" ht="14.25" customHeight="1">
      <c r="A165" s="40"/>
      <c r="B165" s="9"/>
      <c r="C165" s="54" t="s">
        <v>3613</v>
      </c>
      <c r="D165" s="34">
        <v>9772155</v>
      </c>
      <c r="E165" s="40" t="s">
        <v>3639</v>
      </c>
      <c r="F165" s="55"/>
      <c r="G165" s="37" t="s">
        <v>3640</v>
      </c>
    </row>
    <row r="166" spans="1:7" ht="14.25" customHeight="1">
      <c r="A166" s="40"/>
      <c r="B166" s="9"/>
      <c r="C166" s="54"/>
      <c r="D166" s="34"/>
      <c r="E166" s="40"/>
      <c r="F166" s="56"/>
      <c r="G166" s="37"/>
    </row>
  </sheetData>
  <sheetProtection algorithmName="SHA-512" hashValue="FXcEey5MKShmcNwxDOq9vwYiq9pQm7WSG4oUQZBdZALl3utW/PujFiH4vkmZsG3AjShX/bIiTOzy5WTliumZnw==" saltValue="OTb077cojzeZw9zo+scZnA==" spinCount="100000" sheet="1" objects="1" scenarios="1"/>
  <conditionalFormatting sqref="A53:A152">
    <cfRule type="duplicateValues" dxfId="67" priority="59"/>
  </conditionalFormatting>
  <conditionalFormatting sqref="B53:B152">
    <cfRule type="duplicateValues" dxfId="66" priority="55"/>
  </conditionalFormatting>
  <conditionalFormatting sqref="D80">
    <cfRule type="containsBlanks" dxfId="65" priority="4">
      <formula>LEN(TRIM(D80))=0</formula>
    </cfRule>
    <cfRule type="containsText" priority="5" stopIfTrue="1" operator="containsText" text="Reserved">
      <formula>NOT(ISERROR(SEARCH("Reserved",D80)))</formula>
    </cfRule>
    <cfRule type="duplicateValues" dxfId="64" priority="6"/>
  </conditionalFormatting>
  <conditionalFormatting sqref="E80">
    <cfRule type="containsBlanks" dxfId="63" priority="1">
      <formula>LEN(TRIM(E80))=0</formula>
    </cfRule>
    <cfRule type="containsText" priority="2" stopIfTrue="1" operator="containsText" text="Reserved">
      <formula>NOT(ISERROR(SEARCH("Reserved",E80)))</formula>
    </cfRule>
    <cfRule type="duplicateValues" dxfId="62" priority="3"/>
  </conditionalFormatting>
  <pageMargins left="0.7" right="0.7" top="0.75" bottom="0.75" header="0.3" footer="0.3"/>
  <pageSetup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dimension ref="A1:J57"/>
  <sheetViews>
    <sheetView workbookViewId="0">
      <selection activeCell="D25" sqref="D25"/>
    </sheetView>
  </sheetViews>
  <sheetFormatPr defaultColWidth="9.28515625" defaultRowHeight="15"/>
  <cols>
    <col min="1" max="1" width="13.7109375" bestFit="1" customWidth="1"/>
    <col min="2" max="2" width="15.7109375" bestFit="1" customWidth="1"/>
    <col min="3" max="3" width="12.42578125" bestFit="1" customWidth="1"/>
    <col min="4" max="4" width="18.28515625" style="49" bestFit="1" customWidth="1"/>
    <col min="5" max="5" width="48.7109375" bestFit="1" customWidth="1"/>
    <col min="6" max="6" width="9.42578125" bestFit="1" customWidth="1"/>
    <col min="7" max="7" width="27.7109375" bestFit="1" customWidth="1"/>
  </cols>
  <sheetData>
    <row r="1" spans="1:10">
      <c r="A1" s="28" t="s">
        <v>3605</v>
      </c>
      <c r="B1" s="29" t="s">
        <v>3606</v>
      </c>
      <c r="C1" s="29" t="s">
        <v>3607</v>
      </c>
      <c r="D1" s="30" t="s">
        <v>3641</v>
      </c>
      <c r="E1" s="29" t="s">
        <v>3609</v>
      </c>
      <c r="F1" s="31" t="s">
        <v>3610</v>
      </c>
      <c r="G1" s="31" t="s">
        <v>3611</v>
      </c>
      <c r="H1" s="32"/>
      <c r="I1" s="32"/>
      <c r="J1" s="32"/>
    </row>
    <row r="2" spans="1:10">
      <c r="A2" s="37" t="s">
        <v>3632</v>
      </c>
      <c r="B2" s="153"/>
      <c r="C2" s="164"/>
      <c r="D2" s="36"/>
      <c r="E2" s="50"/>
      <c r="F2" s="155"/>
      <c r="G2" s="155"/>
      <c r="H2" s="32"/>
      <c r="I2" s="32"/>
      <c r="J2" s="32"/>
    </row>
    <row r="3" spans="1:10">
      <c r="A3" s="33">
        <v>12100</v>
      </c>
      <c r="B3" s="34">
        <v>16100</v>
      </c>
      <c r="C3" s="35" t="s">
        <v>3642</v>
      </c>
      <c r="D3" s="36">
        <v>9729101</v>
      </c>
      <c r="E3" s="37"/>
      <c r="F3" s="38"/>
      <c r="G3" s="39"/>
    </row>
    <row r="4" spans="1:10">
      <c r="A4" s="33">
        <v>12101</v>
      </c>
      <c r="B4" s="34">
        <v>16101</v>
      </c>
      <c r="C4" s="35" t="s">
        <v>3642</v>
      </c>
      <c r="D4" s="36">
        <v>9729703</v>
      </c>
      <c r="E4" s="40"/>
      <c r="F4" s="41"/>
      <c r="G4" s="38"/>
    </row>
    <row r="5" spans="1:10">
      <c r="A5" s="33">
        <v>12102</v>
      </c>
      <c r="B5" s="34">
        <v>16102</v>
      </c>
      <c r="C5" s="35" t="s">
        <v>3642</v>
      </c>
      <c r="D5" s="36">
        <v>9729705</v>
      </c>
      <c r="E5" s="40"/>
      <c r="F5" s="41"/>
      <c r="G5" s="38"/>
    </row>
    <row r="6" spans="1:10">
      <c r="A6" s="37" t="s">
        <v>3632</v>
      </c>
      <c r="B6" s="34"/>
      <c r="C6" s="35"/>
      <c r="D6" s="36">
        <v>9729102</v>
      </c>
      <c r="E6" s="40"/>
      <c r="F6" s="41"/>
      <c r="G6" s="38"/>
    </row>
    <row r="7" spans="1:10">
      <c r="A7" s="33">
        <v>12103</v>
      </c>
      <c r="B7" s="34">
        <v>16103</v>
      </c>
      <c r="C7" s="35" t="s">
        <v>3642</v>
      </c>
      <c r="D7" s="36">
        <v>9729103</v>
      </c>
      <c r="E7" s="7"/>
      <c r="F7" s="42"/>
      <c r="G7" s="39"/>
    </row>
    <row r="8" spans="1:10">
      <c r="A8" s="37" t="s">
        <v>3632</v>
      </c>
      <c r="B8" s="34"/>
      <c r="C8" s="35"/>
      <c r="D8" s="36">
        <v>9729104</v>
      </c>
      <c r="E8" s="7"/>
      <c r="F8" s="42"/>
      <c r="G8" s="39"/>
    </row>
    <row r="9" spans="1:10">
      <c r="A9" s="33">
        <v>12104</v>
      </c>
      <c r="B9" s="34">
        <v>16104</v>
      </c>
      <c r="C9" s="35" t="s">
        <v>3642</v>
      </c>
      <c r="D9" s="36">
        <v>9279105</v>
      </c>
      <c r="E9" s="7"/>
      <c r="F9" s="42"/>
      <c r="G9" s="39"/>
    </row>
    <row r="10" spans="1:10">
      <c r="A10" s="37" t="s">
        <v>3632</v>
      </c>
      <c r="B10" s="34"/>
      <c r="C10" s="35"/>
      <c r="D10" s="36">
        <v>9729106</v>
      </c>
      <c r="E10" s="7"/>
      <c r="F10" s="42"/>
      <c r="G10" s="39"/>
    </row>
    <row r="11" spans="1:10">
      <c r="A11" s="33">
        <v>12105</v>
      </c>
      <c r="B11" s="34">
        <v>16105</v>
      </c>
      <c r="C11" s="35" t="s">
        <v>3642</v>
      </c>
      <c r="D11" s="36">
        <v>9729305</v>
      </c>
      <c r="E11" s="7"/>
      <c r="F11" s="42"/>
      <c r="G11" s="38"/>
    </row>
    <row r="12" spans="1:10">
      <c r="A12" s="33">
        <v>12106</v>
      </c>
      <c r="B12" s="34">
        <v>16106</v>
      </c>
      <c r="C12" s="35" t="s">
        <v>3642</v>
      </c>
      <c r="D12" s="36">
        <v>9729303</v>
      </c>
      <c r="E12" s="7"/>
      <c r="F12" s="42"/>
      <c r="G12" s="38"/>
    </row>
    <row r="13" spans="1:10">
      <c r="A13" s="33">
        <v>12107</v>
      </c>
      <c r="B13" s="34">
        <v>16107</v>
      </c>
      <c r="C13" s="35" t="s">
        <v>3642</v>
      </c>
      <c r="D13" s="34">
        <v>9729107</v>
      </c>
      <c r="E13" s="9"/>
      <c r="F13" s="39"/>
      <c r="G13" s="39"/>
    </row>
    <row r="14" spans="1:10">
      <c r="A14" s="33">
        <v>12108</v>
      </c>
      <c r="B14" s="34">
        <v>16108</v>
      </c>
      <c r="C14" s="35" t="s">
        <v>3642</v>
      </c>
      <c r="D14" s="36">
        <v>9729307</v>
      </c>
      <c r="E14" s="9"/>
      <c r="F14" s="39"/>
      <c r="G14" s="39"/>
    </row>
    <row r="15" spans="1:10">
      <c r="A15" s="33">
        <v>12109</v>
      </c>
      <c r="B15" s="34">
        <v>16109</v>
      </c>
      <c r="C15" s="35" t="s">
        <v>3642</v>
      </c>
      <c r="D15" s="36"/>
      <c r="E15" s="9"/>
      <c r="F15" s="39"/>
      <c r="G15" s="39"/>
    </row>
    <row r="16" spans="1:10">
      <c r="A16" s="33">
        <v>12110</v>
      </c>
      <c r="B16" s="34">
        <v>16110</v>
      </c>
      <c r="C16" s="35" t="s">
        <v>3642</v>
      </c>
      <c r="D16" s="34">
        <v>9729109</v>
      </c>
      <c r="E16" s="9"/>
      <c r="F16" s="39"/>
      <c r="G16" s="39"/>
    </row>
    <row r="17" spans="1:7">
      <c r="A17" s="33">
        <v>12111</v>
      </c>
      <c r="B17" s="34">
        <v>16111</v>
      </c>
      <c r="C17" s="35" t="s">
        <v>3642</v>
      </c>
      <c r="D17" s="34">
        <v>9729111</v>
      </c>
      <c r="E17" s="9"/>
      <c r="F17" s="39"/>
      <c r="G17" s="39"/>
    </row>
    <row r="18" spans="1:7">
      <c r="A18" s="33">
        <v>12112</v>
      </c>
      <c r="B18" s="34">
        <v>16112</v>
      </c>
      <c r="C18" s="35" t="s">
        <v>3642</v>
      </c>
      <c r="D18" s="34">
        <v>9729113</v>
      </c>
      <c r="E18" s="9"/>
      <c r="F18" s="39"/>
      <c r="G18" s="39"/>
    </row>
    <row r="19" spans="1:7">
      <c r="A19" s="33">
        <v>12113</v>
      </c>
      <c r="B19" s="34">
        <v>16113</v>
      </c>
      <c r="C19" s="35" t="s">
        <v>3642</v>
      </c>
      <c r="D19" s="34">
        <v>9729115</v>
      </c>
      <c r="E19" s="9"/>
      <c r="F19" s="39"/>
      <c r="G19" s="39"/>
    </row>
    <row r="20" spans="1:7">
      <c r="A20" s="33">
        <v>12114</v>
      </c>
      <c r="B20" s="34">
        <v>16114</v>
      </c>
      <c r="C20" s="35" t="s">
        <v>3642</v>
      </c>
      <c r="D20" s="34">
        <v>9729117</v>
      </c>
      <c r="E20" s="9"/>
      <c r="F20" s="39"/>
      <c r="G20" s="39"/>
    </row>
    <row r="21" spans="1:7">
      <c r="A21" s="33">
        <v>12115</v>
      </c>
      <c r="B21" s="34">
        <v>16115</v>
      </c>
      <c r="C21" s="35" t="s">
        <v>3642</v>
      </c>
      <c r="D21" s="34">
        <v>9729119</v>
      </c>
      <c r="E21" s="9"/>
      <c r="F21" s="39"/>
      <c r="G21" s="39"/>
    </row>
    <row r="22" spans="1:7">
      <c r="A22" s="33">
        <v>12116</v>
      </c>
      <c r="B22" s="34">
        <v>16116</v>
      </c>
      <c r="C22" s="35" t="s">
        <v>3642</v>
      </c>
      <c r="D22" s="34">
        <v>9729121</v>
      </c>
      <c r="E22" s="9"/>
      <c r="F22" s="39"/>
      <c r="G22" s="39"/>
    </row>
    <row r="23" spans="1:7">
      <c r="A23" s="33">
        <v>12117</v>
      </c>
      <c r="B23" s="34">
        <v>16117</v>
      </c>
      <c r="C23" s="35" t="s">
        <v>3642</v>
      </c>
      <c r="D23" s="36">
        <v>9729709</v>
      </c>
      <c r="E23" s="9"/>
      <c r="F23" s="39"/>
      <c r="G23" s="39"/>
    </row>
    <row r="24" spans="1:7">
      <c r="A24" s="33">
        <v>12118</v>
      </c>
      <c r="B24" s="34">
        <v>16118</v>
      </c>
      <c r="C24" s="35" t="s">
        <v>3642</v>
      </c>
      <c r="D24" s="36">
        <v>9729751</v>
      </c>
      <c r="E24" s="9"/>
      <c r="F24" s="39"/>
      <c r="G24" s="39"/>
    </row>
    <row r="25" spans="1:7">
      <c r="A25" s="33">
        <v>12119</v>
      </c>
      <c r="B25" s="34">
        <v>16119</v>
      </c>
      <c r="C25" s="35" t="s">
        <v>3642</v>
      </c>
      <c r="D25" s="36"/>
      <c r="E25" s="9"/>
      <c r="F25" s="39"/>
      <c r="G25" s="39"/>
    </row>
    <row r="26" spans="1:7">
      <c r="A26" s="33">
        <v>12120</v>
      </c>
      <c r="B26" s="34">
        <v>16120</v>
      </c>
      <c r="C26" s="35" t="s">
        <v>3642</v>
      </c>
      <c r="D26" s="36"/>
      <c r="E26" s="9"/>
      <c r="F26" s="39"/>
      <c r="G26" s="39"/>
    </row>
    <row r="27" spans="1:7">
      <c r="A27" s="33">
        <v>12121</v>
      </c>
      <c r="B27" s="34">
        <v>16121</v>
      </c>
      <c r="C27" s="35" t="s">
        <v>3642</v>
      </c>
      <c r="D27" s="36"/>
      <c r="E27" s="9"/>
      <c r="F27" s="39"/>
      <c r="G27" s="39"/>
    </row>
    <row r="28" spans="1:7">
      <c r="A28" s="33">
        <v>12122</v>
      </c>
      <c r="B28" s="34">
        <v>16122</v>
      </c>
      <c r="C28" s="35" t="s">
        <v>3642</v>
      </c>
      <c r="D28" s="36"/>
      <c r="E28" s="9"/>
      <c r="F28" s="39"/>
      <c r="G28" s="39"/>
    </row>
    <row r="29" spans="1:7">
      <c r="A29" s="33">
        <v>12123</v>
      </c>
      <c r="B29" s="34">
        <v>16123</v>
      </c>
      <c r="C29" s="35" t="s">
        <v>3642</v>
      </c>
      <c r="D29" s="36"/>
      <c r="E29" s="9"/>
      <c r="F29" s="39"/>
      <c r="G29" s="39"/>
    </row>
    <row r="30" spans="1:7">
      <c r="A30" s="33">
        <v>12124</v>
      </c>
      <c r="B30" s="34">
        <v>16124</v>
      </c>
      <c r="C30" s="35" t="s">
        <v>3642</v>
      </c>
      <c r="D30" s="36"/>
      <c r="E30" s="9"/>
      <c r="F30" s="39"/>
      <c r="G30" s="39"/>
    </row>
    <row r="31" spans="1:7">
      <c r="A31" s="33">
        <v>12125</v>
      </c>
      <c r="B31" s="34">
        <v>16125</v>
      </c>
      <c r="C31" s="35" t="s">
        <v>3642</v>
      </c>
      <c r="D31" s="36"/>
      <c r="E31" s="9"/>
      <c r="F31" s="39"/>
      <c r="G31" s="39"/>
    </row>
    <row r="32" spans="1:7">
      <c r="A32" s="33">
        <v>12126</v>
      </c>
      <c r="B32" s="34">
        <v>16126</v>
      </c>
      <c r="C32" s="35" t="s">
        <v>3642</v>
      </c>
      <c r="D32" s="36"/>
      <c r="E32" s="9"/>
      <c r="F32" s="39"/>
      <c r="G32" s="39"/>
    </row>
    <row r="33" spans="1:7">
      <c r="A33" s="33">
        <v>12127</v>
      </c>
      <c r="B33" s="34">
        <v>16127</v>
      </c>
      <c r="C33" s="35" t="s">
        <v>3642</v>
      </c>
      <c r="D33" s="36"/>
      <c r="E33" s="9"/>
      <c r="F33" s="39"/>
      <c r="G33" s="39"/>
    </row>
    <row r="34" spans="1:7">
      <c r="A34" s="33">
        <v>12128</v>
      </c>
      <c r="B34" s="34">
        <v>16128</v>
      </c>
      <c r="C34" s="35" t="s">
        <v>3642</v>
      </c>
      <c r="D34" s="36"/>
      <c r="E34" s="9"/>
      <c r="F34" s="39"/>
      <c r="G34" s="39"/>
    </row>
    <row r="35" spans="1:7">
      <c r="A35" s="33">
        <v>12129</v>
      </c>
      <c r="B35" s="34">
        <v>16129</v>
      </c>
      <c r="C35" s="35" t="s">
        <v>3642</v>
      </c>
      <c r="D35" s="36"/>
      <c r="E35" s="9"/>
      <c r="F35" s="39"/>
      <c r="G35" s="39"/>
    </row>
    <row r="36" spans="1:7">
      <c r="A36" s="33">
        <v>12130</v>
      </c>
      <c r="B36" s="34">
        <v>16130</v>
      </c>
      <c r="C36" s="35" t="s">
        <v>3642</v>
      </c>
      <c r="D36" s="36"/>
      <c r="E36" s="9"/>
      <c r="F36" s="39"/>
      <c r="G36" s="39"/>
    </row>
    <row r="37" spans="1:7">
      <c r="A37" s="33">
        <v>12131</v>
      </c>
      <c r="B37" s="34">
        <v>16131</v>
      </c>
      <c r="C37" s="35" t="s">
        <v>3642</v>
      </c>
      <c r="D37" s="36"/>
      <c r="E37" s="9"/>
      <c r="F37" s="39"/>
      <c r="G37" s="39"/>
    </row>
    <row r="38" spans="1:7">
      <c r="A38" s="33">
        <v>12132</v>
      </c>
      <c r="B38" s="34">
        <v>16132</v>
      </c>
      <c r="C38" s="35" t="s">
        <v>3642</v>
      </c>
      <c r="D38" s="36"/>
      <c r="E38" s="9"/>
      <c r="F38" s="39"/>
      <c r="G38" s="39"/>
    </row>
    <row r="39" spans="1:7">
      <c r="A39" s="33">
        <v>12133</v>
      </c>
      <c r="B39" s="34">
        <v>16133</v>
      </c>
      <c r="C39" s="35" t="s">
        <v>3642</v>
      </c>
      <c r="D39" s="36"/>
      <c r="E39" s="9"/>
      <c r="F39" s="39"/>
      <c r="G39" s="39"/>
    </row>
    <row r="40" spans="1:7">
      <c r="A40" s="33">
        <v>12134</v>
      </c>
      <c r="B40" s="34">
        <v>16134</v>
      </c>
      <c r="C40" s="35" t="s">
        <v>3642</v>
      </c>
      <c r="D40" s="36"/>
      <c r="E40" s="9"/>
      <c r="F40" s="39"/>
      <c r="G40" s="39"/>
    </row>
    <row r="41" spans="1:7">
      <c r="A41" s="33">
        <v>12135</v>
      </c>
      <c r="B41" s="34">
        <v>16135</v>
      </c>
      <c r="C41" s="35" t="s">
        <v>3642</v>
      </c>
      <c r="D41" s="36"/>
      <c r="E41" s="9"/>
      <c r="F41" s="39"/>
      <c r="G41" s="39"/>
    </row>
    <row r="42" spans="1:7">
      <c r="A42" s="33">
        <v>12136</v>
      </c>
      <c r="B42" s="34">
        <v>16136</v>
      </c>
      <c r="C42" s="35" t="s">
        <v>3642</v>
      </c>
      <c r="D42" s="36"/>
      <c r="E42" s="9"/>
      <c r="F42" s="39"/>
      <c r="G42" s="39"/>
    </row>
    <row r="43" spans="1:7">
      <c r="A43" s="33">
        <v>12137</v>
      </c>
      <c r="B43" s="34">
        <v>16137</v>
      </c>
      <c r="C43" s="35" t="s">
        <v>3642</v>
      </c>
      <c r="D43" s="36"/>
      <c r="E43" s="9"/>
      <c r="F43" s="39"/>
      <c r="G43" s="39"/>
    </row>
    <row r="44" spans="1:7">
      <c r="A44" s="33">
        <v>12138</v>
      </c>
      <c r="B44" s="34">
        <v>16138</v>
      </c>
      <c r="C44" s="35" t="s">
        <v>3642</v>
      </c>
      <c r="D44" s="36"/>
      <c r="E44" s="9"/>
      <c r="F44" s="39"/>
      <c r="G44" s="39"/>
    </row>
    <row r="45" spans="1:7">
      <c r="A45" s="33">
        <v>12139</v>
      </c>
      <c r="B45" s="34">
        <v>16139</v>
      </c>
      <c r="C45" s="35" t="s">
        <v>3642</v>
      </c>
      <c r="D45" s="36"/>
      <c r="E45" s="9"/>
      <c r="F45" s="39"/>
      <c r="G45" s="39"/>
    </row>
    <row r="46" spans="1:7">
      <c r="A46" s="33">
        <v>12140</v>
      </c>
      <c r="B46" s="34">
        <v>16140</v>
      </c>
      <c r="C46" s="35" t="s">
        <v>3642</v>
      </c>
      <c r="D46" s="36"/>
      <c r="E46" s="9"/>
      <c r="F46" s="39"/>
      <c r="G46" s="39"/>
    </row>
    <row r="47" spans="1:7">
      <c r="A47" s="33">
        <v>12141</v>
      </c>
      <c r="B47" s="34">
        <v>16141</v>
      </c>
      <c r="C47" s="35" t="s">
        <v>3642</v>
      </c>
      <c r="D47" s="36"/>
      <c r="E47" s="9"/>
      <c r="F47" s="39"/>
      <c r="G47" s="39"/>
    </row>
    <row r="48" spans="1:7">
      <c r="A48" s="33">
        <v>12142</v>
      </c>
      <c r="B48" s="34">
        <v>16142</v>
      </c>
      <c r="C48" s="35" t="s">
        <v>3642</v>
      </c>
      <c r="D48" s="36"/>
      <c r="E48" s="9"/>
      <c r="F48" s="39"/>
      <c r="G48" s="39"/>
    </row>
    <row r="49" spans="1:7">
      <c r="A49" s="33">
        <v>12143</v>
      </c>
      <c r="B49" s="34">
        <v>16143</v>
      </c>
      <c r="C49" s="35" t="s">
        <v>3642</v>
      </c>
      <c r="D49" s="36"/>
      <c r="E49" s="9"/>
      <c r="F49" s="39"/>
      <c r="G49" s="39"/>
    </row>
    <row r="50" spans="1:7">
      <c r="A50" s="33">
        <v>12144</v>
      </c>
      <c r="B50" s="34">
        <v>16144</v>
      </c>
      <c r="C50" s="35" t="s">
        <v>3642</v>
      </c>
      <c r="D50" s="36"/>
      <c r="E50" s="9"/>
      <c r="F50" s="39"/>
      <c r="G50" s="39"/>
    </row>
    <row r="51" spans="1:7">
      <c r="A51" s="33">
        <v>12145</v>
      </c>
      <c r="B51" s="34">
        <v>16145</v>
      </c>
      <c r="C51" s="35" t="s">
        <v>3642</v>
      </c>
      <c r="D51" s="36"/>
      <c r="E51" s="9"/>
      <c r="F51" s="39"/>
      <c r="G51" s="39"/>
    </row>
    <row r="52" spans="1:7">
      <c r="A52" s="33">
        <v>12146</v>
      </c>
      <c r="B52" s="34">
        <v>16146</v>
      </c>
      <c r="C52" s="35" t="s">
        <v>3642</v>
      </c>
      <c r="D52" s="36"/>
      <c r="E52" s="9"/>
      <c r="F52" s="39"/>
      <c r="G52" s="39"/>
    </row>
    <row r="53" spans="1:7">
      <c r="A53" s="33">
        <v>12147</v>
      </c>
      <c r="B53" s="34">
        <v>16147</v>
      </c>
      <c r="C53" s="35" t="s">
        <v>3642</v>
      </c>
      <c r="D53" s="36"/>
      <c r="E53" s="9"/>
      <c r="F53" s="39"/>
      <c r="G53" s="39"/>
    </row>
    <row r="54" spans="1:7">
      <c r="A54" s="33">
        <v>12148</v>
      </c>
      <c r="B54" s="34">
        <v>16148</v>
      </c>
      <c r="C54" s="35" t="s">
        <v>3642</v>
      </c>
      <c r="D54" s="36"/>
      <c r="E54" s="9"/>
      <c r="F54" s="39"/>
      <c r="G54" s="39"/>
    </row>
    <row r="55" spans="1:7">
      <c r="A55" s="33">
        <v>12149</v>
      </c>
      <c r="B55" s="34">
        <v>16149</v>
      </c>
      <c r="C55" s="35" t="s">
        <v>3642</v>
      </c>
      <c r="D55" s="36"/>
      <c r="E55" s="9"/>
      <c r="F55" s="39"/>
      <c r="G55" s="39"/>
    </row>
    <row r="56" spans="1:7">
      <c r="A56" s="33">
        <v>12150</v>
      </c>
      <c r="B56" s="34">
        <v>16150</v>
      </c>
      <c r="C56" s="35" t="s">
        <v>3642</v>
      </c>
      <c r="D56" s="36"/>
      <c r="E56" s="9"/>
      <c r="F56" s="39"/>
      <c r="G56" s="39"/>
    </row>
    <row r="57" spans="1:7">
      <c r="A57" s="43">
        <v>13500</v>
      </c>
      <c r="B57" s="44">
        <v>13500</v>
      </c>
      <c r="C57" s="45" t="s">
        <v>3642</v>
      </c>
      <c r="D57" s="46">
        <v>9729700</v>
      </c>
      <c r="E57" s="47" t="s">
        <v>3643</v>
      </c>
      <c r="F57" s="48"/>
      <c r="G57" s="48" t="s">
        <v>3644</v>
      </c>
    </row>
  </sheetData>
  <sheetProtection algorithmName="SHA-512" hashValue="bi9HRjs6QPqZ5y2S8erBn8KfdEBENYOCeV7+89bN58YF0GR5vczgB75PB4qj16I4TEd2TMD3MvU/e6oTvcRIYQ==" saltValue="HFuJ/L52KCDn43i0tq7Smg==" spinCount="100000" sheet="1" objects="1" scenarios="1"/>
  <pageMargins left="0.7" right="0.7" top="0.75" bottom="0.75" header="0.3" footer="0.3"/>
  <pageSetup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9"/>
  <dimension ref="A1:G344"/>
  <sheetViews>
    <sheetView workbookViewId="0">
      <pane ySplit="1" topLeftCell="A99" activePane="bottomLeft" state="frozen"/>
      <selection pane="bottomLeft" activeCell="D121" sqref="D121"/>
    </sheetView>
  </sheetViews>
  <sheetFormatPr defaultColWidth="8.7109375" defaultRowHeight="15"/>
  <cols>
    <col min="1" max="4" width="11" customWidth="1"/>
  </cols>
  <sheetData>
    <row r="1" spans="1:7" ht="30">
      <c r="A1" s="89" t="s">
        <v>3605</v>
      </c>
      <c r="B1" s="90" t="s">
        <v>3606</v>
      </c>
      <c r="C1" s="90" t="s">
        <v>3607</v>
      </c>
      <c r="D1" s="91" t="s">
        <v>3641</v>
      </c>
      <c r="E1" s="92" t="s">
        <v>3610</v>
      </c>
      <c r="F1" s="93" t="s">
        <v>3611</v>
      </c>
      <c r="G1" s="91" t="s">
        <v>3645</v>
      </c>
    </row>
    <row r="2" spans="1:7">
      <c r="A2" s="33">
        <v>11501</v>
      </c>
      <c r="B2" s="65">
        <v>15501</v>
      </c>
      <c r="C2" s="88" t="s">
        <v>3646</v>
      </c>
      <c r="D2" s="34">
        <v>9771381</v>
      </c>
      <c r="E2" s="66"/>
      <c r="F2" s="38"/>
    </row>
    <row r="3" spans="1:7">
      <c r="A3" s="33">
        <v>11502</v>
      </c>
      <c r="B3" s="65">
        <v>15502</v>
      </c>
      <c r="C3" s="88" t="s">
        <v>3646</v>
      </c>
      <c r="D3" s="34">
        <v>9771383</v>
      </c>
      <c r="E3" s="66"/>
      <c r="F3" s="38"/>
    </row>
    <row r="4" spans="1:7">
      <c r="A4" s="67">
        <v>11503</v>
      </c>
      <c r="B4" s="65">
        <v>15503</v>
      </c>
      <c r="C4" s="88" t="s">
        <v>3646</v>
      </c>
      <c r="D4" s="40"/>
      <c r="E4" s="68"/>
      <c r="F4" s="39"/>
    </row>
    <row r="5" spans="1:7">
      <c r="A5" s="33">
        <v>11505</v>
      </c>
      <c r="B5" s="65">
        <v>15505</v>
      </c>
      <c r="C5" s="88" t="s">
        <v>3646</v>
      </c>
      <c r="D5" s="34">
        <v>9771749</v>
      </c>
      <c r="E5" s="68"/>
      <c r="F5" s="179"/>
    </row>
    <row r="6" spans="1:7">
      <c r="A6" s="33">
        <v>11507</v>
      </c>
      <c r="B6" s="65">
        <v>15507</v>
      </c>
      <c r="C6" s="88" t="s">
        <v>3646</v>
      </c>
      <c r="D6" s="34">
        <v>9771763</v>
      </c>
      <c r="E6" s="69"/>
      <c r="F6" s="38"/>
    </row>
    <row r="7" spans="1:7">
      <c r="A7" s="136">
        <v>11508</v>
      </c>
      <c r="B7" s="137" t="e">
        <v>#N/A</v>
      </c>
      <c r="C7" s="138" t="s">
        <v>3646</v>
      </c>
      <c r="D7" s="139" t="s">
        <v>3647</v>
      </c>
      <c r="E7" s="140"/>
      <c r="F7" s="180" t="s">
        <v>3648</v>
      </c>
      <c r="G7" s="141" t="s">
        <v>3649</v>
      </c>
    </row>
    <row r="8" spans="1:7">
      <c r="A8" s="33">
        <v>11509</v>
      </c>
      <c r="B8" s="65">
        <v>15509</v>
      </c>
      <c r="C8" s="88" t="s">
        <v>3646</v>
      </c>
      <c r="D8" s="34"/>
      <c r="E8" s="71"/>
      <c r="F8" s="39"/>
    </row>
    <row r="9" spans="1:7">
      <c r="A9" s="33">
        <v>11510</v>
      </c>
      <c r="B9" s="65">
        <v>15510</v>
      </c>
      <c r="C9" s="88" t="s">
        <v>3646</v>
      </c>
      <c r="D9" s="34"/>
      <c r="E9" s="66"/>
      <c r="F9" s="39"/>
    </row>
    <row r="10" spans="1:7">
      <c r="A10" s="33" t="s">
        <v>3650</v>
      </c>
      <c r="B10" s="65">
        <v>15511</v>
      </c>
      <c r="C10" s="88" t="s">
        <v>3646</v>
      </c>
      <c r="D10" s="40" t="s">
        <v>3651</v>
      </c>
      <c r="E10" s="68"/>
      <c r="F10" s="39"/>
    </row>
    <row r="11" spans="1:7">
      <c r="A11" s="33">
        <v>11512</v>
      </c>
      <c r="B11" s="65">
        <v>15512</v>
      </c>
      <c r="C11" s="88" t="s">
        <v>3646</v>
      </c>
      <c r="D11" s="40" t="s">
        <v>3652</v>
      </c>
      <c r="E11" s="68"/>
      <c r="F11" s="120"/>
    </row>
    <row r="12" spans="1:7">
      <c r="A12" s="33">
        <v>11513</v>
      </c>
      <c r="B12" s="65">
        <v>15513</v>
      </c>
      <c r="C12" s="88" t="s">
        <v>3646</v>
      </c>
      <c r="D12" s="34">
        <v>9771385</v>
      </c>
      <c r="E12" s="70"/>
      <c r="F12" s="38"/>
    </row>
    <row r="13" spans="1:7">
      <c r="A13" s="33">
        <v>11514</v>
      </c>
      <c r="B13" s="65">
        <v>15514</v>
      </c>
      <c r="C13" s="88" t="s">
        <v>3646</v>
      </c>
      <c r="D13" s="34">
        <v>9771387</v>
      </c>
      <c r="E13" s="70"/>
      <c r="F13" s="38"/>
    </row>
    <row r="14" spans="1:7">
      <c r="A14" s="33">
        <v>11515</v>
      </c>
      <c r="B14" s="65">
        <v>15515</v>
      </c>
      <c r="C14" s="88" t="s">
        <v>3646</v>
      </c>
      <c r="D14" s="34">
        <v>9771389</v>
      </c>
      <c r="E14" s="70"/>
      <c r="F14" s="38"/>
    </row>
    <row r="15" spans="1:7">
      <c r="A15" s="33">
        <v>11516</v>
      </c>
      <c r="B15" s="65">
        <v>15516</v>
      </c>
      <c r="C15" s="88" t="s">
        <v>3646</v>
      </c>
      <c r="D15" s="34"/>
      <c r="E15" s="70"/>
      <c r="F15" s="38"/>
    </row>
    <row r="16" spans="1:7">
      <c r="A16" s="33">
        <v>11517</v>
      </c>
      <c r="B16" s="65">
        <v>15517</v>
      </c>
      <c r="C16" s="88" t="s">
        <v>3646</v>
      </c>
      <c r="D16" s="34">
        <v>9771393</v>
      </c>
      <c r="E16" s="68"/>
      <c r="F16" s="38"/>
    </row>
    <row r="17" spans="1:7">
      <c r="A17" s="33">
        <v>11518</v>
      </c>
      <c r="B17" s="65">
        <v>15518</v>
      </c>
      <c r="C17" s="88" t="s">
        <v>3646</v>
      </c>
      <c r="D17" s="34">
        <v>9771761</v>
      </c>
      <c r="E17" s="68"/>
      <c r="F17" s="38"/>
    </row>
    <row r="18" spans="1:7">
      <c r="A18" s="33">
        <v>11519</v>
      </c>
      <c r="B18" s="65">
        <v>15519</v>
      </c>
      <c r="C18" s="88" t="s">
        <v>3646</v>
      </c>
      <c r="D18" s="34"/>
      <c r="E18" s="68"/>
      <c r="F18" s="38"/>
    </row>
    <row r="19" spans="1:7">
      <c r="A19" s="33" t="s">
        <v>3653</v>
      </c>
      <c r="B19" s="65">
        <v>15520</v>
      </c>
      <c r="C19" s="88" t="s">
        <v>3646</v>
      </c>
      <c r="D19" s="34">
        <v>9771767</v>
      </c>
      <c r="E19" s="68"/>
      <c r="F19" s="38"/>
    </row>
    <row r="20" spans="1:7">
      <c r="A20" s="142" t="s">
        <v>3654</v>
      </c>
      <c r="B20" s="143">
        <v>15521</v>
      </c>
      <c r="C20" s="138" t="s">
        <v>3646</v>
      </c>
      <c r="D20" s="139" t="s">
        <v>3647</v>
      </c>
      <c r="E20" s="144"/>
      <c r="F20" s="145" t="s">
        <v>3648</v>
      </c>
      <c r="G20" s="141" t="s">
        <v>3649</v>
      </c>
    </row>
    <row r="21" spans="1:7">
      <c r="A21" s="33" t="s">
        <v>3655</v>
      </c>
      <c r="B21" s="65">
        <v>15522</v>
      </c>
      <c r="C21" s="88" t="s">
        <v>3646</v>
      </c>
      <c r="D21" s="40" t="s">
        <v>3656</v>
      </c>
      <c r="E21" s="68"/>
      <c r="F21" s="39"/>
    </row>
    <row r="22" spans="1:7">
      <c r="A22" s="33">
        <v>11523</v>
      </c>
      <c r="B22" s="65">
        <v>15523</v>
      </c>
      <c r="C22" s="88" t="s">
        <v>3646</v>
      </c>
      <c r="D22" s="40"/>
      <c r="E22" s="68"/>
      <c r="F22" s="39"/>
    </row>
    <row r="23" spans="1:7">
      <c r="A23" s="33">
        <v>11524</v>
      </c>
      <c r="B23" s="65">
        <v>15524</v>
      </c>
      <c r="C23" s="88" t="s">
        <v>3646</v>
      </c>
      <c r="D23" s="40"/>
      <c r="E23" s="68"/>
      <c r="F23" s="39"/>
    </row>
    <row r="24" spans="1:7">
      <c r="A24" s="33">
        <v>11525</v>
      </c>
      <c r="B24" s="65">
        <v>15525</v>
      </c>
      <c r="C24" s="88" t="s">
        <v>3646</v>
      </c>
      <c r="D24" s="34">
        <v>9771765</v>
      </c>
      <c r="E24" s="69"/>
      <c r="F24" s="38"/>
    </row>
    <row r="25" spans="1:7">
      <c r="A25" s="33">
        <v>11526</v>
      </c>
      <c r="B25" s="65">
        <v>15526</v>
      </c>
      <c r="C25" s="88" t="s">
        <v>3646</v>
      </c>
      <c r="D25" s="34">
        <v>9771349</v>
      </c>
      <c r="E25" s="70"/>
      <c r="F25" s="38"/>
    </row>
    <row r="26" spans="1:7">
      <c r="A26" s="33">
        <v>11527</v>
      </c>
      <c r="B26" s="65">
        <v>15527</v>
      </c>
      <c r="C26" s="88" t="s">
        <v>3646</v>
      </c>
      <c r="D26" s="40" t="s">
        <v>3657</v>
      </c>
      <c r="E26" s="68"/>
      <c r="F26" s="39"/>
    </row>
    <row r="27" spans="1:7">
      <c r="A27" s="33">
        <v>11528</v>
      </c>
      <c r="B27" s="65">
        <v>15528</v>
      </c>
      <c r="C27" s="88" t="s">
        <v>3646</v>
      </c>
      <c r="D27" s="40" t="s">
        <v>3658</v>
      </c>
      <c r="E27" s="68"/>
      <c r="F27" s="39"/>
    </row>
    <row r="28" spans="1:7">
      <c r="A28" s="142">
        <v>11529</v>
      </c>
      <c r="B28" s="143">
        <v>15529</v>
      </c>
      <c r="C28" s="138" t="s">
        <v>3646</v>
      </c>
      <c r="D28" s="139" t="s">
        <v>3647</v>
      </c>
      <c r="E28" s="146"/>
      <c r="F28" s="145" t="s">
        <v>3648</v>
      </c>
      <c r="G28" s="141" t="s">
        <v>3649</v>
      </c>
    </row>
    <row r="29" spans="1:7" s="141" customFormat="1">
      <c r="A29" s="33">
        <v>11530</v>
      </c>
      <c r="B29" s="65">
        <v>15530</v>
      </c>
      <c r="C29" s="88" t="s">
        <v>3646</v>
      </c>
      <c r="D29" s="40"/>
      <c r="E29" s="68"/>
      <c r="F29" s="39"/>
      <c r="G29"/>
    </row>
    <row r="30" spans="1:7">
      <c r="A30" s="33">
        <v>11531</v>
      </c>
      <c r="B30" s="65">
        <v>15531</v>
      </c>
      <c r="C30" s="88" t="s">
        <v>3646</v>
      </c>
      <c r="D30" s="40" t="s">
        <v>3659</v>
      </c>
      <c r="E30" s="68"/>
      <c r="F30" s="39"/>
    </row>
    <row r="31" spans="1:7">
      <c r="A31" s="33">
        <v>11532</v>
      </c>
      <c r="B31" s="65">
        <v>15532</v>
      </c>
      <c r="C31" s="88" t="s">
        <v>3646</v>
      </c>
      <c r="D31" s="40" t="s">
        <v>3660</v>
      </c>
      <c r="E31" s="72"/>
      <c r="F31" s="39"/>
    </row>
    <row r="32" spans="1:7">
      <c r="A32" s="33">
        <v>11533</v>
      </c>
      <c r="B32" s="65">
        <v>15533</v>
      </c>
      <c r="C32" s="88" t="s">
        <v>3646</v>
      </c>
      <c r="D32" s="40" t="s">
        <v>3661</v>
      </c>
      <c r="E32" s="72"/>
      <c r="F32" s="39"/>
    </row>
    <row r="33" spans="1:7">
      <c r="A33" s="33">
        <v>11534</v>
      </c>
      <c r="B33" s="65">
        <v>15534</v>
      </c>
      <c r="C33" s="88" t="s">
        <v>3646</v>
      </c>
      <c r="D33" s="40" t="s">
        <v>3662</v>
      </c>
      <c r="E33" s="72"/>
      <c r="F33" s="39"/>
    </row>
    <row r="34" spans="1:7">
      <c r="A34" s="33">
        <v>11535</v>
      </c>
      <c r="B34" s="65">
        <v>15535</v>
      </c>
      <c r="C34" s="88" t="s">
        <v>3646</v>
      </c>
      <c r="D34" s="40"/>
      <c r="E34" s="72"/>
      <c r="F34" s="39"/>
    </row>
    <row r="35" spans="1:7">
      <c r="A35" s="33">
        <v>11536</v>
      </c>
      <c r="B35" s="65">
        <v>15536</v>
      </c>
      <c r="C35" s="88" t="s">
        <v>3646</v>
      </c>
      <c r="D35" s="73"/>
      <c r="E35" s="72"/>
      <c r="F35" s="39"/>
    </row>
    <row r="36" spans="1:7">
      <c r="A36" s="33">
        <v>11537</v>
      </c>
      <c r="B36" s="65">
        <v>15537</v>
      </c>
      <c r="C36" s="88" t="s">
        <v>3646</v>
      </c>
      <c r="D36" s="34"/>
      <c r="E36" s="72"/>
      <c r="F36" s="39"/>
    </row>
    <row r="37" spans="1:7">
      <c r="A37" s="33">
        <v>11538</v>
      </c>
      <c r="B37" s="65">
        <v>11538</v>
      </c>
      <c r="C37" s="88" t="s">
        <v>3646</v>
      </c>
      <c r="D37" s="40">
        <v>9771465</v>
      </c>
      <c r="E37" s="68"/>
      <c r="F37" s="39"/>
    </row>
    <row r="38" spans="1:7">
      <c r="A38" s="142">
        <v>11539</v>
      </c>
      <c r="B38" s="143">
        <v>15539</v>
      </c>
      <c r="C38" s="138" t="s">
        <v>3646</v>
      </c>
      <c r="D38" s="139" t="s">
        <v>3647</v>
      </c>
      <c r="E38" s="146"/>
      <c r="F38" s="145" t="s">
        <v>3648</v>
      </c>
      <c r="G38" s="141" t="s">
        <v>3649</v>
      </c>
    </row>
    <row r="39" spans="1:7" s="141" customFormat="1">
      <c r="A39" s="67">
        <v>11540</v>
      </c>
      <c r="B39" s="65">
        <v>15540</v>
      </c>
      <c r="C39" s="88" t="s">
        <v>3646</v>
      </c>
      <c r="D39" s="40">
        <v>9771469</v>
      </c>
      <c r="E39" s="68"/>
      <c r="F39" s="39"/>
      <c r="G39"/>
    </row>
    <row r="40" spans="1:7">
      <c r="A40" s="33">
        <v>11541</v>
      </c>
      <c r="B40" s="65">
        <v>15541</v>
      </c>
      <c r="C40" s="88" t="s">
        <v>3646</v>
      </c>
      <c r="D40" s="40"/>
      <c r="E40" s="68"/>
      <c r="F40" s="39"/>
    </row>
    <row r="41" spans="1:7">
      <c r="A41" s="142">
        <v>11542</v>
      </c>
      <c r="B41" s="143">
        <v>15542</v>
      </c>
      <c r="C41" s="138" t="s">
        <v>3646</v>
      </c>
      <c r="D41" s="139" t="s">
        <v>3647</v>
      </c>
      <c r="E41" s="146"/>
      <c r="F41" s="145" t="s">
        <v>3648</v>
      </c>
      <c r="G41" s="141" t="s">
        <v>3649</v>
      </c>
    </row>
    <row r="42" spans="1:7" s="141" customFormat="1">
      <c r="A42" s="33">
        <v>11543</v>
      </c>
      <c r="B42" s="65">
        <v>15543</v>
      </c>
      <c r="C42" s="88" t="s">
        <v>3646</v>
      </c>
      <c r="D42" s="40"/>
      <c r="E42" s="68"/>
      <c r="F42" s="39"/>
      <c r="G42"/>
    </row>
    <row r="43" spans="1:7">
      <c r="A43" s="142">
        <v>11544</v>
      </c>
      <c r="B43" s="143">
        <v>15544</v>
      </c>
      <c r="C43" s="138" t="s">
        <v>3646</v>
      </c>
      <c r="D43" s="139" t="s">
        <v>3647</v>
      </c>
      <c r="E43" s="146"/>
      <c r="F43" s="145" t="s">
        <v>3648</v>
      </c>
      <c r="G43" s="141" t="s">
        <v>3649</v>
      </c>
    </row>
    <row r="44" spans="1:7" s="141" customFormat="1">
      <c r="A44" s="142">
        <v>11545</v>
      </c>
      <c r="B44" s="143">
        <v>15545</v>
      </c>
      <c r="C44" s="138" t="s">
        <v>3646</v>
      </c>
      <c r="D44" s="139" t="s">
        <v>3647</v>
      </c>
      <c r="E44" s="146"/>
      <c r="F44" s="145" t="s">
        <v>3648</v>
      </c>
      <c r="G44" s="141" t="s">
        <v>3649</v>
      </c>
    </row>
    <row r="45" spans="1:7" s="141" customFormat="1">
      <c r="A45" s="142">
        <v>11546</v>
      </c>
      <c r="B45" s="143">
        <v>15546</v>
      </c>
      <c r="C45" s="138" t="s">
        <v>3646</v>
      </c>
      <c r="D45" s="139" t="s">
        <v>3647</v>
      </c>
      <c r="E45" s="146"/>
      <c r="F45" s="145" t="s">
        <v>3648</v>
      </c>
      <c r="G45" s="141" t="s">
        <v>3649</v>
      </c>
    </row>
    <row r="46" spans="1:7" s="141" customFormat="1">
      <c r="A46" s="33">
        <v>11547</v>
      </c>
      <c r="B46" s="65">
        <v>15547</v>
      </c>
      <c r="C46" s="88" t="s">
        <v>3646</v>
      </c>
      <c r="D46" s="40">
        <v>9771483</v>
      </c>
      <c r="E46" s="68"/>
      <c r="F46" s="39"/>
      <c r="G46"/>
    </row>
    <row r="47" spans="1:7">
      <c r="A47" s="33">
        <v>11548</v>
      </c>
      <c r="B47" s="65">
        <v>15548</v>
      </c>
      <c r="C47" s="88" t="s">
        <v>3646</v>
      </c>
      <c r="D47" s="40"/>
      <c r="E47" s="68"/>
      <c r="F47" s="39"/>
    </row>
    <row r="48" spans="1:7">
      <c r="A48" s="33">
        <v>11549</v>
      </c>
      <c r="B48" s="65">
        <v>15549</v>
      </c>
      <c r="C48" s="88" t="s">
        <v>3646</v>
      </c>
      <c r="D48" s="40">
        <v>9771487</v>
      </c>
      <c r="E48" s="68"/>
      <c r="F48" s="39"/>
    </row>
    <row r="49" spans="1:7">
      <c r="A49" s="33">
        <v>11550</v>
      </c>
      <c r="B49" s="65">
        <v>15550</v>
      </c>
      <c r="C49" s="88"/>
      <c r="D49" s="40"/>
      <c r="E49" s="68"/>
      <c r="F49" s="39"/>
    </row>
    <row r="50" spans="1:7">
      <c r="A50" s="33">
        <v>11551</v>
      </c>
      <c r="B50" s="65">
        <v>15551</v>
      </c>
      <c r="C50" s="88"/>
      <c r="D50" s="40"/>
      <c r="E50" s="68"/>
      <c r="F50" s="120"/>
    </row>
    <row r="51" spans="1:7">
      <c r="A51" s="142">
        <v>11552</v>
      </c>
      <c r="B51" s="143">
        <v>15552</v>
      </c>
      <c r="C51" s="138" t="s">
        <v>3646</v>
      </c>
      <c r="D51" s="139" t="s">
        <v>3647</v>
      </c>
      <c r="E51" s="146"/>
      <c r="F51" s="151" t="s">
        <v>3648</v>
      </c>
      <c r="G51" s="141" t="s">
        <v>3649</v>
      </c>
    </row>
    <row r="52" spans="1:7" s="141" customFormat="1">
      <c r="A52" s="74">
        <v>11553</v>
      </c>
      <c r="B52" s="65">
        <v>15553</v>
      </c>
      <c r="C52" s="88" t="s">
        <v>3646</v>
      </c>
      <c r="D52" s="40">
        <v>9771491</v>
      </c>
      <c r="E52" s="68"/>
      <c r="F52" s="39"/>
      <c r="G52"/>
    </row>
    <row r="53" spans="1:7">
      <c r="A53" s="33">
        <v>11554</v>
      </c>
      <c r="B53" s="65">
        <v>15554</v>
      </c>
      <c r="C53" s="88" t="s">
        <v>3646</v>
      </c>
      <c r="D53" s="40">
        <v>9771493</v>
      </c>
      <c r="E53" s="68"/>
      <c r="F53" s="39"/>
    </row>
    <row r="54" spans="1:7">
      <c r="A54" s="142">
        <v>11555</v>
      </c>
      <c r="B54" s="143">
        <v>15555</v>
      </c>
      <c r="C54" s="138" t="s">
        <v>3646</v>
      </c>
      <c r="D54" s="139" t="s">
        <v>3647</v>
      </c>
      <c r="E54" s="146"/>
      <c r="F54" s="145" t="s">
        <v>3648</v>
      </c>
      <c r="G54" s="141" t="s">
        <v>3649</v>
      </c>
    </row>
    <row r="55" spans="1:7" s="141" customFormat="1">
      <c r="A55" s="142">
        <v>11556</v>
      </c>
      <c r="B55" s="143">
        <v>15556</v>
      </c>
      <c r="C55" s="138" t="s">
        <v>3646</v>
      </c>
      <c r="D55" s="139" t="s">
        <v>3647</v>
      </c>
      <c r="E55" s="144"/>
      <c r="F55" s="145" t="s">
        <v>3648</v>
      </c>
      <c r="G55" s="141" t="s">
        <v>3649</v>
      </c>
    </row>
    <row r="56" spans="1:7" s="141" customFormat="1">
      <c r="A56" s="142">
        <v>11557</v>
      </c>
      <c r="B56" s="143">
        <v>15557</v>
      </c>
      <c r="C56" s="138" t="s">
        <v>3646</v>
      </c>
      <c r="D56" s="139" t="s">
        <v>3647</v>
      </c>
      <c r="E56" s="147"/>
      <c r="F56" s="145" t="s">
        <v>3648</v>
      </c>
      <c r="G56" s="141" t="s">
        <v>3649</v>
      </c>
    </row>
    <row r="57" spans="1:7" s="141" customFormat="1">
      <c r="A57" s="142">
        <v>11558</v>
      </c>
      <c r="B57" s="148">
        <v>15558</v>
      </c>
      <c r="C57" s="138" t="s">
        <v>3646</v>
      </c>
      <c r="D57" s="139" t="s">
        <v>3647</v>
      </c>
      <c r="E57" s="146"/>
      <c r="F57" s="145" t="s">
        <v>3648</v>
      </c>
      <c r="G57" s="141" t="s">
        <v>3649</v>
      </c>
    </row>
    <row r="58" spans="1:7" s="141" customFormat="1">
      <c r="A58" s="142">
        <v>11559</v>
      </c>
      <c r="B58" s="148">
        <v>15559</v>
      </c>
      <c r="C58" s="138" t="s">
        <v>3646</v>
      </c>
      <c r="D58" s="139" t="s">
        <v>3647</v>
      </c>
      <c r="E58" s="146"/>
      <c r="F58" s="145" t="s">
        <v>3648</v>
      </c>
      <c r="G58" s="141" t="s">
        <v>3649</v>
      </c>
    </row>
    <row r="59" spans="1:7" s="141" customFormat="1">
      <c r="A59" s="142">
        <v>11560</v>
      </c>
      <c r="B59" s="143">
        <v>15560</v>
      </c>
      <c r="C59" s="138" t="s">
        <v>3646</v>
      </c>
      <c r="D59" s="139" t="s">
        <v>3647</v>
      </c>
      <c r="E59" s="146"/>
      <c r="F59" s="145" t="s">
        <v>3648</v>
      </c>
      <c r="G59" s="141" t="s">
        <v>3649</v>
      </c>
    </row>
    <row r="60" spans="1:7" s="141" customFormat="1">
      <c r="A60" s="33">
        <v>11561</v>
      </c>
      <c r="B60" s="65">
        <v>15561</v>
      </c>
      <c r="C60" s="88" t="s">
        <v>3646</v>
      </c>
      <c r="D60" s="34">
        <v>9771741</v>
      </c>
      <c r="E60" s="68"/>
      <c r="F60" s="38"/>
      <c r="G60"/>
    </row>
    <row r="61" spans="1:7">
      <c r="A61" s="142">
        <v>11562</v>
      </c>
      <c r="B61" s="143">
        <v>15562</v>
      </c>
      <c r="C61" s="138" t="s">
        <v>3646</v>
      </c>
      <c r="D61" s="139" t="s">
        <v>3647</v>
      </c>
      <c r="E61" s="146"/>
      <c r="F61" s="145" t="s">
        <v>3648</v>
      </c>
      <c r="G61" s="141" t="s">
        <v>3649</v>
      </c>
    </row>
    <row r="62" spans="1:7" s="141" customFormat="1">
      <c r="A62" s="33">
        <v>11563</v>
      </c>
      <c r="B62" s="65">
        <v>15563</v>
      </c>
      <c r="C62" s="88" t="s">
        <v>3646</v>
      </c>
      <c r="D62" s="40"/>
      <c r="E62" s="68"/>
      <c r="F62" s="39"/>
      <c r="G62"/>
    </row>
    <row r="63" spans="1:7">
      <c r="A63" s="33">
        <v>11564</v>
      </c>
      <c r="B63" s="65">
        <v>15564</v>
      </c>
      <c r="C63" s="88" t="s">
        <v>3646</v>
      </c>
      <c r="D63" s="40"/>
      <c r="E63" s="68"/>
      <c r="F63" s="39"/>
    </row>
    <row r="64" spans="1:7">
      <c r="A64" s="33">
        <v>11565</v>
      </c>
      <c r="B64" s="65">
        <v>15565</v>
      </c>
      <c r="C64" s="88" t="s">
        <v>3646</v>
      </c>
      <c r="D64" s="40"/>
      <c r="E64" s="68"/>
      <c r="F64" s="39"/>
    </row>
    <row r="65" spans="1:7">
      <c r="A65" s="33">
        <v>11566</v>
      </c>
      <c r="B65" s="65">
        <v>15566</v>
      </c>
      <c r="C65" s="88" t="s">
        <v>3646</v>
      </c>
      <c r="D65" s="40"/>
      <c r="E65" s="68"/>
      <c r="F65" s="39"/>
    </row>
    <row r="66" spans="1:7">
      <c r="A66" s="33">
        <v>11567</v>
      </c>
      <c r="B66" s="65">
        <v>15567</v>
      </c>
      <c r="C66" s="88" t="s">
        <v>3646</v>
      </c>
      <c r="D66" s="34">
        <v>9771357</v>
      </c>
      <c r="E66" s="68"/>
      <c r="F66" s="38"/>
    </row>
    <row r="67" spans="1:7">
      <c r="A67" s="33">
        <v>11568</v>
      </c>
      <c r="B67" s="65">
        <v>15568</v>
      </c>
      <c r="C67" s="88" t="s">
        <v>3646</v>
      </c>
      <c r="D67" s="40"/>
      <c r="E67" s="68"/>
      <c r="F67" s="39"/>
    </row>
    <row r="68" spans="1:7">
      <c r="A68" s="33">
        <v>11569</v>
      </c>
      <c r="B68" s="65">
        <v>15569</v>
      </c>
      <c r="C68" s="88" t="s">
        <v>3646</v>
      </c>
      <c r="D68" s="37"/>
      <c r="E68" s="68"/>
      <c r="F68" s="39"/>
    </row>
    <row r="69" spans="1:7">
      <c r="A69" s="33">
        <v>11570</v>
      </c>
      <c r="B69" s="65">
        <v>15570</v>
      </c>
      <c r="C69" s="88" t="s">
        <v>3646</v>
      </c>
      <c r="D69" s="37">
        <v>9771205</v>
      </c>
      <c r="E69" s="68"/>
      <c r="F69" s="38"/>
    </row>
    <row r="70" spans="1:7">
      <c r="A70" s="33">
        <v>11571</v>
      </c>
      <c r="B70" s="65">
        <v>15571</v>
      </c>
      <c r="C70" s="88" t="s">
        <v>3646</v>
      </c>
      <c r="D70" s="37">
        <v>9771425</v>
      </c>
      <c r="E70" s="68"/>
      <c r="F70" s="39"/>
    </row>
    <row r="71" spans="1:7">
      <c r="A71" s="142">
        <v>11572</v>
      </c>
      <c r="B71" s="143">
        <v>15572</v>
      </c>
      <c r="C71" s="138" t="s">
        <v>3646</v>
      </c>
      <c r="D71" s="139" t="s">
        <v>3647</v>
      </c>
      <c r="E71" s="146"/>
      <c r="F71" s="145" t="s">
        <v>3648</v>
      </c>
      <c r="G71" s="141" t="s">
        <v>3649</v>
      </c>
    </row>
    <row r="72" spans="1:7" s="141" customFormat="1">
      <c r="A72" s="33">
        <v>11573</v>
      </c>
      <c r="B72" s="65">
        <v>15573</v>
      </c>
      <c r="C72" s="88" t="s">
        <v>3646</v>
      </c>
      <c r="D72" s="37">
        <v>9771429</v>
      </c>
      <c r="E72" s="75"/>
      <c r="F72" s="39"/>
      <c r="G72"/>
    </row>
    <row r="73" spans="1:7">
      <c r="A73" s="142">
        <v>11574</v>
      </c>
      <c r="B73" s="143">
        <v>15574</v>
      </c>
      <c r="C73" s="138" t="s">
        <v>3646</v>
      </c>
      <c r="D73" s="139" t="s">
        <v>3647</v>
      </c>
      <c r="E73" s="149"/>
      <c r="F73" s="145" t="s">
        <v>3648</v>
      </c>
      <c r="G73" s="141" t="s">
        <v>3649</v>
      </c>
    </row>
    <row r="74" spans="1:7" s="141" customFormat="1">
      <c r="A74" s="33">
        <v>11575</v>
      </c>
      <c r="B74" s="65">
        <v>15575</v>
      </c>
      <c r="C74" s="88" t="s">
        <v>3646</v>
      </c>
      <c r="D74" s="37"/>
      <c r="E74" s="75"/>
      <c r="F74" s="39"/>
      <c r="G74"/>
    </row>
    <row r="75" spans="1:7">
      <c r="A75" s="33">
        <v>11576</v>
      </c>
      <c r="B75" s="65">
        <v>15576</v>
      </c>
      <c r="C75" s="88" t="s">
        <v>3646</v>
      </c>
      <c r="D75" s="34">
        <v>9771435</v>
      </c>
      <c r="E75" s="75"/>
      <c r="F75" s="39"/>
    </row>
    <row r="76" spans="1:7">
      <c r="A76" s="142">
        <v>11577</v>
      </c>
      <c r="B76" s="143">
        <v>15577</v>
      </c>
      <c r="C76" s="138" t="s">
        <v>3646</v>
      </c>
      <c r="D76" s="139" t="s">
        <v>3647</v>
      </c>
      <c r="E76" s="149"/>
      <c r="F76" s="145" t="s">
        <v>3648</v>
      </c>
      <c r="G76" s="141" t="s">
        <v>3649</v>
      </c>
    </row>
    <row r="77" spans="1:7" s="141" customFormat="1">
      <c r="A77" s="33">
        <v>11578</v>
      </c>
      <c r="B77" s="65">
        <v>15578</v>
      </c>
      <c r="C77" s="88" t="s">
        <v>3646</v>
      </c>
      <c r="D77" s="34"/>
      <c r="E77" s="75"/>
      <c r="F77" s="39"/>
      <c r="G77"/>
    </row>
    <row r="78" spans="1:7">
      <c r="A78" s="142">
        <v>11579</v>
      </c>
      <c r="B78" s="143">
        <v>15579</v>
      </c>
      <c r="C78" s="138" t="s">
        <v>3646</v>
      </c>
      <c r="D78" s="139" t="s">
        <v>3647</v>
      </c>
      <c r="E78" s="149"/>
      <c r="F78" s="145" t="s">
        <v>3648</v>
      </c>
      <c r="G78" s="141" t="s">
        <v>3649</v>
      </c>
    </row>
    <row r="79" spans="1:7" s="141" customFormat="1">
      <c r="A79" s="33">
        <v>11580</v>
      </c>
      <c r="B79" s="65">
        <v>15580</v>
      </c>
      <c r="C79" s="88" t="s">
        <v>3646</v>
      </c>
      <c r="D79" s="34"/>
      <c r="E79" s="75"/>
      <c r="F79" s="39"/>
      <c r="G79"/>
    </row>
    <row r="80" spans="1:7">
      <c r="A80" s="33">
        <v>11581</v>
      </c>
      <c r="B80" s="65">
        <v>15581</v>
      </c>
      <c r="C80" s="88" t="s">
        <v>3646</v>
      </c>
      <c r="D80" s="34"/>
      <c r="E80" s="75"/>
      <c r="F80" s="39"/>
    </row>
    <row r="81" spans="1:7">
      <c r="A81" s="33">
        <v>11582</v>
      </c>
      <c r="B81" s="65">
        <v>15582</v>
      </c>
      <c r="C81" s="88" t="s">
        <v>3646</v>
      </c>
      <c r="D81" s="40"/>
      <c r="E81" s="68"/>
      <c r="F81" s="39"/>
    </row>
    <row r="82" spans="1:7">
      <c r="A82" s="33">
        <v>11583</v>
      </c>
      <c r="B82" s="65">
        <v>15583</v>
      </c>
      <c r="C82" s="88" t="s">
        <v>3646</v>
      </c>
      <c r="D82" s="40"/>
      <c r="E82" s="68"/>
      <c r="F82" s="39"/>
    </row>
    <row r="83" spans="1:7">
      <c r="A83" s="33">
        <v>11584</v>
      </c>
      <c r="B83" s="65">
        <v>15584</v>
      </c>
      <c r="C83" s="88" t="s">
        <v>3646</v>
      </c>
      <c r="D83" s="40"/>
      <c r="E83" s="68"/>
      <c r="F83" s="39"/>
    </row>
    <row r="84" spans="1:7">
      <c r="A84" s="142">
        <v>11585</v>
      </c>
      <c r="B84" s="143">
        <v>15585</v>
      </c>
      <c r="C84" s="138" t="s">
        <v>3646</v>
      </c>
      <c r="D84" s="139" t="s">
        <v>3647</v>
      </c>
      <c r="E84" s="146"/>
      <c r="F84" s="145" t="s">
        <v>3648</v>
      </c>
      <c r="G84" s="141" t="s">
        <v>3649</v>
      </c>
    </row>
    <row r="85" spans="1:7" s="141" customFormat="1">
      <c r="A85" s="142">
        <v>11586</v>
      </c>
      <c r="B85" s="143">
        <v>15586</v>
      </c>
      <c r="C85" s="138" t="s">
        <v>3646</v>
      </c>
      <c r="D85" s="78">
        <v>9771455</v>
      </c>
      <c r="E85" s="146"/>
      <c r="F85" s="145" t="s">
        <v>3648</v>
      </c>
      <c r="G85" s="141" t="s">
        <v>3649</v>
      </c>
    </row>
    <row r="86" spans="1:7" s="141" customFormat="1">
      <c r="A86" s="33">
        <v>11587</v>
      </c>
      <c r="B86" s="65">
        <v>15587</v>
      </c>
      <c r="C86" s="88" t="s">
        <v>3646</v>
      </c>
      <c r="D86" s="40">
        <v>9771457</v>
      </c>
      <c r="E86" s="68"/>
      <c r="F86" s="39"/>
      <c r="G86"/>
    </row>
    <row r="87" spans="1:7">
      <c r="A87" s="142">
        <v>11588</v>
      </c>
      <c r="B87" s="143">
        <v>15588</v>
      </c>
      <c r="C87" s="138" t="s">
        <v>3646</v>
      </c>
      <c r="D87" s="139" t="s">
        <v>3647</v>
      </c>
      <c r="E87" s="146"/>
      <c r="F87" s="145" t="s">
        <v>3648</v>
      </c>
      <c r="G87" s="141" t="s">
        <v>3649</v>
      </c>
    </row>
    <row r="88" spans="1:7" s="141" customFormat="1">
      <c r="A88" s="142">
        <v>11589</v>
      </c>
      <c r="B88" s="143">
        <v>15589</v>
      </c>
      <c r="C88" s="138" t="s">
        <v>3646</v>
      </c>
      <c r="D88" s="139" t="s">
        <v>3647</v>
      </c>
      <c r="E88" s="146"/>
      <c r="F88" s="145" t="s">
        <v>3648</v>
      </c>
      <c r="G88" s="141" t="s">
        <v>3649</v>
      </c>
    </row>
    <row r="89" spans="1:7" s="141" customFormat="1">
      <c r="A89" s="142">
        <v>11590</v>
      </c>
      <c r="B89" s="143">
        <v>15590</v>
      </c>
      <c r="C89" s="138" t="s">
        <v>3646</v>
      </c>
      <c r="D89" s="139" t="s">
        <v>3647</v>
      </c>
      <c r="E89" s="146"/>
      <c r="F89" s="145" t="s">
        <v>3663</v>
      </c>
    </row>
    <row r="90" spans="1:7" s="141" customFormat="1">
      <c r="A90" s="142">
        <v>11591</v>
      </c>
      <c r="B90" s="143">
        <v>15591</v>
      </c>
      <c r="C90" s="138" t="s">
        <v>3646</v>
      </c>
      <c r="D90" s="139" t="s">
        <v>3647</v>
      </c>
      <c r="E90" s="146"/>
      <c r="F90" s="145" t="s">
        <v>3648</v>
      </c>
      <c r="G90" s="141" t="s">
        <v>3664</v>
      </c>
    </row>
    <row r="91" spans="1:7">
      <c r="A91" s="142">
        <v>11592</v>
      </c>
      <c r="B91" s="143">
        <v>15592</v>
      </c>
      <c r="C91" s="138" t="s">
        <v>3646</v>
      </c>
      <c r="D91" s="139" t="s">
        <v>3647</v>
      </c>
      <c r="E91" s="146"/>
      <c r="F91" s="151" t="s">
        <v>3648</v>
      </c>
      <c r="G91" s="141" t="s">
        <v>3664</v>
      </c>
    </row>
    <row r="92" spans="1:7" s="141" customFormat="1">
      <c r="A92" s="142">
        <v>11593</v>
      </c>
      <c r="B92" s="143">
        <v>15593</v>
      </c>
      <c r="C92" s="138" t="s">
        <v>3646</v>
      </c>
      <c r="D92" s="139" t="s">
        <v>3647</v>
      </c>
      <c r="E92" s="146"/>
      <c r="F92" s="145" t="s">
        <v>3648</v>
      </c>
      <c r="G92" s="141" t="s">
        <v>3649</v>
      </c>
    </row>
    <row r="93" spans="1:7">
      <c r="A93" s="142">
        <v>11594</v>
      </c>
      <c r="B93" s="143">
        <v>15594</v>
      </c>
      <c r="C93" s="138" t="s">
        <v>3646</v>
      </c>
      <c r="D93" s="139" t="s">
        <v>3647</v>
      </c>
      <c r="E93" s="146"/>
      <c r="F93" s="151" t="s">
        <v>3648</v>
      </c>
      <c r="G93" s="141" t="s">
        <v>3649</v>
      </c>
    </row>
    <row r="94" spans="1:7" s="141" customFormat="1">
      <c r="A94" s="142">
        <v>11595</v>
      </c>
      <c r="B94" s="143">
        <v>15595</v>
      </c>
      <c r="C94" s="138" t="s">
        <v>3646</v>
      </c>
      <c r="D94" s="139" t="s">
        <v>3647</v>
      </c>
      <c r="E94" s="146"/>
      <c r="F94" s="145" t="s">
        <v>3648</v>
      </c>
      <c r="G94" s="141" t="s">
        <v>3649</v>
      </c>
    </row>
    <row r="95" spans="1:7">
      <c r="A95" s="142">
        <v>11596</v>
      </c>
      <c r="B95" s="143">
        <v>15596</v>
      </c>
      <c r="C95" s="138" t="s">
        <v>3646</v>
      </c>
      <c r="D95" s="78"/>
      <c r="E95" s="146"/>
      <c r="F95" s="151" t="s">
        <v>3648</v>
      </c>
      <c r="G95" s="141" t="s">
        <v>3649</v>
      </c>
    </row>
    <row r="96" spans="1:7" s="141" customFormat="1">
      <c r="A96" s="142">
        <v>11597</v>
      </c>
      <c r="B96" s="143">
        <v>15597</v>
      </c>
      <c r="C96" s="138" t="s">
        <v>3646</v>
      </c>
      <c r="D96" s="78"/>
      <c r="E96" s="146"/>
      <c r="F96" s="145" t="s">
        <v>3648</v>
      </c>
      <c r="G96" s="141" t="s">
        <v>3649</v>
      </c>
    </row>
    <row r="97" spans="1:7">
      <c r="A97" s="142">
        <v>11598</v>
      </c>
      <c r="B97" s="143">
        <v>15598</v>
      </c>
      <c r="C97" s="138" t="s">
        <v>3646</v>
      </c>
      <c r="D97" s="78"/>
      <c r="E97" s="146"/>
      <c r="F97" s="151" t="s">
        <v>3648</v>
      </c>
      <c r="G97" s="141" t="s">
        <v>3649</v>
      </c>
    </row>
    <row r="98" spans="1:7" s="141" customFormat="1">
      <c r="A98" s="33">
        <v>11599</v>
      </c>
      <c r="B98" s="65">
        <v>15599</v>
      </c>
      <c r="C98" s="88" t="s">
        <v>3646</v>
      </c>
      <c r="D98" s="40"/>
      <c r="E98" s="68"/>
      <c r="F98" s="39"/>
      <c r="G98"/>
    </row>
    <row r="99" spans="1:7">
      <c r="A99" s="33">
        <v>11600</v>
      </c>
      <c r="B99" s="65">
        <v>15600</v>
      </c>
      <c r="C99" s="88"/>
      <c r="D99" s="40">
        <v>9771491</v>
      </c>
      <c r="E99" s="68"/>
      <c r="F99" s="120"/>
    </row>
    <row r="100" spans="1:7" s="141" customFormat="1">
      <c r="A100" s="33">
        <v>11601</v>
      </c>
      <c r="B100" s="65">
        <v>15601</v>
      </c>
      <c r="C100" s="88"/>
      <c r="D100" s="40">
        <v>9771493</v>
      </c>
      <c r="E100" s="68"/>
      <c r="F100" s="39"/>
      <c r="G100"/>
    </row>
    <row r="101" spans="1:7">
      <c r="A101" s="33">
        <v>11602</v>
      </c>
      <c r="B101" s="65">
        <v>15602</v>
      </c>
      <c r="C101" s="88"/>
      <c r="D101" s="40">
        <v>9771495</v>
      </c>
      <c r="E101" s="68"/>
      <c r="F101" s="120"/>
    </row>
    <row r="102" spans="1:7" s="141" customFormat="1">
      <c r="A102" s="33">
        <v>11603</v>
      </c>
      <c r="B102" s="65">
        <v>15603</v>
      </c>
      <c r="C102" s="88"/>
      <c r="D102" s="40">
        <v>9771497</v>
      </c>
      <c r="E102" s="68"/>
      <c r="F102" s="39"/>
      <c r="G102"/>
    </row>
    <row r="103" spans="1:7" s="141" customFormat="1">
      <c r="A103" s="33">
        <v>11604</v>
      </c>
      <c r="B103" s="65">
        <v>15604</v>
      </c>
      <c r="C103" s="88"/>
      <c r="D103" s="40">
        <v>9771499</v>
      </c>
      <c r="E103" s="68"/>
      <c r="F103" s="39"/>
      <c r="G103"/>
    </row>
    <row r="104" spans="1:7" s="141" customFormat="1">
      <c r="A104" s="33">
        <v>11605</v>
      </c>
      <c r="B104" s="65">
        <v>15605</v>
      </c>
      <c r="C104" s="88"/>
      <c r="D104" s="40">
        <v>9771601</v>
      </c>
      <c r="E104" s="68"/>
      <c r="F104" s="39"/>
      <c r="G104"/>
    </row>
    <row r="105" spans="1:7">
      <c r="A105" s="33">
        <v>11606</v>
      </c>
      <c r="B105" s="65">
        <v>15606</v>
      </c>
      <c r="C105" s="88"/>
      <c r="D105" s="40"/>
      <c r="E105" s="68"/>
      <c r="F105" s="120"/>
    </row>
    <row r="106" spans="1:7">
      <c r="A106" s="33">
        <v>11607</v>
      </c>
      <c r="B106" s="65">
        <v>15607</v>
      </c>
      <c r="C106" s="88"/>
      <c r="D106" s="40">
        <v>9771605</v>
      </c>
      <c r="E106" s="68"/>
      <c r="F106" s="120"/>
    </row>
    <row r="107" spans="1:7">
      <c r="A107" s="33">
        <v>11608</v>
      </c>
      <c r="B107" s="65">
        <v>15608</v>
      </c>
      <c r="C107" s="88"/>
      <c r="D107" s="40"/>
      <c r="E107" s="68"/>
      <c r="F107" s="120"/>
    </row>
    <row r="108" spans="1:7">
      <c r="A108" s="33">
        <v>11609</v>
      </c>
      <c r="B108" s="65">
        <v>15609</v>
      </c>
      <c r="C108" s="88"/>
      <c r="D108" s="40"/>
      <c r="E108" s="68"/>
      <c r="F108" s="120"/>
    </row>
    <row r="109" spans="1:7">
      <c r="A109" s="33">
        <v>11610</v>
      </c>
      <c r="B109" s="65">
        <v>15610</v>
      </c>
      <c r="C109" s="88"/>
      <c r="D109" s="40"/>
      <c r="E109" s="68"/>
      <c r="F109" s="120"/>
    </row>
    <row r="110" spans="1:7">
      <c r="A110" s="33">
        <v>11611</v>
      </c>
      <c r="B110" s="65">
        <v>15611</v>
      </c>
      <c r="C110" s="88"/>
      <c r="D110" s="40">
        <v>9771613</v>
      </c>
      <c r="E110" s="68"/>
      <c r="F110" s="39"/>
    </row>
    <row r="111" spans="1:7">
      <c r="A111" s="33">
        <v>11612</v>
      </c>
      <c r="B111" s="65">
        <v>15612</v>
      </c>
      <c r="C111" s="88"/>
      <c r="D111" s="40">
        <v>9771615</v>
      </c>
      <c r="E111" s="68"/>
      <c r="F111" s="39"/>
    </row>
    <row r="112" spans="1:7">
      <c r="A112" s="33">
        <v>11613</v>
      </c>
      <c r="B112" s="65">
        <v>15613</v>
      </c>
      <c r="C112" s="88"/>
      <c r="D112" s="40">
        <v>9771617</v>
      </c>
      <c r="E112" s="68"/>
      <c r="F112" s="39"/>
    </row>
    <row r="113" spans="1:6">
      <c r="A113" s="33">
        <v>11614</v>
      </c>
      <c r="B113" s="65">
        <v>15614</v>
      </c>
      <c r="C113" s="88"/>
      <c r="D113" s="40">
        <v>9771619</v>
      </c>
      <c r="E113" s="68"/>
      <c r="F113" s="39"/>
    </row>
    <row r="114" spans="1:6">
      <c r="A114" s="131">
        <v>11615</v>
      </c>
      <c r="B114" s="76">
        <v>15615</v>
      </c>
      <c r="C114" s="88"/>
      <c r="D114" s="108">
        <v>9771621</v>
      </c>
      <c r="E114" s="77"/>
      <c r="F114" s="48"/>
    </row>
    <row r="115" spans="1:6">
      <c r="A115" s="33">
        <v>11616</v>
      </c>
      <c r="B115" s="65">
        <v>15616</v>
      </c>
      <c r="C115" s="88"/>
      <c r="D115" s="40">
        <v>9771623</v>
      </c>
      <c r="E115" s="68"/>
      <c r="F115" s="120"/>
    </row>
    <row r="116" spans="1:6">
      <c r="A116" s="33">
        <v>11617</v>
      </c>
      <c r="B116" s="65">
        <v>15617</v>
      </c>
      <c r="C116" s="88"/>
      <c r="D116" s="40">
        <v>9771625</v>
      </c>
      <c r="E116" s="68"/>
      <c r="F116" s="120"/>
    </row>
    <row r="117" spans="1:6">
      <c r="A117" s="33">
        <v>11618</v>
      </c>
      <c r="B117" s="65">
        <v>15618</v>
      </c>
      <c r="C117" s="88"/>
      <c r="D117" s="40">
        <v>9771627</v>
      </c>
      <c r="E117" s="68"/>
      <c r="F117" s="120"/>
    </row>
    <row r="118" spans="1:6">
      <c r="A118" s="33">
        <v>11619</v>
      </c>
      <c r="B118" s="65">
        <v>15619</v>
      </c>
      <c r="C118" s="88"/>
      <c r="D118" s="40">
        <v>9771629</v>
      </c>
      <c r="E118" s="68"/>
      <c r="F118" s="120"/>
    </row>
    <row r="119" spans="1:6">
      <c r="A119" s="33">
        <v>11620</v>
      </c>
      <c r="B119" s="65">
        <v>15620</v>
      </c>
      <c r="C119" s="88"/>
      <c r="D119" s="40">
        <v>9771631</v>
      </c>
      <c r="E119" s="68"/>
      <c r="F119" s="120"/>
    </row>
    <row r="120" spans="1:6">
      <c r="A120" s="33">
        <v>11621</v>
      </c>
      <c r="B120" s="65">
        <v>15621</v>
      </c>
      <c r="C120" s="88"/>
      <c r="D120" s="40">
        <v>9771633</v>
      </c>
      <c r="E120" s="68"/>
      <c r="F120" s="120"/>
    </row>
    <row r="121" spans="1:6">
      <c r="A121" s="33">
        <v>11622</v>
      </c>
      <c r="B121" s="65">
        <v>15622</v>
      </c>
      <c r="C121" s="88"/>
      <c r="D121" s="40">
        <v>9771635</v>
      </c>
      <c r="E121" s="68"/>
      <c r="F121" s="120"/>
    </row>
    <row r="122" spans="1:6">
      <c r="A122" s="33">
        <v>11623</v>
      </c>
      <c r="B122" s="65">
        <v>15623</v>
      </c>
      <c r="C122" s="88"/>
      <c r="D122" s="40">
        <v>9771637</v>
      </c>
      <c r="E122" s="68"/>
      <c r="F122" s="120"/>
    </row>
    <row r="123" spans="1:6">
      <c r="A123" s="33">
        <v>11624</v>
      </c>
      <c r="B123" s="65">
        <v>15624</v>
      </c>
      <c r="C123" s="88"/>
      <c r="D123" s="40">
        <v>9771639</v>
      </c>
      <c r="E123" s="68"/>
      <c r="F123" s="120"/>
    </row>
    <row r="124" spans="1:6">
      <c r="A124" s="33">
        <v>11625</v>
      </c>
      <c r="B124" s="65">
        <v>15625</v>
      </c>
      <c r="C124" s="88"/>
      <c r="D124" s="40">
        <v>9771641</v>
      </c>
      <c r="E124" s="68"/>
      <c r="F124" s="120"/>
    </row>
    <row r="125" spans="1:6">
      <c r="A125" s="33">
        <v>11626</v>
      </c>
      <c r="B125" s="65">
        <v>15626</v>
      </c>
      <c r="C125" s="88"/>
      <c r="D125" s="40">
        <v>9771643</v>
      </c>
      <c r="E125" s="68"/>
      <c r="F125" s="120"/>
    </row>
    <row r="126" spans="1:6">
      <c r="A126" s="33">
        <v>11627</v>
      </c>
      <c r="B126" s="65">
        <v>15627</v>
      </c>
      <c r="C126" s="88"/>
      <c r="D126" s="40">
        <v>9771645</v>
      </c>
      <c r="E126" s="68"/>
      <c r="F126" s="120"/>
    </row>
    <row r="127" spans="1:6">
      <c r="A127" s="33">
        <v>11628</v>
      </c>
      <c r="B127" s="65">
        <v>15628</v>
      </c>
      <c r="C127" s="88"/>
      <c r="D127" s="40">
        <v>9771647</v>
      </c>
      <c r="E127" s="68"/>
      <c r="F127" s="120"/>
    </row>
    <row r="128" spans="1:6">
      <c r="A128" s="33">
        <v>11629</v>
      </c>
      <c r="B128" s="65">
        <v>15629</v>
      </c>
      <c r="C128" s="88"/>
      <c r="D128" s="40">
        <v>9771649</v>
      </c>
      <c r="E128" s="68"/>
      <c r="F128" s="120"/>
    </row>
    <row r="129" spans="1:6">
      <c r="A129" s="33">
        <v>11630</v>
      </c>
      <c r="B129" s="65">
        <v>15630</v>
      </c>
      <c r="C129" s="88"/>
      <c r="D129" s="40">
        <v>9771651</v>
      </c>
      <c r="E129" s="68"/>
      <c r="F129" s="120"/>
    </row>
    <row r="130" spans="1:6">
      <c r="A130" s="33">
        <v>11631</v>
      </c>
      <c r="B130" s="65">
        <v>15631</v>
      </c>
      <c r="C130" s="88"/>
      <c r="D130" s="40">
        <v>9771653</v>
      </c>
      <c r="E130" s="68"/>
      <c r="F130" s="120"/>
    </row>
    <row r="131" spans="1:6">
      <c r="A131" s="33">
        <v>11632</v>
      </c>
      <c r="B131" s="65">
        <v>15632</v>
      </c>
      <c r="C131" s="88"/>
      <c r="D131" s="40">
        <v>9771655</v>
      </c>
      <c r="E131" s="68"/>
      <c r="F131" s="120"/>
    </row>
    <row r="132" spans="1:6">
      <c r="A132" s="33">
        <v>11633</v>
      </c>
      <c r="B132" s="65">
        <v>15633</v>
      </c>
      <c r="C132" s="88"/>
      <c r="D132" s="40">
        <v>9771657</v>
      </c>
      <c r="E132" s="68"/>
      <c r="F132" s="120"/>
    </row>
    <row r="133" spans="1:6">
      <c r="A133" s="33">
        <v>11634</v>
      </c>
      <c r="B133" s="65">
        <v>15634</v>
      </c>
      <c r="C133" s="88"/>
      <c r="D133" s="40">
        <v>9771659</v>
      </c>
      <c r="E133" s="68"/>
      <c r="F133" s="120"/>
    </row>
    <row r="134" spans="1:6">
      <c r="A134" s="33">
        <v>11635</v>
      </c>
      <c r="B134" s="65">
        <v>15635</v>
      </c>
      <c r="C134" s="88"/>
      <c r="D134" s="40">
        <v>9771661</v>
      </c>
      <c r="E134" s="68"/>
      <c r="F134" s="120"/>
    </row>
    <row r="135" spans="1:6">
      <c r="A135" s="33">
        <v>11636</v>
      </c>
      <c r="B135" s="65">
        <v>15636</v>
      </c>
      <c r="C135" s="88"/>
      <c r="D135" s="40">
        <v>9771663</v>
      </c>
      <c r="E135" s="68"/>
      <c r="F135" s="120"/>
    </row>
    <row r="136" spans="1:6">
      <c r="A136" s="33">
        <v>11637</v>
      </c>
      <c r="B136" s="65">
        <v>15637</v>
      </c>
      <c r="C136" s="88"/>
      <c r="D136" s="40" t="s">
        <v>3665</v>
      </c>
      <c r="E136" s="68"/>
      <c r="F136" s="120"/>
    </row>
    <row r="137" spans="1:6">
      <c r="A137" s="33">
        <v>11638</v>
      </c>
      <c r="B137" s="65">
        <v>15638</v>
      </c>
      <c r="C137" s="88"/>
      <c r="D137" s="40" t="s">
        <v>3666</v>
      </c>
      <c r="E137" s="68"/>
      <c r="F137" s="120"/>
    </row>
    <row r="138" spans="1:6">
      <c r="A138" s="33">
        <v>11639</v>
      </c>
      <c r="B138" s="65">
        <v>15639</v>
      </c>
      <c r="C138" s="88"/>
      <c r="D138" s="40" t="s">
        <v>3667</v>
      </c>
      <c r="E138" s="68"/>
      <c r="F138" s="120"/>
    </row>
    <row r="139" spans="1:6">
      <c r="A139" s="33">
        <v>11640</v>
      </c>
      <c r="B139" s="65">
        <v>15640</v>
      </c>
      <c r="C139" s="88"/>
      <c r="D139" s="40" t="s">
        <v>3668</v>
      </c>
      <c r="E139" s="68"/>
      <c r="F139" s="120"/>
    </row>
    <row r="140" spans="1:6">
      <c r="A140" s="33">
        <v>11641</v>
      </c>
      <c r="B140" s="65">
        <v>15641</v>
      </c>
      <c r="C140" s="88"/>
      <c r="D140" s="40"/>
      <c r="E140" s="68"/>
      <c r="F140" s="120"/>
    </row>
    <row r="141" spans="1:6">
      <c r="A141" s="33">
        <v>11642</v>
      </c>
      <c r="B141" s="65">
        <v>15642</v>
      </c>
      <c r="C141" s="88"/>
      <c r="D141" s="40"/>
      <c r="E141" s="68"/>
      <c r="F141" s="120"/>
    </row>
    <row r="142" spans="1:6">
      <c r="A142" s="33">
        <v>11643</v>
      </c>
      <c r="B142" s="65">
        <v>15643</v>
      </c>
      <c r="C142" s="88"/>
      <c r="D142" s="40"/>
      <c r="E142" s="68"/>
      <c r="F142" s="120"/>
    </row>
    <row r="143" spans="1:6">
      <c r="A143" s="33">
        <v>11644</v>
      </c>
      <c r="B143" s="65">
        <v>15644</v>
      </c>
      <c r="C143" s="88"/>
      <c r="D143" s="40"/>
      <c r="E143" s="68"/>
      <c r="F143" s="120"/>
    </row>
    <row r="144" spans="1:6">
      <c r="A144" s="33">
        <v>11645</v>
      </c>
      <c r="B144" s="65">
        <v>15645</v>
      </c>
      <c r="C144" s="88"/>
      <c r="D144" s="40"/>
      <c r="E144" s="68"/>
      <c r="F144" s="120"/>
    </row>
    <row r="145" spans="1:6">
      <c r="A145" s="33">
        <v>11646</v>
      </c>
      <c r="B145" s="65">
        <v>15646</v>
      </c>
      <c r="C145" s="88"/>
      <c r="D145" s="40"/>
      <c r="E145" s="68"/>
      <c r="F145" s="120"/>
    </row>
    <row r="146" spans="1:6">
      <c r="A146" s="33">
        <v>11647</v>
      </c>
      <c r="B146" s="65">
        <v>15647</v>
      </c>
      <c r="C146" s="88"/>
      <c r="D146" s="40"/>
      <c r="E146" s="68"/>
      <c r="F146" s="120"/>
    </row>
    <row r="147" spans="1:6">
      <c r="A147" s="33">
        <v>11648</v>
      </c>
      <c r="B147" s="65">
        <v>15648</v>
      </c>
      <c r="C147" s="88"/>
      <c r="D147" s="40"/>
      <c r="E147" s="68"/>
      <c r="F147" s="120"/>
    </row>
    <row r="148" spans="1:6">
      <c r="A148" s="33">
        <v>11649</v>
      </c>
      <c r="B148" s="65">
        <v>15649</v>
      </c>
      <c r="C148" s="88"/>
      <c r="D148" s="40"/>
      <c r="E148" s="68"/>
      <c r="F148" s="120"/>
    </row>
    <row r="149" spans="1:6">
      <c r="A149" s="33">
        <v>11650</v>
      </c>
      <c r="B149" s="65">
        <v>15650</v>
      </c>
      <c r="C149" s="88"/>
      <c r="D149" s="40"/>
      <c r="E149" s="68"/>
      <c r="F149" s="120"/>
    </row>
    <row r="150" spans="1:6">
      <c r="A150" s="33">
        <v>11651</v>
      </c>
      <c r="B150" s="65">
        <v>15651</v>
      </c>
      <c r="C150" s="88"/>
      <c r="D150" s="40"/>
      <c r="E150" s="68"/>
      <c r="F150" s="120"/>
    </row>
    <row r="151" spans="1:6">
      <c r="A151" s="33">
        <v>11652</v>
      </c>
      <c r="B151" s="65">
        <v>15652</v>
      </c>
      <c r="C151" s="88"/>
      <c r="D151" s="40"/>
      <c r="E151" s="68"/>
      <c r="F151" s="120"/>
    </row>
    <row r="152" spans="1:6">
      <c r="A152" s="33">
        <v>11653</v>
      </c>
      <c r="B152" s="65">
        <v>15653</v>
      </c>
      <c r="C152" s="88"/>
      <c r="D152" s="108"/>
      <c r="E152" s="68"/>
      <c r="F152" s="120"/>
    </row>
    <row r="153" spans="1:6">
      <c r="A153" s="33">
        <v>11654</v>
      </c>
      <c r="B153" s="65">
        <v>15654</v>
      </c>
      <c r="C153" s="88"/>
      <c r="D153" s="40"/>
      <c r="E153" s="68"/>
      <c r="F153" s="120"/>
    </row>
    <row r="154" spans="1:6">
      <c r="A154" s="33">
        <v>11655</v>
      </c>
      <c r="B154" s="65">
        <v>15655</v>
      </c>
      <c r="C154" s="88"/>
      <c r="D154" s="40"/>
      <c r="E154" s="68"/>
      <c r="F154" s="120"/>
    </row>
    <row r="155" spans="1:6">
      <c r="A155" s="33">
        <v>11656</v>
      </c>
      <c r="B155" s="65">
        <v>15656</v>
      </c>
      <c r="C155" s="88"/>
      <c r="D155" s="40"/>
      <c r="E155" s="68"/>
      <c r="F155" s="120"/>
    </row>
    <row r="156" spans="1:6">
      <c r="A156" s="33">
        <v>11657</v>
      </c>
      <c r="B156" s="65">
        <v>15657</v>
      </c>
      <c r="C156" s="88"/>
      <c r="D156" s="40"/>
      <c r="E156" s="68"/>
      <c r="F156" s="120"/>
    </row>
    <row r="157" spans="1:6">
      <c r="A157" s="33">
        <v>11658</v>
      </c>
      <c r="B157" s="65">
        <v>15658</v>
      </c>
      <c r="C157" s="88"/>
      <c r="D157" s="40"/>
      <c r="E157" s="68"/>
      <c r="F157" s="120"/>
    </row>
    <row r="158" spans="1:6">
      <c r="A158" s="33">
        <v>11659</v>
      </c>
      <c r="B158" s="65">
        <v>15659</v>
      </c>
      <c r="C158" s="88"/>
      <c r="D158" s="40"/>
      <c r="E158" s="68"/>
      <c r="F158" s="120"/>
    </row>
    <row r="159" spans="1:6">
      <c r="A159" s="33">
        <v>11660</v>
      </c>
      <c r="B159" s="65">
        <v>15660</v>
      </c>
      <c r="C159" s="88"/>
      <c r="D159" s="40"/>
      <c r="E159" s="68"/>
      <c r="F159" s="120"/>
    </row>
    <row r="160" spans="1:6">
      <c r="A160" s="33">
        <v>11661</v>
      </c>
      <c r="B160" s="65">
        <v>15661</v>
      </c>
      <c r="C160" s="88"/>
      <c r="D160" s="40"/>
      <c r="E160" s="68"/>
      <c r="F160" s="120"/>
    </row>
    <row r="161" spans="1:6">
      <c r="A161" s="33">
        <v>11662</v>
      </c>
      <c r="B161" s="65">
        <v>15662</v>
      </c>
      <c r="C161" s="88"/>
      <c r="D161" s="40"/>
      <c r="E161" s="68"/>
      <c r="F161" s="120"/>
    </row>
    <row r="162" spans="1:6">
      <c r="A162" s="33">
        <v>11663</v>
      </c>
      <c r="B162" s="65">
        <v>15663</v>
      </c>
      <c r="C162" s="88"/>
      <c r="D162" s="40"/>
      <c r="E162" s="68"/>
      <c r="F162" s="120"/>
    </row>
    <row r="163" spans="1:6">
      <c r="A163" s="33">
        <v>11664</v>
      </c>
      <c r="B163" s="65">
        <v>15664</v>
      </c>
      <c r="C163" s="88"/>
      <c r="D163" s="40"/>
      <c r="E163" s="68"/>
      <c r="F163" s="120"/>
    </row>
    <row r="164" spans="1:6">
      <c r="A164" s="33">
        <v>11665</v>
      </c>
      <c r="B164" s="65">
        <v>15665</v>
      </c>
      <c r="C164" s="88"/>
      <c r="D164" s="40"/>
      <c r="E164" s="68"/>
      <c r="F164" s="120"/>
    </row>
    <row r="165" spans="1:6">
      <c r="A165" s="33">
        <v>11666</v>
      </c>
      <c r="B165" s="65">
        <v>15666</v>
      </c>
      <c r="C165" s="88"/>
      <c r="D165" s="40"/>
      <c r="E165" s="68"/>
      <c r="F165" s="120"/>
    </row>
    <row r="166" spans="1:6">
      <c r="A166" s="33">
        <v>11667</v>
      </c>
      <c r="B166" s="65">
        <v>15667</v>
      </c>
      <c r="C166" s="88"/>
      <c r="D166" s="40"/>
      <c r="E166" s="68"/>
      <c r="F166" s="120"/>
    </row>
    <row r="167" spans="1:6">
      <c r="A167" s="33">
        <v>11668</v>
      </c>
      <c r="B167" s="65">
        <v>15668</v>
      </c>
      <c r="C167" s="88"/>
      <c r="D167" s="40"/>
      <c r="E167" s="68"/>
      <c r="F167" s="120"/>
    </row>
    <row r="168" spans="1:6">
      <c r="A168" s="33">
        <v>11669</v>
      </c>
      <c r="B168" s="65">
        <v>15669</v>
      </c>
      <c r="C168" s="88"/>
      <c r="D168" s="40"/>
      <c r="E168" s="68"/>
      <c r="F168" s="120"/>
    </row>
    <row r="169" spans="1:6">
      <c r="A169" s="33">
        <v>11670</v>
      </c>
      <c r="B169" s="65">
        <v>15670</v>
      </c>
      <c r="C169" s="88"/>
      <c r="D169" s="40"/>
      <c r="E169" s="68"/>
      <c r="F169" s="120"/>
    </row>
    <row r="170" spans="1:6">
      <c r="A170" s="33">
        <v>11671</v>
      </c>
      <c r="B170" s="65">
        <v>15671</v>
      </c>
      <c r="C170" s="88"/>
      <c r="D170" s="40"/>
      <c r="E170" s="68"/>
      <c r="F170" s="120"/>
    </row>
    <row r="171" spans="1:6">
      <c r="A171" s="33">
        <v>11672</v>
      </c>
      <c r="B171" s="65">
        <v>15672</v>
      </c>
      <c r="C171" s="88"/>
      <c r="D171" s="40"/>
      <c r="E171" s="68"/>
      <c r="F171" s="120"/>
    </row>
    <row r="172" spans="1:6">
      <c r="A172" s="33">
        <v>11673</v>
      </c>
      <c r="B172" s="65">
        <v>15673</v>
      </c>
      <c r="C172" s="88"/>
      <c r="D172" s="40"/>
      <c r="E172" s="68"/>
      <c r="F172" s="120"/>
    </row>
    <row r="173" spans="1:6">
      <c r="A173" s="33">
        <v>11674</v>
      </c>
      <c r="B173" s="65">
        <v>15674</v>
      </c>
      <c r="C173" s="88"/>
      <c r="D173" s="40"/>
      <c r="E173" s="68"/>
      <c r="F173" s="120"/>
    </row>
    <row r="174" spans="1:6">
      <c r="A174" s="33">
        <v>11675</v>
      </c>
      <c r="B174" s="65">
        <v>15675</v>
      </c>
      <c r="C174" s="88"/>
      <c r="D174" s="40"/>
      <c r="E174" s="68"/>
      <c r="F174" s="120"/>
    </row>
    <row r="175" spans="1:6">
      <c r="A175" s="33">
        <v>11676</v>
      </c>
      <c r="B175" s="65">
        <v>15676</v>
      </c>
      <c r="C175" s="88"/>
      <c r="D175" s="40"/>
      <c r="E175" s="68"/>
      <c r="F175" s="120"/>
    </row>
    <row r="176" spans="1:6">
      <c r="A176" s="33">
        <v>11677</v>
      </c>
      <c r="B176" s="65">
        <v>15677</v>
      </c>
      <c r="C176" s="88"/>
      <c r="D176" s="40"/>
      <c r="E176" s="68"/>
      <c r="F176" s="120"/>
    </row>
    <row r="177" spans="1:6">
      <c r="A177" s="33">
        <v>11678</v>
      </c>
      <c r="B177" s="65">
        <v>15678</v>
      </c>
      <c r="C177" s="88"/>
      <c r="D177" s="40"/>
      <c r="E177" s="68"/>
      <c r="F177" s="120"/>
    </row>
    <row r="178" spans="1:6">
      <c r="A178" s="33">
        <v>11679</v>
      </c>
      <c r="B178" s="65">
        <v>15679</v>
      </c>
      <c r="C178" s="88"/>
      <c r="D178" s="40"/>
      <c r="E178" s="68"/>
      <c r="F178" s="120"/>
    </row>
    <row r="179" spans="1:6">
      <c r="A179" s="33">
        <v>11680</v>
      </c>
      <c r="B179" s="65">
        <v>15680</v>
      </c>
      <c r="C179" s="88"/>
      <c r="D179" s="40"/>
      <c r="E179" s="68"/>
      <c r="F179" s="120"/>
    </row>
    <row r="180" spans="1:6">
      <c r="A180" s="33">
        <v>11681</v>
      </c>
      <c r="B180" s="65">
        <v>15681</v>
      </c>
      <c r="C180" s="88"/>
      <c r="D180" s="40"/>
      <c r="E180" s="68"/>
      <c r="F180" s="120"/>
    </row>
    <row r="181" spans="1:6">
      <c r="A181" s="33">
        <v>11682</v>
      </c>
      <c r="B181" s="65">
        <v>15682</v>
      </c>
      <c r="C181" s="88"/>
      <c r="D181" s="40"/>
      <c r="E181" s="68"/>
      <c r="F181" s="120"/>
    </row>
    <row r="182" spans="1:6">
      <c r="A182" s="33">
        <v>11683</v>
      </c>
      <c r="B182" s="65">
        <v>15683</v>
      </c>
      <c r="C182" s="88"/>
      <c r="D182" s="40"/>
      <c r="E182" s="68"/>
      <c r="F182" s="120"/>
    </row>
    <row r="183" spans="1:6">
      <c r="A183" s="33">
        <v>11684</v>
      </c>
      <c r="B183" s="65">
        <v>15684</v>
      </c>
      <c r="C183" s="88"/>
      <c r="D183" s="40"/>
      <c r="E183" s="68"/>
      <c r="F183" s="120"/>
    </row>
    <row r="184" spans="1:6">
      <c r="A184" s="33">
        <v>11685</v>
      </c>
      <c r="B184" s="65">
        <v>15685</v>
      </c>
      <c r="C184" s="88"/>
      <c r="D184" s="40"/>
      <c r="E184" s="68"/>
      <c r="F184" s="120"/>
    </row>
    <row r="185" spans="1:6">
      <c r="A185" s="33">
        <v>11686</v>
      </c>
      <c r="B185" s="65">
        <v>15686</v>
      </c>
      <c r="C185" s="88"/>
      <c r="D185" s="40"/>
      <c r="E185" s="68"/>
      <c r="F185" s="120"/>
    </row>
    <row r="186" spans="1:6">
      <c r="A186" s="33">
        <v>11687</v>
      </c>
      <c r="B186" s="65">
        <v>15687</v>
      </c>
      <c r="C186" s="88"/>
      <c r="D186" s="40"/>
      <c r="E186" s="68"/>
      <c r="F186" s="120"/>
    </row>
    <row r="187" spans="1:6">
      <c r="A187" s="33">
        <v>11688</v>
      </c>
      <c r="B187" s="65">
        <v>15688</v>
      </c>
      <c r="C187" s="88"/>
      <c r="D187" s="40"/>
      <c r="E187" s="68"/>
      <c r="F187" s="120"/>
    </row>
    <row r="188" spans="1:6">
      <c r="A188" s="33">
        <v>11689</v>
      </c>
      <c r="B188" s="65">
        <v>15689</v>
      </c>
      <c r="C188" s="88"/>
      <c r="D188" s="40"/>
      <c r="E188" s="68"/>
      <c r="F188" s="120"/>
    </row>
    <row r="189" spans="1:6">
      <c r="A189" s="33">
        <v>11690</v>
      </c>
      <c r="B189" s="65">
        <v>15690</v>
      </c>
      <c r="C189" s="88"/>
      <c r="D189" s="40"/>
      <c r="E189" s="68"/>
      <c r="F189" s="120"/>
    </row>
    <row r="190" spans="1:6">
      <c r="A190" s="33">
        <v>11691</v>
      </c>
      <c r="B190" s="65">
        <v>15691</v>
      </c>
      <c r="C190" s="88"/>
      <c r="D190" s="40"/>
      <c r="E190" s="68"/>
      <c r="F190" s="120"/>
    </row>
    <row r="191" spans="1:6">
      <c r="A191" s="33">
        <v>11692</v>
      </c>
      <c r="B191" s="65">
        <v>15692</v>
      </c>
      <c r="C191" s="88"/>
      <c r="D191" s="40"/>
      <c r="E191" s="68"/>
      <c r="F191" s="120"/>
    </row>
    <row r="192" spans="1:6">
      <c r="A192" s="33">
        <v>11693</v>
      </c>
      <c r="B192" s="65">
        <v>15693</v>
      </c>
      <c r="C192" s="88"/>
      <c r="D192" s="40"/>
      <c r="E192" s="68"/>
      <c r="F192" s="120"/>
    </row>
    <row r="193" spans="1:6">
      <c r="A193" s="33">
        <v>11694</v>
      </c>
      <c r="B193" s="65">
        <v>15694</v>
      </c>
      <c r="C193" s="88"/>
      <c r="D193" s="40"/>
      <c r="E193" s="68"/>
      <c r="F193" s="120"/>
    </row>
    <row r="194" spans="1:6">
      <c r="A194" s="33">
        <v>11695</v>
      </c>
      <c r="B194" s="65">
        <v>15695</v>
      </c>
      <c r="C194" s="88"/>
      <c r="D194" s="40"/>
      <c r="E194" s="68"/>
      <c r="F194" s="120"/>
    </row>
    <row r="195" spans="1:6">
      <c r="A195" s="33">
        <v>11696</v>
      </c>
      <c r="B195" s="65">
        <v>15696</v>
      </c>
      <c r="C195" s="88"/>
      <c r="D195" s="40"/>
      <c r="E195" s="68"/>
      <c r="F195" s="120"/>
    </row>
    <row r="196" spans="1:6">
      <c r="A196" s="33">
        <v>11697</v>
      </c>
      <c r="B196" s="65">
        <v>15697</v>
      </c>
      <c r="C196" s="88"/>
      <c r="D196" s="40"/>
      <c r="E196" s="68"/>
      <c r="F196" s="120"/>
    </row>
    <row r="197" spans="1:6">
      <c r="A197" s="33">
        <v>11698</v>
      </c>
      <c r="B197" s="65">
        <v>15698</v>
      </c>
      <c r="C197" s="88"/>
      <c r="D197" s="40"/>
      <c r="E197" s="68"/>
      <c r="F197" s="120"/>
    </row>
    <row r="198" spans="1:6">
      <c r="A198" s="33">
        <v>11699</v>
      </c>
      <c r="B198" s="65">
        <v>15699</v>
      </c>
      <c r="C198" s="88"/>
      <c r="D198" s="40"/>
      <c r="E198" s="68"/>
      <c r="F198" s="120"/>
    </row>
    <row r="199" spans="1:6">
      <c r="A199" s="33">
        <v>11700</v>
      </c>
      <c r="B199" s="65">
        <v>15700</v>
      </c>
      <c r="C199" s="88"/>
      <c r="D199" s="34">
        <v>9771757</v>
      </c>
      <c r="E199" s="68"/>
      <c r="F199" s="120" t="s">
        <v>3669</v>
      </c>
    </row>
    <row r="200" spans="1:6">
      <c r="A200" s="33">
        <v>11701</v>
      </c>
      <c r="B200" s="65">
        <v>15701</v>
      </c>
      <c r="C200" s="88"/>
      <c r="D200" s="40" t="s">
        <v>3670</v>
      </c>
      <c r="E200" s="68"/>
      <c r="F200" s="120"/>
    </row>
    <row r="201" spans="1:6">
      <c r="A201" s="33">
        <v>11702</v>
      </c>
      <c r="B201" s="65">
        <v>15702</v>
      </c>
      <c r="C201" s="88"/>
      <c r="D201" s="40"/>
      <c r="E201" s="68"/>
      <c r="F201" s="120"/>
    </row>
    <row r="202" spans="1:6">
      <c r="A202" s="33">
        <v>11703</v>
      </c>
      <c r="B202" s="65">
        <v>15703</v>
      </c>
      <c r="C202" s="88"/>
      <c r="D202" s="40"/>
      <c r="E202" s="68"/>
      <c r="F202" s="120"/>
    </row>
    <row r="203" spans="1:6">
      <c r="A203" s="33">
        <v>11704</v>
      </c>
      <c r="B203" s="65">
        <v>15704</v>
      </c>
      <c r="C203" s="88"/>
      <c r="D203" s="40"/>
      <c r="E203" s="68"/>
      <c r="F203" s="120"/>
    </row>
    <row r="204" spans="1:6">
      <c r="A204" s="33">
        <v>11705</v>
      </c>
      <c r="B204" s="65">
        <v>15705</v>
      </c>
      <c r="C204" s="88"/>
      <c r="D204" s="40"/>
      <c r="E204" s="68"/>
      <c r="F204" s="120"/>
    </row>
    <row r="205" spans="1:6">
      <c r="A205" s="33">
        <v>11706</v>
      </c>
      <c r="B205" s="65">
        <v>15706</v>
      </c>
      <c r="C205" s="88"/>
      <c r="D205" s="40"/>
      <c r="E205" s="68"/>
      <c r="F205" s="120"/>
    </row>
    <row r="206" spans="1:6">
      <c r="A206" s="33">
        <v>11707</v>
      </c>
      <c r="B206" s="65">
        <v>15707</v>
      </c>
      <c r="C206" s="88"/>
      <c r="D206" s="40"/>
      <c r="E206" s="68"/>
      <c r="F206" s="120"/>
    </row>
    <row r="207" spans="1:6">
      <c r="A207" s="33">
        <v>11708</v>
      </c>
      <c r="B207" s="65">
        <v>15708</v>
      </c>
      <c r="C207" s="88"/>
      <c r="D207" s="40"/>
      <c r="E207" s="68"/>
      <c r="F207" s="120"/>
    </row>
    <row r="208" spans="1:6">
      <c r="A208" s="33">
        <v>11709</v>
      </c>
      <c r="B208" s="65">
        <v>15709</v>
      </c>
      <c r="C208" s="88"/>
      <c r="D208" s="40">
        <v>9771495</v>
      </c>
      <c r="E208" s="68"/>
      <c r="F208" s="120"/>
    </row>
    <row r="209" spans="1:6">
      <c r="A209" s="33">
        <v>11710</v>
      </c>
      <c r="B209" s="65">
        <v>15710</v>
      </c>
      <c r="C209" s="88"/>
      <c r="D209" s="40">
        <v>9771497</v>
      </c>
      <c r="E209" s="68"/>
      <c r="F209" s="120"/>
    </row>
    <row r="210" spans="1:6">
      <c r="A210" s="33">
        <v>11711</v>
      </c>
      <c r="B210" s="65">
        <v>15711</v>
      </c>
      <c r="C210" s="88"/>
      <c r="D210" s="40">
        <v>9771499</v>
      </c>
      <c r="E210" s="68"/>
      <c r="F210" s="120"/>
    </row>
    <row r="211" spans="1:6">
      <c r="A211" s="33">
        <v>11712</v>
      </c>
      <c r="B211" s="65">
        <v>15712</v>
      </c>
      <c r="C211" s="88"/>
      <c r="D211" s="40">
        <v>9771601</v>
      </c>
      <c r="E211" s="68"/>
      <c r="F211" s="120"/>
    </row>
    <row r="212" spans="1:6">
      <c r="A212" s="33">
        <v>11713</v>
      </c>
      <c r="B212" s="65">
        <v>15713</v>
      </c>
      <c r="C212" s="88"/>
      <c r="D212" s="40"/>
      <c r="E212" s="68"/>
      <c r="F212" s="120" t="s">
        <v>3671</v>
      </c>
    </row>
    <row r="213" spans="1:6">
      <c r="A213" s="33">
        <v>11714</v>
      </c>
      <c r="B213" s="65">
        <v>15714</v>
      </c>
      <c r="C213" s="88"/>
      <c r="D213" s="40">
        <v>9771605</v>
      </c>
      <c r="E213" s="68"/>
      <c r="F213" s="120" t="s">
        <v>3671</v>
      </c>
    </row>
    <row r="214" spans="1:6">
      <c r="A214" s="33">
        <v>11715</v>
      </c>
      <c r="B214" s="65">
        <v>15715</v>
      </c>
      <c r="C214" s="88"/>
      <c r="D214" s="40" t="s">
        <v>3672</v>
      </c>
      <c r="E214" s="68"/>
      <c r="F214" s="120"/>
    </row>
    <row r="215" spans="1:6">
      <c r="A215" s="33">
        <v>11716</v>
      </c>
      <c r="B215" s="65">
        <v>15716</v>
      </c>
      <c r="C215" s="88"/>
      <c r="D215" s="40"/>
      <c r="E215" s="68"/>
      <c r="F215" s="120"/>
    </row>
    <row r="216" spans="1:6">
      <c r="A216" s="33">
        <v>11717</v>
      </c>
      <c r="B216" s="65">
        <v>15717</v>
      </c>
      <c r="C216" s="88"/>
      <c r="D216" s="37"/>
      <c r="E216" s="68"/>
      <c r="F216" s="120"/>
    </row>
    <row r="217" spans="1:6">
      <c r="A217" s="33">
        <v>11718</v>
      </c>
      <c r="B217" s="65">
        <v>15718</v>
      </c>
      <c r="C217" s="88"/>
      <c r="D217" s="34">
        <v>9771437</v>
      </c>
      <c r="E217" s="68"/>
      <c r="F217" s="120"/>
    </row>
    <row r="218" spans="1:6">
      <c r="A218" s="33">
        <v>11719</v>
      </c>
      <c r="B218" s="65">
        <v>15719</v>
      </c>
      <c r="C218" s="88"/>
      <c r="D218" s="34"/>
      <c r="E218" s="68"/>
      <c r="F218" s="120"/>
    </row>
    <row r="219" spans="1:6">
      <c r="A219" s="33">
        <v>11720</v>
      </c>
      <c r="B219" s="65">
        <v>15720</v>
      </c>
      <c r="C219" s="88"/>
      <c r="D219" s="40"/>
      <c r="E219" s="68"/>
      <c r="F219" s="120"/>
    </row>
    <row r="220" spans="1:6">
      <c r="A220" s="33">
        <v>11721</v>
      </c>
      <c r="B220" s="65">
        <v>15721</v>
      </c>
      <c r="C220" s="88"/>
      <c r="D220" s="40"/>
      <c r="E220" s="68"/>
      <c r="F220" s="120"/>
    </row>
    <row r="221" spans="1:6">
      <c r="A221" s="33">
        <v>11722</v>
      </c>
      <c r="B221" s="65">
        <v>15722</v>
      </c>
      <c r="C221" s="88"/>
      <c r="D221" s="40"/>
      <c r="E221" s="68"/>
      <c r="F221" s="120"/>
    </row>
    <row r="222" spans="1:6">
      <c r="A222" s="33">
        <v>11723</v>
      </c>
      <c r="B222" s="65">
        <v>15723</v>
      </c>
      <c r="C222" s="88"/>
      <c r="D222" s="40"/>
      <c r="E222" s="68"/>
      <c r="F222" s="120"/>
    </row>
    <row r="223" spans="1:6">
      <c r="A223" s="33">
        <v>11724</v>
      </c>
      <c r="B223" s="65">
        <v>15724</v>
      </c>
      <c r="C223" s="88"/>
      <c r="D223" s="40">
        <v>9771501</v>
      </c>
      <c r="E223" s="68"/>
      <c r="F223" s="120"/>
    </row>
    <row r="224" spans="1:6">
      <c r="A224" s="33">
        <v>11725</v>
      </c>
      <c r="B224" s="65">
        <v>15725</v>
      </c>
      <c r="C224" s="88"/>
      <c r="D224" s="40">
        <v>9771503</v>
      </c>
      <c r="E224" s="68"/>
      <c r="F224" s="120"/>
    </row>
    <row r="225" spans="1:6">
      <c r="A225" s="33">
        <v>11726</v>
      </c>
      <c r="B225" s="65">
        <v>15726</v>
      </c>
      <c r="C225" s="88"/>
      <c r="D225" s="40">
        <v>9771505</v>
      </c>
      <c r="E225" s="68"/>
      <c r="F225" s="120"/>
    </row>
    <row r="226" spans="1:6">
      <c r="A226" s="33">
        <v>11727</v>
      </c>
      <c r="B226" s="65">
        <v>15727</v>
      </c>
      <c r="C226" s="88"/>
      <c r="D226" s="40">
        <v>9771507</v>
      </c>
      <c r="E226" s="68"/>
      <c r="F226" s="120"/>
    </row>
    <row r="227" spans="1:6">
      <c r="A227" s="33">
        <v>11728</v>
      </c>
      <c r="B227" s="65">
        <v>15728</v>
      </c>
      <c r="C227" s="88"/>
      <c r="D227" s="40">
        <v>9771509</v>
      </c>
      <c r="E227" s="68"/>
      <c r="F227" s="120"/>
    </row>
    <row r="228" spans="1:6">
      <c r="A228" s="33">
        <v>11729</v>
      </c>
      <c r="B228" s="65">
        <v>15729</v>
      </c>
      <c r="C228" s="88"/>
      <c r="D228" s="40"/>
      <c r="E228" s="68"/>
      <c r="F228" s="120"/>
    </row>
    <row r="229" spans="1:6">
      <c r="A229" s="33">
        <v>11730</v>
      </c>
      <c r="B229" s="65">
        <v>15730</v>
      </c>
      <c r="C229" s="88"/>
      <c r="D229" s="40"/>
      <c r="E229" s="68"/>
      <c r="F229" s="120"/>
    </row>
    <row r="230" spans="1:6">
      <c r="A230" s="33">
        <v>11731</v>
      </c>
      <c r="B230" s="65">
        <v>15731</v>
      </c>
      <c r="C230" s="88"/>
      <c r="D230" s="40"/>
      <c r="E230" s="68"/>
      <c r="F230" s="120"/>
    </row>
    <row r="231" spans="1:6">
      <c r="A231" s="33">
        <v>11732</v>
      </c>
      <c r="B231" s="65">
        <v>15732</v>
      </c>
      <c r="C231" s="88"/>
      <c r="D231" s="40"/>
      <c r="E231" s="68"/>
      <c r="F231" s="120"/>
    </row>
    <row r="232" spans="1:6">
      <c r="A232" s="33">
        <v>11733</v>
      </c>
      <c r="B232" s="65">
        <v>15733</v>
      </c>
      <c r="C232" s="88"/>
      <c r="D232" s="40"/>
      <c r="E232" s="68"/>
      <c r="F232" s="120"/>
    </row>
    <row r="233" spans="1:6">
      <c r="A233" s="33">
        <v>11734</v>
      </c>
      <c r="B233" s="65">
        <v>15734</v>
      </c>
      <c r="C233" s="88"/>
      <c r="D233" s="40"/>
      <c r="E233" s="68"/>
      <c r="F233" s="120"/>
    </row>
    <row r="234" spans="1:6">
      <c r="A234" s="33">
        <v>11735</v>
      </c>
      <c r="B234" s="65">
        <v>15735</v>
      </c>
      <c r="C234" s="88"/>
      <c r="D234" s="40"/>
      <c r="E234" s="68"/>
      <c r="F234" s="120"/>
    </row>
    <row r="235" spans="1:6">
      <c r="A235" s="33">
        <v>11736</v>
      </c>
      <c r="B235" s="65">
        <v>15736</v>
      </c>
      <c r="C235" s="88"/>
      <c r="D235" s="40"/>
      <c r="E235" s="68"/>
      <c r="F235" s="120"/>
    </row>
    <row r="236" spans="1:6">
      <c r="A236" s="33">
        <v>11737</v>
      </c>
      <c r="B236" s="65">
        <v>15737</v>
      </c>
      <c r="C236" s="88"/>
      <c r="D236" s="40"/>
      <c r="E236" s="68"/>
      <c r="F236" s="120"/>
    </row>
    <row r="237" spans="1:6">
      <c r="A237" s="33">
        <v>11738</v>
      </c>
      <c r="B237" s="65">
        <v>15738</v>
      </c>
      <c r="C237" s="88"/>
      <c r="D237" s="40"/>
      <c r="E237" s="68"/>
      <c r="F237" s="120"/>
    </row>
    <row r="238" spans="1:6">
      <c r="A238" s="33">
        <v>11739</v>
      </c>
      <c r="B238" s="65">
        <v>15739</v>
      </c>
      <c r="C238" s="88"/>
      <c r="D238" s="40"/>
      <c r="E238" s="68"/>
      <c r="F238" s="120"/>
    </row>
    <row r="239" spans="1:6">
      <c r="A239" s="33">
        <v>11740</v>
      </c>
      <c r="B239" s="65">
        <v>15740</v>
      </c>
      <c r="C239" s="88"/>
      <c r="D239" s="40"/>
      <c r="E239" s="68"/>
      <c r="F239" s="120"/>
    </row>
    <row r="240" spans="1:6">
      <c r="A240" s="33">
        <v>11741</v>
      </c>
      <c r="B240" s="65">
        <v>15741</v>
      </c>
      <c r="C240" s="88"/>
      <c r="D240" s="40"/>
      <c r="E240" s="68"/>
      <c r="F240" s="120"/>
    </row>
    <row r="241" spans="1:6">
      <c r="A241" s="33">
        <v>11742</v>
      </c>
      <c r="B241" s="65">
        <v>15742</v>
      </c>
      <c r="C241" s="88"/>
      <c r="D241" s="40"/>
      <c r="E241" s="68"/>
      <c r="F241" s="120"/>
    </row>
    <row r="242" spans="1:6">
      <c r="A242" s="33">
        <v>11743</v>
      </c>
      <c r="B242" s="65">
        <v>15743</v>
      </c>
      <c r="C242" s="88"/>
      <c r="D242" s="40"/>
      <c r="E242" s="68"/>
      <c r="F242" s="120"/>
    </row>
    <row r="243" spans="1:6">
      <c r="A243" s="33">
        <v>11744</v>
      </c>
      <c r="B243" s="65">
        <v>15744</v>
      </c>
      <c r="C243" s="88"/>
      <c r="D243" s="40"/>
      <c r="E243" s="68"/>
      <c r="F243" s="120"/>
    </row>
    <row r="244" spans="1:6">
      <c r="A244" s="33">
        <v>11745</v>
      </c>
      <c r="B244" s="65">
        <v>15745</v>
      </c>
      <c r="C244" s="88"/>
      <c r="D244" s="40"/>
      <c r="E244" s="68"/>
      <c r="F244" s="120"/>
    </row>
    <row r="245" spans="1:6">
      <c r="A245" s="33">
        <v>11746</v>
      </c>
      <c r="B245" s="65">
        <v>15746</v>
      </c>
      <c r="C245" s="88"/>
      <c r="D245" s="40"/>
      <c r="E245" s="68"/>
      <c r="F245" s="120"/>
    </row>
    <row r="246" spans="1:6">
      <c r="A246" s="33">
        <v>11747</v>
      </c>
      <c r="B246" s="65">
        <v>15747</v>
      </c>
      <c r="C246" s="88"/>
      <c r="D246" s="40"/>
      <c r="E246" s="68"/>
      <c r="F246" s="120"/>
    </row>
    <row r="247" spans="1:6">
      <c r="A247" s="33">
        <v>11748</v>
      </c>
      <c r="B247" s="65">
        <v>15748</v>
      </c>
      <c r="C247" s="88"/>
      <c r="D247" s="40"/>
      <c r="E247" s="68"/>
      <c r="F247" s="120"/>
    </row>
    <row r="248" spans="1:6">
      <c r="A248" s="33">
        <v>11749</v>
      </c>
      <c r="B248" s="65">
        <v>15749</v>
      </c>
      <c r="C248" s="88"/>
      <c r="D248" s="40"/>
      <c r="E248" s="68"/>
      <c r="F248" s="120"/>
    </row>
    <row r="249" spans="1:6">
      <c r="A249" s="33">
        <v>11750</v>
      </c>
      <c r="B249" s="65">
        <v>15750</v>
      </c>
      <c r="C249" s="88"/>
      <c r="D249" s="40"/>
      <c r="E249" s="68"/>
      <c r="F249" s="120"/>
    </row>
    <row r="250" spans="1:6">
      <c r="A250" s="33">
        <v>11751</v>
      </c>
      <c r="B250" s="65">
        <v>15751</v>
      </c>
      <c r="C250" s="88"/>
      <c r="D250" s="40" t="s">
        <v>1228</v>
      </c>
      <c r="E250" s="68"/>
      <c r="F250" s="120"/>
    </row>
    <row r="251" spans="1:6">
      <c r="A251" s="33">
        <v>11752</v>
      </c>
      <c r="B251" s="65">
        <v>15752</v>
      </c>
      <c r="C251" s="88"/>
      <c r="D251" s="40" t="s">
        <v>1229</v>
      </c>
      <c r="E251" s="68"/>
      <c r="F251" s="120"/>
    </row>
    <row r="252" spans="1:6">
      <c r="A252" s="33">
        <v>11753</v>
      </c>
      <c r="B252" s="65">
        <v>15753</v>
      </c>
      <c r="C252" s="88"/>
      <c r="D252" s="40"/>
      <c r="E252" s="68"/>
      <c r="F252" s="120"/>
    </row>
    <row r="253" spans="1:6">
      <c r="A253" s="33">
        <v>11754</v>
      </c>
      <c r="B253" s="65">
        <v>15754</v>
      </c>
      <c r="C253" s="88"/>
      <c r="D253" s="40"/>
      <c r="E253" s="68"/>
      <c r="F253" s="120"/>
    </row>
    <row r="254" spans="1:6">
      <c r="A254" s="33">
        <v>11755</v>
      </c>
      <c r="B254" s="65">
        <v>15755</v>
      </c>
      <c r="C254" s="88"/>
      <c r="D254" s="40"/>
      <c r="E254" s="68"/>
      <c r="F254" s="120"/>
    </row>
    <row r="255" spans="1:6">
      <c r="A255" s="33">
        <v>11756</v>
      </c>
      <c r="B255" s="65">
        <v>15756</v>
      </c>
      <c r="C255" s="88"/>
      <c r="D255" s="40"/>
      <c r="E255" s="68"/>
      <c r="F255" s="120"/>
    </row>
    <row r="256" spans="1:6">
      <c r="A256" s="33">
        <v>11757</v>
      </c>
      <c r="B256" s="65">
        <v>15757</v>
      </c>
      <c r="C256" s="88"/>
      <c r="D256" s="40"/>
      <c r="E256" s="68"/>
      <c r="F256" s="120"/>
    </row>
    <row r="257" spans="1:6">
      <c r="A257" s="33">
        <v>11758</v>
      </c>
      <c r="B257" s="65">
        <v>15758</v>
      </c>
      <c r="C257" s="88"/>
      <c r="D257" s="40" t="s">
        <v>1230</v>
      </c>
      <c r="E257" s="68"/>
      <c r="F257" s="120"/>
    </row>
    <row r="258" spans="1:6">
      <c r="A258" s="33">
        <v>11759</v>
      </c>
      <c r="B258" s="65">
        <v>15759</v>
      </c>
      <c r="C258" s="88"/>
      <c r="D258" s="40" t="s">
        <v>1231</v>
      </c>
      <c r="E258" s="68"/>
      <c r="F258" s="120"/>
    </row>
    <row r="259" spans="1:6">
      <c r="A259" s="33">
        <v>11760</v>
      </c>
      <c r="B259" s="65">
        <v>15760</v>
      </c>
      <c r="C259" s="88"/>
      <c r="D259" s="40" t="s">
        <v>1232</v>
      </c>
      <c r="E259" s="68"/>
      <c r="F259" s="120"/>
    </row>
    <row r="260" spans="1:6">
      <c r="A260" s="33">
        <v>11761</v>
      </c>
      <c r="B260" s="65">
        <v>15761</v>
      </c>
      <c r="C260" s="88"/>
      <c r="D260" s="40" t="s">
        <v>1233</v>
      </c>
      <c r="E260" s="68"/>
      <c r="F260" s="120"/>
    </row>
    <row r="261" spans="1:6">
      <c r="A261" s="33">
        <v>11762</v>
      </c>
      <c r="B261" s="65">
        <v>15762</v>
      </c>
      <c r="C261" s="88"/>
      <c r="D261" s="40" t="s">
        <v>1234</v>
      </c>
      <c r="E261" s="68"/>
      <c r="F261" s="120"/>
    </row>
    <row r="262" spans="1:6">
      <c r="A262" s="33">
        <v>11763</v>
      </c>
      <c r="B262" s="65">
        <v>15763</v>
      </c>
      <c r="C262" s="88"/>
      <c r="D262" s="40" t="s">
        <v>3673</v>
      </c>
      <c r="E262" s="68"/>
      <c r="F262" s="120"/>
    </row>
    <row r="263" spans="1:6">
      <c r="A263" s="33">
        <v>11764</v>
      </c>
      <c r="B263" s="65">
        <v>15764</v>
      </c>
      <c r="C263" s="88"/>
      <c r="D263" s="40" t="s">
        <v>3674</v>
      </c>
      <c r="E263" s="68"/>
      <c r="F263" s="120"/>
    </row>
    <row r="264" spans="1:6">
      <c r="A264" s="33">
        <v>11765</v>
      </c>
      <c r="B264" s="65">
        <v>15765</v>
      </c>
      <c r="C264" s="88"/>
      <c r="D264" s="40" t="s">
        <v>3675</v>
      </c>
      <c r="E264" s="68"/>
      <c r="F264" s="120"/>
    </row>
    <row r="265" spans="1:6">
      <c r="A265" s="33">
        <v>11766</v>
      </c>
      <c r="B265" s="65">
        <v>15766</v>
      </c>
      <c r="C265" s="88"/>
      <c r="D265" s="40"/>
      <c r="E265" s="68"/>
      <c r="F265" s="120"/>
    </row>
    <row r="266" spans="1:6">
      <c r="A266" s="33">
        <v>11767</v>
      </c>
      <c r="B266" s="65">
        <v>15767</v>
      </c>
      <c r="C266" s="88"/>
      <c r="D266" s="40"/>
      <c r="E266" s="68"/>
      <c r="F266" s="120"/>
    </row>
    <row r="267" spans="1:6">
      <c r="A267" s="33">
        <v>11768</v>
      </c>
      <c r="B267" s="65">
        <v>15768</v>
      </c>
      <c r="C267" s="88"/>
      <c r="D267" s="40"/>
      <c r="E267" s="68"/>
      <c r="F267" s="120"/>
    </row>
    <row r="268" spans="1:6">
      <c r="A268" s="33">
        <v>11769</v>
      </c>
      <c r="B268" s="65">
        <v>15769</v>
      </c>
      <c r="C268" s="88"/>
      <c r="D268" s="40"/>
      <c r="E268" s="68"/>
      <c r="F268" s="120"/>
    </row>
    <row r="269" spans="1:6">
      <c r="A269" s="33">
        <v>11770</v>
      </c>
      <c r="B269" s="65">
        <v>15770</v>
      </c>
      <c r="C269" s="88"/>
      <c r="D269" s="40"/>
      <c r="E269" s="68"/>
      <c r="F269" s="120"/>
    </row>
    <row r="270" spans="1:6">
      <c r="A270" s="33">
        <v>11771</v>
      </c>
      <c r="B270" s="65">
        <v>15771</v>
      </c>
      <c r="C270" s="88"/>
      <c r="D270" s="40"/>
      <c r="E270" s="68"/>
      <c r="F270" s="120"/>
    </row>
    <row r="271" spans="1:6">
      <c r="A271" s="33">
        <v>11772</v>
      </c>
      <c r="B271" s="65">
        <v>15772</v>
      </c>
      <c r="C271" s="88"/>
      <c r="D271" s="40"/>
      <c r="E271" s="68"/>
      <c r="F271" s="120"/>
    </row>
    <row r="272" spans="1:6">
      <c r="A272" s="33">
        <v>11773</v>
      </c>
      <c r="B272" s="65">
        <v>15773</v>
      </c>
      <c r="C272" s="88"/>
      <c r="D272" s="40"/>
      <c r="E272" s="68"/>
      <c r="F272" s="120"/>
    </row>
    <row r="273" spans="1:6">
      <c r="A273" s="33">
        <v>11774</v>
      </c>
      <c r="B273" s="65">
        <v>15774</v>
      </c>
      <c r="C273" s="88"/>
      <c r="D273" s="40"/>
      <c r="E273" s="68"/>
      <c r="F273" s="120"/>
    </row>
    <row r="274" spans="1:6">
      <c r="A274" s="33">
        <v>11775</v>
      </c>
      <c r="B274" s="65">
        <v>15775</v>
      </c>
      <c r="C274" s="88"/>
      <c r="D274" s="40"/>
      <c r="E274" s="68"/>
      <c r="F274" s="120"/>
    </row>
    <row r="275" spans="1:6">
      <c r="A275" s="33">
        <v>11776</v>
      </c>
      <c r="B275" s="65">
        <v>15776</v>
      </c>
      <c r="C275" s="88"/>
      <c r="D275" s="40"/>
      <c r="E275" s="68"/>
      <c r="F275" s="120"/>
    </row>
    <row r="276" spans="1:6">
      <c r="A276" s="33">
        <v>11777</v>
      </c>
      <c r="B276" s="65">
        <v>15777</v>
      </c>
      <c r="C276" s="88"/>
      <c r="D276" s="40"/>
      <c r="E276" s="68"/>
      <c r="F276" s="120"/>
    </row>
    <row r="277" spans="1:6">
      <c r="A277" s="33">
        <v>11778</v>
      </c>
      <c r="B277" s="65">
        <v>15778</v>
      </c>
      <c r="C277" s="88"/>
      <c r="D277" s="40"/>
      <c r="E277" s="68"/>
      <c r="F277" s="120"/>
    </row>
    <row r="278" spans="1:6">
      <c r="A278" s="33">
        <v>11779</v>
      </c>
      <c r="B278" s="65">
        <v>15779</v>
      </c>
      <c r="C278" s="88"/>
      <c r="D278" s="40"/>
      <c r="E278" s="68"/>
      <c r="F278" s="120"/>
    </row>
    <row r="279" spans="1:6">
      <c r="A279" s="33">
        <v>11780</v>
      </c>
      <c r="B279" s="65">
        <v>15780</v>
      </c>
      <c r="C279" s="88"/>
      <c r="D279" s="40"/>
      <c r="E279" s="68"/>
      <c r="F279" s="120"/>
    </row>
    <row r="280" spans="1:6">
      <c r="A280" s="33">
        <v>11781</v>
      </c>
      <c r="B280" s="65">
        <v>15781</v>
      </c>
      <c r="C280" s="88"/>
      <c r="D280" s="40"/>
      <c r="E280" s="68"/>
      <c r="F280" s="120"/>
    </row>
    <row r="281" spans="1:6">
      <c r="A281" s="33">
        <v>11782</v>
      </c>
      <c r="B281" s="65">
        <v>15782</v>
      </c>
      <c r="C281" s="88"/>
      <c r="D281" s="40"/>
      <c r="E281" s="68"/>
      <c r="F281" s="120"/>
    </row>
    <row r="282" spans="1:6">
      <c r="A282" s="33">
        <v>11783</v>
      </c>
      <c r="B282" s="65">
        <v>15783</v>
      </c>
      <c r="C282" s="88"/>
      <c r="D282" s="40"/>
      <c r="E282" s="68"/>
      <c r="F282" s="120"/>
    </row>
    <row r="283" spans="1:6">
      <c r="A283" s="33">
        <v>11784</v>
      </c>
      <c r="B283" s="65">
        <v>15784</v>
      </c>
      <c r="C283" s="88"/>
      <c r="D283" s="40"/>
      <c r="E283" s="68"/>
      <c r="F283" s="120"/>
    </row>
    <row r="284" spans="1:6">
      <c r="A284" s="33">
        <v>11785</v>
      </c>
      <c r="B284" s="65">
        <v>15785</v>
      </c>
      <c r="C284" s="88"/>
      <c r="D284" s="40"/>
      <c r="E284" s="68"/>
      <c r="F284" s="120"/>
    </row>
    <row r="285" spans="1:6">
      <c r="A285" s="33">
        <v>11786</v>
      </c>
      <c r="B285" s="65">
        <v>15786</v>
      </c>
      <c r="C285" s="88"/>
      <c r="D285" s="40" t="s">
        <v>3676</v>
      </c>
      <c r="E285" s="68"/>
      <c r="F285" s="120"/>
    </row>
    <row r="286" spans="1:6">
      <c r="A286" s="33">
        <v>11787</v>
      </c>
      <c r="B286" s="65">
        <v>15787</v>
      </c>
      <c r="C286" s="88"/>
      <c r="D286" s="40" t="s">
        <v>3677</v>
      </c>
      <c r="E286" s="68"/>
      <c r="F286" s="120"/>
    </row>
    <row r="287" spans="1:6">
      <c r="A287" s="33">
        <v>11788</v>
      </c>
      <c r="B287" s="65">
        <v>15788</v>
      </c>
      <c r="C287" s="88"/>
      <c r="D287" s="40"/>
      <c r="E287" s="68"/>
      <c r="F287" s="120"/>
    </row>
    <row r="288" spans="1:6">
      <c r="A288" s="33">
        <v>11789</v>
      </c>
      <c r="B288" s="65">
        <v>15789</v>
      </c>
      <c r="C288" s="88"/>
      <c r="D288" s="40"/>
      <c r="E288" s="68"/>
      <c r="F288" s="120"/>
    </row>
    <row r="289" spans="1:6">
      <c r="A289" s="33">
        <v>11790</v>
      </c>
      <c r="B289" s="65">
        <v>15790</v>
      </c>
      <c r="C289" s="88"/>
      <c r="D289" s="40"/>
      <c r="E289" s="68"/>
      <c r="F289" s="120"/>
    </row>
    <row r="290" spans="1:6">
      <c r="A290" s="33">
        <v>11791</v>
      </c>
      <c r="B290" s="65">
        <v>15791</v>
      </c>
      <c r="C290" s="88"/>
      <c r="D290" s="40"/>
      <c r="E290" s="68"/>
      <c r="F290" s="120"/>
    </row>
    <row r="291" spans="1:6">
      <c r="A291" s="33">
        <v>11792</v>
      </c>
      <c r="B291" s="65">
        <v>15792</v>
      </c>
      <c r="C291" s="88"/>
      <c r="D291" s="40"/>
      <c r="E291" s="68"/>
      <c r="F291" s="120"/>
    </row>
    <row r="292" spans="1:6">
      <c r="A292" s="33">
        <v>11793</v>
      </c>
      <c r="B292" s="65">
        <v>15793</v>
      </c>
      <c r="C292" s="88"/>
      <c r="D292" s="40"/>
      <c r="E292" s="68"/>
      <c r="F292" s="120"/>
    </row>
    <row r="293" spans="1:6">
      <c r="A293" s="33">
        <v>11794</v>
      </c>
      <c r="B293" s="65">
        <v>15794</v>
      </c>
      <c r="C293" s="88"/>
      <c r="D293" s="40"/>
      <c r="E293" s="68"/>
      <c r="F293" s="120"/>
    </row>
    <row r="294" spans="1:6">
      <c r="A294" s="33">
        <v>11795</v>
      </c>
      <c r="B294" s="65">
        <v>15795</v>
      </c>
      <c r="C294" s="88"/>
      <c r="D294" s="40" t="s">
        <v>1241</v>
      </c>
      <c r="E294" s="68"/>
      <c r="F294" s="120"/>
    </row>
    <row r="295" spans="1:6">
      <c r="A295" s="33">
        <v>11796</v>
      </c>
      <c r="B295" s="65">
        <v>15796</v>
      </c>
      <c r="C295" s="88"/>
      <c r="D295" s="40" t="s">
        <v>1242</v>
      </c>
      <c r="E295" s="68"/>
      <c r="F295" s="120"/>
    </row>
    <row r="296" spans="1:6">
      <c r="A296" s="33">
        <v>11797</v>
      </c>
      <c r="B296" s="65">
        <v>15797</v>
      </c>
      <c r="C296" s="88"/>
      <c r="D296" s="40" t="s">
        <v>1243</v>
      </c>
      <c r="E296" s="68"/>
      <c r="F296" s="120"/>
    </row>
    <row r="297" spans="1:6">
      <c r="A297" s="33">
        <v>11798</v>
      </c>
      <c r="B297" s="65">
        <v>15798</v>
      </c>
      <c r="C297" s="88"/>
      <c r="D297" s="40"/>
      <c r="E297" s="68"/>
      <c r="F297" s="120"/>
    </row>
    <row r="298" spans="1:6">
      <c r="A298" s="33">
        <v>11799</v>
      </c>
      <c r="B298" s="65">
        <v>15799</v>
      </c>
      <c r="C298" s="88"/>
      <c r="D298" s="40" t="s">
        <v>1244</v>
      </c>
      <c r="E298" s="68"/>
      <c r="F298" s="120"/>
    </row>
    <row r="299" spans="1:6">
      <c r="A299" s="33">
        <v>11800</v>
      </c>
      <c r="B299" s="65">
        <v>15800</v>
      </c>
      <c r="C299" s="88"/>
      <c r="D299" s="40" t="s">
        <v>1245</v>
      </c>
      <c r="E299" s="68"/>
      <c r="F299" s="120"/>
    </row>
    <row r="300" spans="1:6">
      <c r="A300" s="33">
        <v>11801</v>
      </c>
      <c r="B300" s="65">
        <v>15801</v>
      </c>
      <c r="C300" s="88"/>
      <c r="D300" s="40" t="s">
        <v>1246</v>
      </c>
      <c r="E300" s="68"/>
      <c r="F300" s="120"/>
    </row>
    <row r="301" spans="1:6">
      <c r="A301" s="33">
        <v>11802</v>
      </c>
      <c r="B301" s="65">
        <v>15802</v>
      </c>
      <c r="C301" s="88"/>
      <c r="D301" s="40" t="s">
        <v>1247</v>
      </c>
      <c r="E301" s="68"/>
      <c r="F301" s="120"/>
    </row>
    <row r="302" spans="1:6">
      <c r="A302" s="33">
        <v>11803</v>
      </c>
      <c r="B302" s="65">
        <v>15803</v>
      </c>
      <c r="C302" s="88"/>
      <c r="D302" s="40"/>
      <c r="E302" s="68"/>
      <c r="F302" s="120"/>
    </row>
    <row r="303" spans="1:6">
      <c r="A303" s="33">
        <v>11804</v>
      </c>
      <c r="B303" s="65">
        <v>15804</v>
      </c>
      <c r="C303" s="88"/>
      <c r="D303" s="40"/>
      <c r="E303" s="68"/>
      <c r="F303" s="120"/>
    </row>
    <row r="304" spans="1:6">
      <c r="A304" s="33">
        <v>11805</v>
      </c>
      <c r="B304" s="65">
        <v>15805</v>
      </c>
      <c r="C304" s="88"/>
      <c r="D304" s="40"/>
      <c r="E304" s="68"/>
      <c r="F304" s="120"/>
    </row>
    <row r="305" spans="1:6">
      <c r="A305" s="33">
        <v>11806</v>
      </c>
      <c r="B305" s="65">
        <v>15806</v>
      </c>
      <c r="C305" s="88"/>
      <c r="D305" s="40"/>
      <c r="E305" s="68"/>
      <c r="F305" s="120"/>
    </row>
    <row r="306" spans="1:6">
      <c r="A306" s="33">
        <v>11807</v>
      </c>
      <c r="B306" s="65">
        <v>15807</v>
      </c>
      <c r="C306" s="88"/>
      <c r="D306" s="40"/>
      <c r="E306" s="68"/>
      <c r="F306" s="120"/>
    </row>
    <row r="307" spans="1:6">
      <c r="A307" s="33">
        <v>11808</v>
      </c>
      <c r="B307" s="65">
        <v>15808</v>
      </c>
      <c r="C307" s="88"/>
      <c r="D307" s="40" t="s">
        <v>1248</v>
      </c>
      <c r="E307" s="68"/>
      <c r="F307" s="120"/>
    </row>
    <row r="308" spans="1:6">
      <c r="A308" s="33">
        <v>11809</v>
      </c>
      <c r="B308" s="65">
        <v>15809</v>
      </c>
      <c r="C308" s="88"/>
      <c r="D308" s="40" t="s">
        <v>1249</v>
      </c>
      <c r="E308" s="68"/>
      <c r="F308" s="120"/>
    </row>
    <row r="309" spans="1:6">
      <c r="A309" s="33">
        <v>11810</v>
      </c>
      <c r="B309" s="65">
        <v>15810</v>
      </c>
      <c r="C309" s="88"/>
      <c r="D309" s="40" t="s">
        <v>1250</v>
      </c>
      <c r="E309" s="68"/>
      <c r="F309" s="120"/>
    </row>
    <row r="310" spans="1:6">
      <c r="A310" s="33">
        <v>11811</v>
      </c>
      <c r="B310" s="65">
        <v>15811</v>
      </c>
      <c r="C310" s="88"/>
      <c r="D310" s="40"/>
      <c r="E310" s="68"/>
      <c r="F310" s="120"/>
    </row>
    <row r="311" spans="1:6">
      <c r="A311" s="33">
        <v>11812</v>
      </c>
      <c r="B311" s="65">
        <v>15812</v>
      </c>
      <c r="C311" s="88"/>
      <c r="D311" s="40"/>
      <c r="E311" s="68"/>
      <c r="F311" s="120"/>
    </row>
    <row r="312" spans="1:6">
      <c r="A312" s="33">
        <v>11813</v>
      </c>
      <c r="B312" s="65">
        <v>15813</v>
      </c>
      <c r="C312" s="88"/>
      <c r="D312" s="40"/>
      <c r="E312" s="68"/>
      <c r="F312" s="120"/>
    </row>
    <row r="313" spans="1:6">
      <c r="A313" s="33">
        <v>11814</v>
      </c>
      <c r="B313" s="65">
        <v>15814</v>
      </c>
      <c r="C313" s="88"/>
      <c r="D313" s="40" t="s">
        <v>1251</v>
      </c>
      <c r="E313" s="68"/>
      <c r="F313" s="120"/>
    </row>
    <row r="314" spans="1:6">
      <c r="A314" s="33">
        <v>11815</v>
      </c>
      <c r="B314" s="65">
        <v>15815</v>
      </c>
      <c r="C314" s="88"/>
      <c r="D314" s="40" t="s">
        <v>3678</v>
      </c>
      <c r="E314" s="68"/>
      <c r="F314" s="120"/>
    </row>
    <row r="315" spans="1:6">
      <c r="A315" s="33">
        <v>11816</v>
      </c>
      <c r="B315" s="65">
        <v>15816</v>
      </c>
      <c r="C315" s="88"/>
      <c r="D315" s="40" t="s">
        <v>3679</v>
      </c>
      <c r="E315" s="68"/>
      <c r="F315" s="120"/>
    </row>
    <row r="316" spans="1:6">
      <c r="A316" s="33">
        <v>11817</v>
      </c>
      <c r="B316" s="65">
        <v>15817</v>
      </c>
      <c r="C316" s="88"/>
      <c r="D316" s="40"/>
      <c r="E316" s="68"/>
      <c r="F316" s="120"/>
    </row>
    <row r="317" spans="1:6">
      <c r="A317" s="33">
        <v>11818</v>
      </c>
      <c r="B317" s="65">
        <v>15818</v>
      </c>
      <c r="C317" s="88"/>
      <c r="D317" s="40"/>
      <c r="E317" s="68"/>
      <c r="F317" s="120"/>
    </row>
    <row r="318" spans="1:6">
      <c r="A318" s="33">
        <v>11819</v>
      </c>
      <c r="B318" s="65">
        <v>15819</v>
      </c>
      <c r="C318" s="88"/>
      <c r="D318" s="40"/>
      <c r="E318" s="68"/>
      <c r="F318" s="120"/>
    </row>
    <row r="319" spans="1:6">
      <c r="A319" s="33">
        <v>11820</v>
      </c>
      <c r="B319" s="65">
        <v>15820</v>
      </c>
      <c r="C319" s="88"/>
      <c r="D319" s="40"/>
      <c r="E319" s="68"/>
      <c r="F319" s="120"/>
    </row>
    <row r="320" spans="1:6">
      <c r="A320" s="33">
        <v>11821</v>
      </c>
      <c r="B320" s="65">
        <v>15821</v>
      </c>
      <c r="C320" s="88"/>
      <c r="D320" s="40"/>
      <c r="E320" s="68"/>
      <c r="F320" s="120"/>
    </row>
    <row r="321" spans="1:6">
      <c r="A321" s="33">
        <v>11822</v>
      </c>
      <c r="B321" s="65">
        <v>15822</v>
      </c>
      <c r="C321" s="88"/>
      <c r="D321" s="40" t="s">
        <v>3680</v>
      </c>
      <c r="E321" s="68"/>
      <c r="F321" s="120"/>
    </row>
    <row r="322" spans="1:6">
      <c r="A322" s="33">
        <v>11823</v>
      </c>
      <c r="B322" s="65">
        <v>15823</v>
      </c>
      <c r="C322" s="88"/>
      <c r="D322" s="40" t="s">
        <v>3681</v>
      </c>
      <c r="E322" s="68"/>
      <c r="F322" s="120"/>
    </row>
    <row r="323" spans="1:6">
      <c r="A323" s="33">
        <v>11824</v>
      </c>
      <c r="B323" s="65">
        <v>15824</v>
      </c>
      <c r="C323" s="88"/>
      <c r="D323" s="40" t="s">
        <v>3682</v>
      </c>
      <c r="E323" s="68"/>
      <c r="F323" s="120"/>
    </row>
    <row r="324" spans="1:6">
      <c r="A324" s="33">
        <v>11825</v>
      </c>
      <c r="B324" s="65">
        <v>15825</v>
      </c>
      <c r="C324" s="88"/>
      <c r="D324" s="40"/>
      <c r="E324" s="68"/>
      <c r="F324" s="120"/>
    </row>
    <row r="325" spans="1:6">
      <c r="A325" s="33">
        <v>11826</v>
      </c>
      <c r="B325" s="65">
        <v>15826</v>
      </c>
      <c r="C325" s="88"/>
      <c r="D325" s="40"/>
      <c r="E325" s="68"/>
      <c r="F325" s="120"/>
    </row>
    <row r="326" spans="1:6">
      <c r="A326" s="33">
        <v>11827</v>
      </c>
      <c r="B326" s="65">
        <v>15827</v>
      </c>
      <c r="C326" s="88"/>
      <c r="D326" s="40"/>
      <c r="E326" s="68"/>
      <c r="F326" s="120"/>
    </row>
    <row r="327" spans="1:6">
      <c r="A327" s="33">
        <v>11828</v>
      </c>
      <c r="B327" s="65">
        <v>15828</v>
      </c>
      <c r="C327" s="88"/>
      <c r="D327" s="40"/>
      <c r="E327" s="68"/>
      <c r="F327" s="120"/>
    </row>
    <row r="328" spans="1:6">
      <c r="A328" s="74" t="s">
        <v>3683</v>
      </c>
      <c r="B328" s="65" t="s">
        <v>3683</v>
      </c>
      <c r="C328" s="88" t="s">
        <v>3646</v>
      </c>
      <c r="D328" s="34">
        <v>9771000</v>
      </c>
      <c r="E328" s="68"/>
      <c r="F328" s="120"/>
    </row>
    <row r="329" spans="1:6">
      <c r="A329" s="33" t="s">
        <v>3683</v>
      </c>
      <c r="B329" s="65" t="s">
        <v>3683</v>
      </c>
      <c r="C329" s="88" t="s">
        <v>3646</v>
      </c>
      <c r="D329" s="34">
        <v>9771107</v>
      </c>
      <c r="E329" s="68"/>
      <c r="F329" s="178"/>
    </row>
    <row r="330" spans="1:6">
      <c r="A330" s="33" t="s">
        <v>3683</v>
      </c>
      <c r="B330" s="65">
        <v>13000</v>
      </c>
      <c r="C330" s="88" t="s">
        <v>3646</v>
      </c>
      <c r="D330" s="34">
        <v>9771700</v>
      </c>
      <c r="E330" s="68"/>
      <c r="F330" s="120"/>
    </row>
    <row r="331" spans="1:6">
      <c r="A331" s="74" t="s">
        <v>3683</v>
      </c>
      <c r="B331" s="65" t="s">
        <v>3683</v>
      </c>
      <c r="C331" s="88" t="s">
        <v>3646</v>
      </c>
      <c r="D331" s="34">
        <v>9771751</v>
      </c>
      <c r="E331" s="68"/>
      <c r="F331" s="120"/>
    </row>
    <row r="332" spans="1:6">
      <c r="A332" s="33" t="s">
        <v>3683</v>
      </c>
      <c r="B332" s="65" t="s">
        <v>3683</v>
      </c>
      <c r="C332" s="88" t="s">
        <v>3646</v>
      </c>
      <c r="D332" s="40"/>
      <c r="E332" s="68"/>
      <c r="F332" s="152"/>
    </row>
    <row r="333" spans="1:6">
      <c r="A333" s="33" t="s">
        <v>3632</v>
      </c>
      <c r="B333" s="65"/>
      <c r="C333" s="88"/>
      <c r="D333" s="40">
        <v>9771500</v>
      </c>
      <c r="E333" s="68"/>
      <c r="F333" s="120"/>
    </row>
    <row r="334" spans="1:6">
      <c r="A334" s="33" t="s">
        <v>3632</v>
      </c>
      <c r="B334" s="65"/>
      <c r="C334" s="88"/>
      <c r="D334" s="40">
        <v>9771502</v>
      </c>
      <c r="E334" s="68"/>
      <c r="F334" s="120"/>
    </row>
    <row r="335" spans="1:6">
      <c r="A335" s="33" t="s">
        <v>3632</v>
      </c>
      <c r="B335" s="65"/>
      <c r="C335" s="88"/>
      <c r="D335" s="40">
        <v>9771504</v>
      </c>
      <c r="E335" s="68"/>
      <c r="F335" s="120"/>
    </row>
    <row r="336" spans="1:6">
      <c r="A336" s="33" t="s">
        <v>3632</v>
      </c>
      <c r="B336" s="65"/>
      <c r="C336" s="88"/>
      <c r="D336" s="40">
        <v>9771506</v>
      </c>
      <c r="E336" s="68"/>
      <c r="F336" s="120"/>
    </row>
    <row r="337" spans="1:6">
      <c r="A337" s="33" t="s">
        <v>3632</v>
      </c>
      <c r="B337" s="65"/>
      <c r="C337" s="88"/>
      <c r="D337" s="37">
        <v>9771508</v>
      </c>
      <c r="E337" s="68"/>
      <c r="F337" s="120"/>
    </row>
    <row r="338" spans="1:6">
      <c r="A338" s="33" t="s">
        <v>3632</v>
      </c>
      <c r="B338" s="65"/>
      <c r="C338" s="88"/>
      <c r="D338" s="40">
        <v>9771510</v>
      </c>
      <c r="E338" s="68"/>
      <c r="F338" s="120"/>
    </row>
    <row r="339" spans="1:6">
      <c r="A339" s="33"/>
      <c r="B339" s="65"/>
      <c r="C339" s="88"/>
      <c r="D339" s="40"/>
      <c r="E339" s="66"/>
      <c r="F339" s="120"/>
    </row>
    <row r="340" spans="1:6">
      <c r="A340" s="33"/>
      <c r="B340" s="65"/>
      <c r="C340" s="88"/>
      <c r="D340" s="40"/>
      <c r="E340" s="68"/>
      <c r="F340" s="120"/>
    </row>
    <row r="341" spans="1:6">
      <c r="A341" s="33"/>
      <c r="B341" s="65"/>
      <c r="C341" s="88"/>
      <c r="D341" s="40"/>
      <c r="E341" s="68"/>
      <c r="F341" s="120"/>
    </row>
    <row r="342" spans="1:6">
      <c r="A342" s="33"/>
      <c r="B342" s="65"/>
      <c r="C342" s="88"/>
      <c r="D342" s="40"/>
      <c r="E342" s="68"/>
      <c r="F342" s="120"/>
    </row>
    <row r="343" spans="1:6">
      <c r="A343" s="33"/>
      <c r="B343" s="65"/>
      <c r="C343" s="88"/>
      <c r="D343" s="40"/>
      <c r="E343" s="68"/>
      <c r="F343" s="120"/>
    </row>
    <row r="344" spans="1:6">
      <c r="A344" s="131"/>
      <c r="B344" s="76"/>
      <c r="C344" s="150"/>
      <c r="D344" s="108"/>
      <c r="E344" s="77"/>
      <c r="F344" s="122"/>
    </row>
  </sheetData>
  <sheetProtection algorithmName="SHA-512" hashValue="bDla6TfwIrk1vNEjZB2OpmSDVnIz0042eqLGCTW/69dKtaM1BqKfiHr9wdKqvoKfCQ+0+VAXDNP7JPmO3p6G1g==" saltValue="PGaU1st6aHuNkh7QJWjFyQ==" spinCount="100000" sheet="1" objects="1" scenarios="1"/>
  <conditionalFormatting sqref="A116:A344">
    <cfRule type="duplicateValues" dxfId="39" priority="5"/>
  </conditionalFormatting>
  <conditionalFormatting sqref="B116:B344">
    <cfRule type="duplicateValues" dxfId="38" priority="6"/>
  </conditionalFormatting>
  <conditionalFormatting sqref="C116:C342 C344">
    <cfRule type="duplicateValues" dxfId="37" priority="4"/>
  </conditionalFormatting>
  <conditionalFormatting sqref="C343">
    <cfRule type="duplicateValues" dxfId="36" priority="2"/>
  </conditionalFormatting>
  <pageMargins left="0.7" right="0.7" top="0.75" bottom="0.75" header="0.3" footer="0.3"/>
  <pageSetup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0"/>
  <dimension ref="A1:G102"/>
  <sheetViews>
    <sheetView workbookViewId="0"/>
  </sheetViews>
  <sheetFormatPr defaultColWidth="50" defaultRowHeight="15"/>
  <cols>
    <col min="1" max="1" width="11.42578125" bestFit="1" customWidth="1"/>
    <col min="2" max="2" width="13.42578125" bestFit="1" customWidth="1"/>
    <col min="3" max="3" width="10.28515625" bestFit="1" customWidth="1"/>
    <col min="4" max="4" width="18.28515625" bestFit="1" customWidth="1"/>
    <col min="5" max="5" width="19" bestFit="1" customWidth="1"/>
    <col min="6" max="6" width="7.28515625" bestFit="1" customWidth="1"/>
    <col min="7" max="7" width="9.28515625" bestFit="1" customWidth="1"/>
  </cols>
  <sheetData>
    <row r="1" spans="1:7">
      <c r="A1" s="94" t="s">
        <v>3605</v>
      </c>
      <c r="B1" s="95" t="s">
        <v>3606</v>
      </c>
      <c r="C1" s="95" t="s">
        <v>3607</v>
      </c>
      <c r="D1" s="96" t="s">
        <v>3641</v>
      </c>
      <c r="E1" s="96" t="s">
        <v>3609</v>
      </c>
      <c r="F1" s="95" t="s">
        <v>3610</v>
      </c>
      <c r="G1" s="97" t="s">
        <v>3611</v>
      </c>
    </row>
    <row r="2" spans="1:7">
      <c r="A2" s="81">
        <v>30400</v>
      </c>
      <c r="B2" s="10">
        <v>34400</v>
      </c>
      <c r="C2" s="10" t="s">
        <v>3684</v>
      </c>
      <c r="D2" s="9"/>
      <c r="E2" s="9"/>
      <c r="F2" s="9"/>
      <c r="G2" s="39"/>
    </row>
    <row r="3" spans="1:7">
      <c r="A3" s="81">
        <v>30401</v>
      </c>
      <c r="B3" s="10">
        <v>34401</v>
      </c>
      <c r="C3" s="10" t="s">
        <v>3684</v>
      </c>
      <c r="D3" s="9"/>
      <c r="E3" s="9"/>
      <c r="F3" s="9"/>
      <c r="G3" s="39"/>
    </row>
    <row r="4" spans="1:7">
      <c r="A4" s="81">
        <v>30402</v>
      </c>
      <c r="B4" s="10">
        <v>34402</v>
      </c>
      <c r="C4" s="10" t="s">
        <v>3684</v>
      </c>
      <c r="D4" s="9"/>
      <c r="E4" s="9"/>
      <c r="F4" s="9"/>
      <c r="G4" s="39"/>
    </row>
    <row r="5" spans="1:7">
      <c r="A5" s="81">
        <v>30403</v>
      </c>
      <c r="B5" s="10">
        <v>34403</v>
      </c>
      <c r="C5" s="10" t="s">
        <v>3684</v>
      </c>
      <c r="D5" s="9"/>
      <c r="E5" s="9"/>
      <c r="F5" s="9"/>
      <c r="G5" s="39"/>
    </row>
    <row r="6" spans="1:7">
      <c r="A6" s="81">
        <v>30404</v>
      </c>
      <c r="B6" s="10">
        <v>34404</v>
      </c>
      <c r="C6" s="10" t="s">
        <v>3684</v>
      </c>
      <c r="D6" s="9"/>
      <c r="E6" s="9"/>
      <c r="F6" s="9"/>
      <c r="G6" s="39"/>
    </row>
    <row r="7" spans="1:7">
      <c r="A7" s="81">
        <v>30405</v>
      </c>
      <c r="B7" s="10">
        <v>34405</v>
      </c>
      <c r="C7" s="10" t="s">
        <v>3684</v>
      </c>
      <c r="D7" s="9"/>
      <c r="E7" s="9"/>
      <c r="F7" s="9"/>
      <c r="G7" s="39"/>
    </row>
    <row r="8" spans="1:7">
      <c r="A8" s="81">
        <v>30406</v>
      </c>
      <c r="B8" s="10">
        <v>34406</v>
      </c>
      <c r="C8" s="10" t="s">
        <v>3684</v>
      </c>
      <c r="D8" s="9"/>
      <c r="E8" s="9"/>
      <c r="F8" s="9"/>
      <c r="G8" s="39"/>
    </row>
    <row r="9" spans="1:7">
      <c r="A9" s="81">
        <v>30407</v>
      </c>
      <c r="B9" s="10">
        <v>34407</v>
      </c>
      <c r="C9" s="10" t="s">
        <v>3684</v>
      </c>
      <c r="D9" s="9"/>
      <c r="E9" s="9"/>
      <c r="F9" s="9"/>
      <c r="G9" s="39"/>
    </row>
    <row r="10" spans="1:7">
      <c r="A10" s="81">
        <v>30408</v>
      </c>
      <c r="B10" s="10">
        <v>34408</v>
      </c>
      <c r="C10" s="10" t="s">
        <v>3684</v>
      </c>
      <c r="D10" s="9"/>
      <c r="E10" s="9"/>
      <c r="F10" s="9"/>
      <c r="G10" s="39"/>
    </row>
    <row r="11" spans="1:7">
      <c r="A11" s="81">
        <v>30409</v>
      </c>
      <c r="B11" s="10">
        <v>34409</v>
      </c>
      <c r="C11" s="10" t="s">
        <v>3684</v>
      </c>
      <c r="D11" s="9"/>
      <c r="E11" s="9"/>
      <c r="F11" s="9"/>
      <c r="G11" s="39"/>
    </row>
    <row r="12" spans="1:7">
      <c r="A12" s="81">
        <v>30410</v>
      </c>
      <c r="B12" s="10">
        <v>34410</v>
      </c>
      <c r="C12" s="10" t="s">
        <v>3684</v>
      </c>
      <c r="D12" s="9"/>
      <c r="E12" s="9"/>
      <c r="F12" s="9"/>
      <c r="G12" s="39"/>
    </row>
    <row r="13" spans="1:7">
      <c r="A13" s="81">
        <v>30411</v>
      </c>
      <c r="B13" s="10">
        <v>34411</v>
      </c>
      <c r="C13" s="10" t="s">
        <v>3684</v>
      </c>
      <c r="D13" s="9"/>
      <c r="E13" s="9"/>
      <c r="F13" s="9"/>
      <c r="G13" s="39"/>
    </row>
    <row r="14" spans="1:7">
      <c r="A14" s="81">
        <v>30412</v>
      </c>
      <c r="B14" s="10">
        <v>34412</v>
      </c>
      <c r="C14" s="10" t="s">
        <v>3684</v>
      </c>
      <c r="D14" s="9"/>
      <c r="E14" s="9"/>
      <c r="F14" s="9"/>
      <c r="G14" s="39"/>
    </row>
    <row r="15" spans="1:7">
      <c r="A15" s="81">
        <v>30413</v>
      </c>
      <c r="B15" s="10">
        <v>34413</v>
      </c>
      <c r="C15" s="10" t="s">
        <v>3684</v>
      </c>
      <c r="D15" s="9"/>
      <c r="E15" s="9"/>
      <c r="F15" s="9"/>
      <c r="G15" s="39"/>
    </row>
    <row r="16" spans="1:7">
      <c r="A16" s="81">
        <v>30414</v>
      </c>
      <c r="B16" s="10">
        <v>34414</v>
      </c>
      <c r="C16" s="10" t="s">
        <v>3684</v>
      </c>
      <c r="D16" s="9"/>
      <c r="E16" s="9"/>
      <c r="F16" s="9"/>
      <c r="G16" s="39"/>
    </row>
    <row r="17" spans="1:7">
      <c r="A17" s="81">
        <v>30415</v>
      </c>
      <c r="B17" s="10">
        <v>34415</v>
      </c>
      <c r="C17" s="10" t="s">
        <v>3684</v>
      </c>
      <c r="D17" s="9"/>
      <c r="E17" s="9"/>
      <c r="F17" s="9"/>
      <c r="G17" s="39"/>
    </row>
    <row r="18" spans="1:7">
      <c r="A18" s="81">
        <v>30416</v>
      </c>
      <c r="B18" s="10">
        <v>34416</v>
      </c>
      <c r="C18" s="10" t="s">
        <v>3684</v>
      </c>
      <c r="D18" s="9"/>
      <c r="E18" s="9"/>
      <c r="F18" s="9"/>
      <c r="G18" s="39"/>
    </row>
    <row r="19" spans="1:7">
      <c r="A19" s="81">
        <v>30417</v>
      </c>
      <c r="B19" s="10">
        <v>34417</v>
      </c>
      <c r="C19" s="10" t="s">
        <v>3684</v>
      </c>
      <c r="D19" s="9"/>
      <c r="E19" s="9"/>
      <c r="F19" s="9"/>
      <c r="G19" s="39"/>
    </row>
    <row r="20" spans="1:7">
      <c r="A20" s="81">
        <v>30418</v>
      </c>
      <c r="B20" s="10">
        <v>34418</v>
      </c>
      <c r="C20" s="10" t="s">
        <v>3684</v>
      </c>
      <c r="D20" s="9"/>
      <c r="E20" s="9"/>
      <c r="F20" s="9"/>
      <c r="G20" s="39"/>
    </row>
    <row r="21" spans="1:7">
      <c r="A21" s="81">
        <v>30419</v>
      </c>
      <c r="B21" s="10">
        <v>34419</v>
      </c>
      <c r="C21" s="10" t="s">
        <v>3684</v>
      </c>
      <c r="D21" s="9"/>
      <c r="E21" s="9"/>
      <c r="F21" s="9"/>
      <c r="G21" s="39"/>
    </row>
    <row r="22" spans="1:7">
      <c r="A22" s="81">
        <v>30420</v>
      </c>
      <c r="B22" s="10">
        <v>34420</v>
      </c>
      <c r="C22" s="10" t="s">
        <v>3684</v>
      </c>
      <c r="D22" s="9"/>
      <c r="E22" s="9"/>
      <c r="F22" s="9"/>
      <c r="G22" s="39"/>
    </row>
    <row r="23" spans="1:7">
      <c r="A23" s="81">
        <v>30421</v>
      </c>
      <c r="B23" s="10">
        <v>34421</v>
      </c>
      <c r="C23" s="10" t="s">
        <v>3684</v>
      </c>
      <c r="D23" s="9"/>
      <c r="E23" s="9"/>
      <c r="F23" s="9"/>
      <c r="G23" s="39"/>
    </row>
    <row r="24" spans="1:7">
      <c r="A24" s="81">
        <v>30422</v>
      </c>
      <c r="B24" s="10">
        <v>34422</v>
      </c>
      <c r="C24" s="10" t="s">
        <v>3684</v>
      </c>
      <c r="D24" s="9"/>
      <c r="E24" s="9"/>
      <c r="F24" s="9"/>
      <c r="G24" s="39"/>
    </row>
    <row r="25" spans="1:7">
      <c r="A25" s="81">
        <v>30423</v>
      </c>
      <c r="B25" s="10">
        <v>34423</v>
      </c>
      <c r="C25" s="10" t="s">
        <v>3684</v>
      </c>
      <c r="D25" s="9"/>
      <c r="E25" s="9"/>
      <c r="F25" s="9"/>
      <c r="G25" s="39"/>
    </row>
    <row r="26" spans="1:7">
      <c r="A26" s="81">
        <v>30424</v>
      </c>
      <c r="B26" s="10">
        <v>34424</v>
      </c>
      <c r="C26" s="10" t="s">
        <v>3684</v>
      </c>
      <c r="D26" s="9"/>
      <c r="E26" s="9"/>
      <c r="F26" s="9"/>
      <c r="G26" s="39"/>
    </row>
    <row r="27" spans="1:7">
      <c r="A27" s="81">
        <v>30425</v>
      </c>
      <c r="B27" s="10">
        <v>34425</v>
      </c>
      <c r="C27" s="10" t="s">
        <v>3684</v>
      </c>
      <c r="D27" s="9"/>
      <c r="E27" s="9"/>
      <c r="F27" s="9"/>
      <c r="G27" s="39"/>
    </row>
    <row r="28" spans="1:7">
      <c r="A28" s="81">
        <v>30426</v>
      </c>
      <c r="B28" s="10">
        <v>34426</v>
      </c>
      <c r="C28" s="10" t="s">
        <v>3684</v>
      </c>
      <c r="D28" s="9"/>
      <c r="E28" s="9"/>
      <c r="F28" s="9"/>
      <c r="G28" s="39"/>
    </row>
    <row r="29" spans="1:7">
      <c r="A29" s="81">
        <v>30427</v>
      </c>
      <c r="B29" s="10">
        <v>34427</v>
      </c>
      <c r="C29" s="10" t="s">
        <v>3684</v>
      </c>
      <c r="D29" s="9"/>
      <c r="E29" s="9"/>
      <c r="F29" s="9"/>
      <c r="G29" s="39"/>
    </row>
    <row r="30" spans="1:7">
      <c r="A30" s="81">
        <v>30428</v>
      </c>
      <c r="B30" s="10">
        <v>34428</v>
      </c>
      <c r="C30" s="10" t="s">
        <v>3684</v>
      </c>
      <c r="D30" s="9"/>
      <c r="E30" s="9"/>
      <c r="F30" s="9"/>
      <c r="G30" s="39"/>
    </row>
    <row r="31" spans="1:7">
      <c r="A31" s="81">
        <v>30429</v>
      </c>
      <c r="B31" s="10">
        <v>34429</v>
      </c>
      <c r="C31" s="10" t="s">
        <v>3684</v>
      </c>
      <c r="D31" s="9"/>
      <c r="E31" s="9"/>
      <c r="F31" s="9"/>
      <c r="G31" s="39"/>
    </row>
    <row r="32" spans="1:7">
      <c r="A32" s="81">
        <v>30430</v>
      </c>
      <c r="B32" s="10">
        <v>34430</v>
      </c>
      <c r="C32" s="10" t="s">
        <v>3684</v>
      </c>
      <c r="D32" s="9"/>
      <c r="E32" s="9"/>
      <c r="F32" s="9"/>
      <c r="G32" s="39"/>
    </row>
    <row r="33" spans="1:7">
      <c r="A33" s="81">
        <v>30431</v>
      </c>
      <c r="B33" s="10">
        <v>34431</v>
      </c>
      <c r="C33" s="10" t="s">
        <v>3684</v>
      </c>
      <c r="D33" s="9"/>
      <c r="E33" s="9"/>
      <c r="F33" s="9"/>
      <c r="G33" s="39"/>
    </row>
    <row r="34" spans="1:7">
      <c r="A34" s="81">
        <v>30432</v>
      </c>
      <c r="B34" s="10">
        <v>34432</v>
      </c>
      <c r="C34" s="10" t="s">
        <v>3684</v>
      </c>
      <c r="D34" s="9"/>
      <c r="E34" s="9"/>
      <c r="F34" s="9"/>
      <c r="G34" s="39"/>
    </row>
    <row r="35" spans="1:7">
      <c r="A35" s="81">
        <v>30433</v>
      </c>
      <c r="B35" s="10">
        <v>34433</v>
      </c>
      <c r="C35" s="10" t="s">
        <v>3684</v>
      </c>
      <c r="D35" s="9"/>
      <c r="E35" s="9"/>
      <c r="F35" s="9"/>
      <c r="G35" s="39"/>
    </row>
    <row r="36" spans="1:7">
      <c r="A36" s="81">
        <v>30434</v>
      </c>
      <c r="B36" s="10">
        <v>34434</v>
      </c>
      <c r="C36" s="10" t="s">
        <v>3684</v>
      </c>
      <c r="D36" s="9"/>
      <c r="E36" s="9"/>
      <c r="F36" s="9"/>
      <c r="G36" s="39"/>
    </row>
    <row r="37" spans="1:7">
      <c r="A37" s="81">
        <v>30435</v>
      </c>
      <c r="B37" s="10">
        <v>34435</v>
      </c>
      <c r="C37" s="10" t="s">
        <v>3684</v>
      </c>
      <c r="D37" s="9"/>
      <c r="E37" s="9"/>
      <c r="F37" s="9"/>
      <c r="G37" s="39"/>
    </row>
    <row r="38" spans="1:7">
      <c r="A38" s="81">
        <v>30436</v>
      </c>
      <c r="B38" s="10">
        <v>34436</v>
      </c>
      <c r="C38" s="10" t="s">
        <v>3684</v>
      </c>
      <c r="D38" s="9"/>
      <c r="E38" s="9"/>
      <c r="F38" s="9"/>
      <c r="G38" s="39"/>
    </row>
    <row r="39" spans="1:7">
      <c r="A39" s="81">
        <v>30437</v>
      </c>
      <c r="B39" s="10">
        <v>34437</v>
      </c>
      <c r="C39" s="10" t="s">
        <v>3684</v>
      </c>
      <c r="D39" s="9"/>
      <c r="E39" s="9"/>
      <c r="F39" s="9"/>
      <c r="G39" s="39"/>
    </row>
    <row r="40" spans="1:7">
      <c r="A40" s="81">
        <v>30438</v>
      </c>
      <c r="B40" s="10">
        <v>34438</v>
      </c>
      <c r="C40" s="10" t="s">
        <v>3684</v>
      </c>
      <c r="D40" s="9"/>
      <c r="E40" s="9"/>
      <c r="F40" s="9"/>
      <c r="G40" s="39"/>
    </row>
    <row r="41" spans="1:7">
      <c r="A41" s="81">
        <v>30439</v>
      </c>
      <c r="B41" s="10">
        <v>34439</v>
      </c>
      <c r="C41" s="10" t="s">
        <v>3684</v>
      </c>
      <c r="D41" s="9"/>
      <c r="E41" s="9"/>
      <c r="F41" s="9"/>
      <c r="G41" s="39"/>
    </row>
    <row r="42" spans="1:7">
      <c r="A42" s="81">
        <v>30440</v>
      </c>
      <c r="B42" s="10">
        <v>34440</v>
      </c>
      <c r="C42" s="10" t="s">
        <v>3684</v>
      </c>
      <c r="D42" s="9"/>
      <c r="E42" s="9"/>
      <c r="F42" s="9"/>
      <c r="G42" s="39"/>
    </row>
    <row r="43" spans="1:7">
      <c r="A43" s="81">
        <v>30441</v>
      </c>
      <c r="B43" s="10">
        <v>34441</v>
      </c>
      <c r="C43" s="10" t="s">
        <v>3684</v>
      </c>
      <c r="D43" s="9"/>
      <c r="E43" s="9"/>
      <c r="F43" s="9"/>
      <c r="G43" s="39"/>
    </row>
    <row r="44" spans="1:7">
      <c r="A44" s="81">
        <v>30442</v>
      </c>
      <c r="B44" s="10">
        <v>34442</v>
      </c>
      <c r="C44" s="10" t="s">
        <v>3684</v>
      </c>
      <c r="D44" s="9"/>
      <c r="E44" s="9"/>
      <c r="F44" s="9"/>
      <c r="G44" s="39"/>
    </row>
    <row r="45" spans="1:7">
      <c r="A45" s="81">
        <v>30443</v>
      </c>
      <c r="B45" s="10">
        <v>34443</v>
      </c>
      <c r="C45" s="10" t="s">
        <v>3684</v>
      </c>
      <c r="D45" s="9"/>
      <c r="E45" s="9"/>
      <c r="F45" s="9"/>
      <c r="G45" s="39"/>
    </row>
    <row r="46" spans="1:7">
      <c r="A46" s="81">
        <v>30444</v>
      </c>
      <c r="B46" s="10">
        <v>34444</v>
      </c>
      <c r="C46" s="10" t="s">
        <v>3684</v>
      </c>
      <c r="D46" s="9"/>
      <c r="E46" s="9"/>
      <c r="F46" s="9"/>
      <c r="G46" s="39"/>
    </row>
    <row r="47" spans="1:7">
      <c r="A47" s="81">
        <v>30445</v>
      </c>
      <c r="B47" s="10">
        <v>34445</v>
      </c>
      <c r="C47" s="10" t="s">
        <v>3684</v>
      </c>
      <c r="D47" s="9"/>
      <c r="E47" s="9"/>
      <c r="F47" s="9"/>
      <c r="G47" s="39"/>
    </row>
    <row r="48" spans="1:7">
      <c r="A48" s="81">
        <v>30446</v>
      </c>
      <c r="B48" s="10">
        <v>34446</v>
      </c>
      <c r="C48" s="10" t="s">
        <v>3684</v>
      </c>
      <c r="D48" s="9"/>
      <c r="E48" s="9"/>
      <c r="F48" s="9"/>
      <c r="G48" s="39"/>
    </row>
    <row r="49" spans="1:7">
      <c r="A49" s="81">
        <v>30447</v>
      </c>
      <c r="B49" s="10">
        <v>34447</v>
      </c>
      <c r="C49" s="10" t="s">
        <v>3684</v>
      </c>
      <c r="D49" s="9"/>
      <c r="E49" s="9"/>
      <c r="F49" s="9"/>
      <c r="G49" s="39"/>
    </row>
    <row r="50" spans="1:7">
      <c r="A50" s="81">
        <v>30448</v>
      </c>
      <c r="B50" s="10">
        <v>34448</v>
      </c>
      <c r="C50" s="10" t="s">
        <v>3684</v>
      </c>
      <c r="D50" s="9"/>
      <c r="E50" s="9"/>
      <c r="F50" s="9"/>
      <c r="G50" s="39"/>
    </row>
    <row r="51" spans="1:7">
      <c r="A51" s="81">
        <v>30449</v>
      </c>
      <c r="B51" s="10">
        <v>34449</v>
      </c>
      <c r="C51" s="10" t="s">
        <v>3684</v>
      </c>
      <c r="D51" s="9"/>
      <c r="E51" s="9"/>
      <c r="F51" s="9"/>
      <c r="G51" s="39"/>
    </row>
    <row r="52" spans="1:7">
      <c r="A52" s="81">
        <v>30450</v>
      </c>
      <c r="B52" s="10">
        <v>34450</v>
      </c>
      <c r="C52" s="10" t="s">
        <v>3684</v>
      </c>
      <c r="D52" s="9"/>
      <c r="E52" s="9"/>
      <c r="F52" s="9"/>
      <c r="G52" s="39"/>
    </row>
    <row r="53" spans="1:7">
      <c r="A53" s="81">
        <v>30451</v>
      </c>
      <c r="B53" s="10">
        <v>34451</v>
      </c>
      <c r="C53" s="10" t="s">
        <v>3684</v>
      </c>
      <c r="D53" s="9"/>
      <c r="E53" s="9"/>
      <c r="F53" s="9"/>
      <c r="G53" s="39"/>
    </row>
    <row r="54" spans="1:7">
      <c r="A54" s="81">
        <v>30452</v>
      </c>
      <c r="B54" s="10">
        <v>34452</v>
      </c>
      <c r="C54" s="10" t="s">
        <v>3684</v>
      </c>
      <c r="D54" s="9"/>
      <c r="E54" s="9"/>
      <c r="F54" s="9"/>
      <c r="G54" s="39"/>
    </row>
    <row r="55" spans="1:7">
      <c r="A55" s="81">
        <v>30453</v>
      </c>
      <c r="B55" s="10">
        <v>34453</v>
      </c>
      <c r="C55" s="10" t="s">
        <v>3684</v>
      </c>
      <c r="D55" s="9"/>
      <c r="E55" s="9"/>
      <c r="F55" s="9"/>
      <c r="G55" s="39"/>
    </row>
    <row r="56" spans="1:7">
      <c r="A56" s="81">
        <v>30454</v>
      </c>
      <c r="B56" s="10">
        <v>34454</v>
      </c>
      <c r="C56" s="10" t="s">
        <v>3684</v>
      </c>
      <c r="D56" s="9"/>
      <c r="E56" s="9"/>
      <c r="F56" s="9"/>
      <c r="G56" s="39"/>
    </row>
    <row r="57" spans="1:7">
      <c r="A57" s="81">
        <v>30455</v>
      </c>
      <c r="B57" s="10">
        <v>34455</v>
      </c>
      <c r="C57" s="10" t="s">
        <v>3684</v>
      </c>
      <c r="D57" s="9"/>
      <c r="E57" s="9"/>
      <c r="F57" s="9"/>
      <c r="G57" s="39"/>
    </row>
    <row r="58" spans="1:7">
      <c r="A58" s="81">
        <v>30456</v>
      </c>
      <c r="B58" s="10">
        <v>34456</v>
      </c>
      <c r="C58" s="10" t="s">
        <v>3684</v>
      </c>
      <c r="D58" s="9"/>
      <c r="E58" s="9"/>
      <c r="F58" s="9"/>
      <c r="G58" s="39"/>
    </row>
    <row r="59" spans="1:7">
      <c r="A59" s="81">
        <v>30457</v>
      </c>
      <c r="B59" s="10">
        <v>34457</v>
      </c>
      <c r="C59" s="10" t="s">
        <v>3684</v>
      </c>
      <c r="D59" s="9"/>
      <c r="E59" s="9"/>
      <c r="F59" s="9"/>
      <c r="G59" s="39"/>
    </row>
    <row r="60" spans="1:7">
      <c r="A60" s="81">
        <v>30458</v>
      </c>
      <c r="B60" s="10">
        <v>34458</v>
      </c>
      <c r="C60" s="10" t="s">
        <v>3684</v>
      </c>
      <c r="D60" s="9"/>
      <c r="E60" s="9"/>
      <c r="F60" s="9"/>
      <c r="G60" s="39"/>
    </row>
    <row r="61" spans="1:7">
      <c r="A61" s="81">
        <v>30459</v>
      </c>
      <c r="B61" s="10">
        <v>34459</v>
      </c>
      <c r="C61" s="10" t="s">
        <v>3684</v>
      </c>
      <c r="D61" s="9"/>
      <c r="E61" s="9"/>
      <c r="F61" s="9"/>
      <c r="G61" s="39"/>
    </row>
    <row r="62" spans="1:7">
      <c r="A62" s="81">
        <v>30460</v>
      </c>
      <c r="B62" s="10">
        <v>34460</v>
      </c>
      <c r="C62" s="10" t="s">
        <v>3684</v>
      </c>
      <c r="D62" s="9"/>
      <c r="E62" s="9"/>
      <c r="F62" s="9"/>
      <c r="G62" s="39"/>
    </row>
    <row r="63" spans="1:7">
      <c r="A63" s="81">
        <v>30461</v>
      </c>
      <c r="B63" s="10">
        <v>34461</v>
      </c>
      <c r="C63" s="10" t="s">
        <v>3684</v>
      </c>
      <c r="D63" s="9"/>
      <c r="E63" s="9"/>
      <c r="F63" s="9"/>
      <c r="G63" s="39"/>
    </row>
    <row r="64" spans="1:7">
      <c r="A64" s="81">
        <v>30462</v>
      </c>
      <c r="B64" s="10">
        <v>34462</v>
      </c>
      <c r="C64" s="10" t="s">
        <v>3684</v>
      </c>
      <c r="D64" s="9"/>
      <c r="E64" s="9"/>
      <c r="F64" s="9"/>
      <c r="G64" s="39"/>
    </row>
    <row r="65" spans="1:7">
      <c r="A65" s="81">
        <v>30463</v>
      </c>
      <c r="B65" s="10">
        <v>34463</v>
      </c>
      <c r="C65" s="10" t="s">
        <v>3684</v>
      </c>
      <c r="D65" s="9"/>
      <c r="E65" s="9"/>
      <c r="F65" s="9"/>
      <c r="G65" s="39"/>
    </row>
    <row r="66" spans="1:7">
      <c r="A66" s="81">
        <v>30464</v>
      </c>
      <c r="B66" s="10">
        <v>34464</v>
      </c>
      <c r="C66" s="10" t="s">
        <v>3684</v>
      </c>
      <c r="D66" s="9"/>
      <c r="E66" s="9"/>
      <c r="F66" s="9"/>
      <c r="G66" s="39"/>
    </row>
    <row r="67" spans="1:7">
      <c r="A67" s="81">
        <v>30465</v>
      </c>
      <c r="B67" s="10">
        <v>34465</v>
      </c>
      <c r="C67" s="10" t="s">
        <v>3684</v>
      </c>
      <c r="D67" s="9"/>
      <c r="E67" s="9"/>
      <c r="F67" s="9"/>
      <c r="G67" s="39"/>
    </row>
    <row r="68" spans="1:7">
      <c r="A68" s="81">
        <v>30466</v>
      </c>
      <c r="B68" s="10">
        <v>34466</v>
      </c>
      <c r="C68" s="10" t="s">
        <v>3684</v>
      </c>
      <c r="D68" s="9"/>
      <c r="E68" s="9"/>
      <c r="F68" s="9"/>
      <c r="G68" s="39"/>
    </row>
    <row r="69" spans="1:7">
      <c r="A69" s="81">
        <v>30467</v>
      </c>
      <c r="B69" s="10">
        <v>34467</v>
      </c>
      <c r="C69" s="10" t="s">
        <v>3684</v>
      </c>
      <c r="D69" s="9"/>
      <c r="E69" s="9"/>
      <c r="F69" s="9"/>
      <c r="G69" s="39"/>
    </row>
    <row r="70" spans="1:7">
      <c r="A70" s="81">
        <v>30468</v>
      </c>
      <c r="B70" s="10">
        <v>34468</v>
      </c>
      <c r="C70" s="10" t="s">
        <v>3684</v>
      </c>
      <c r="D70" s="9"/>
      <c r="E70" s="9"/>
      <c r="F70" s="9"/>
      <c r="G70" s="39"/>
    </row>
    <row r="71" spans="1:7">
      <c r="A71" s="81">
        <v>30469</v>
      </c>
      <c r="B71" s="10">
        <v>34469</v>
      </c>
      <c r="C71" s="10" t="s">
        <v>3684</v>
      </c>
      <c r="D71" s="9"/>
      <c r="E71" s="9"/>
      <c r="F71" s="9"/>
      <c r="G71" s="39"/>
    </row>
    <row r="72" spans="1:7">
      <c r="A72" s="81">
        <v>30470</v>
      </c>
      <c r="B72" s="10">
        <v>34470</v>
      </c>
      <c r="C72" s="10" t="s">
        <v>3684</v>
      </c>
      <c r="D72" s="9"/>
      <c r="E72" s="9"/>
      <c r="F72" s="9"/>
      <c r="G72" s="39"/>
    </row>
    <row r="73" spans="1:7">
      <c r="A73" s="81">
        <v>30471</v>
      </c>
      <c r="B73" s="10">
        <v>34471</v>
      </c>
      <c r="C73" s="10" t="s">
        <v>3684</v>
      </c>
      <c r="D73" s="9"/>
      <c r="E73" s="9"/>
      <c r="F73" s="9"/>
      <c r="G73" s="39"/>
    </row>
    <row r="74" spans="1:7">
      <c r="A74" s="81">
        <v>30472</v>
      </c>
      <c r="B74" s="10">
        <v>34472</v>
      </c>
      <c r="C74" s="10" t="s">
        <v>3684</v>
      </c>
      <c r="D74" s="9"/>
      <c r="E74" s="9"/>
      <c r="F74" s="9"/>
      <c r="G74" s="39"/>
    </row>
    <row r="75" spans="1:7">
      <c r="A75" s="81">
        <v>30473</v>
      </c>
      <c r="B75" s="10">
        <v>34473</v>
      </c>
      <c r="C75" s="10" t="s">
        <v>3684</v>
      </c>
      <c r="D75" s="9"/>
      <c r="E75" s="9"/>
      <c r="F75" s="9"/>
      <c r="G75" s="39"/>
    </row>
    <row r="76" spans="1:7">
      <c r="A76" s="81">
        <v>30474</v>
      </c>
      <c r="B76" s="10">
        <v>34474</v>
      </c>
      <c r="C76" s="10" t="s">
        <v>3684</v>
      </c>
      <c r="D76" s="9"/>
      <c r="E76" s="9"/>
      <c r="F76" s="9"/>
      <c r="G76" s="39"/>
    </row>
    <row r="77" spans="1:7">
      <c r="A77" s="81">
        <v>30475</v>
      </c>
      <c r="B77" s="10">
        <v>34475</v>
      </c>
      <c r="C77" s="10" t="s">
        <v>3684</v>
      </c>
      <c r="D77" s="9"/>
      <c r="E77" s="9"/>
      <c r="F77" s="9"/>
      <c r="G77" s="39"/>
    </row>
    <row r="78" spans="1:7">
      <c r="A78" s="81">
        <v>30476</v>
      </c>
      <c r="B78" s="10">
        <v>34476</v>
      </c>
      <c r="C78" s="10" t="s">
        <v>3684</v>
      </c>
      <c r="D78" s="9"/>
      <c r="E78" s="9"/>
      <c r="F78" s="9"/>
      <c r="G78" s="39"/>
    </row>
    <row r="79" spans="1:7">
      <c r="A79" s="81">
        <v>30477</v>
      </c>
      <c r="B79" s="10">
        <v>34477</v>
      </c>
      <c r="C79" s="10" t="s">
        <v>3684</v>
      </c>
      <c r="D79" s="9"/>
      <c r="E79" s="9"/>
      <c r="F79" s="9"/>
      <c r="G79" s="39"/>
    </row>
    <row r="80" spans="1:7">
      <c r="A80" s="81">
        <v>30478</v>
      </c>
      <c r="B80" s="10">
        <v>34478</v>
      </c>
      <c r="C80" s="10" t="s">
        <v>3684</v>
      </c>
      <c r="D80" s="9"/>
      <c r="E80" s="9"/>
      <c r="F80" s="9"/>
      <c r="G80" s="39"/>
    </row>
    <row r="81" spans="1:7">
      <c r="A81" s="81">
        <v>30479</v>
      </c>
      <c r="B81" s="10">
        <v>34479</v>
      </c>
      <c r="C81" s="10" t="s">
        <v>3684</v>
      </c>
      <c r="D81" s="9"/>
      <c r="E81" s="9"/>
      <c r="F81" s="9"/>
      <c r="G81" s="39"/>
    </row>
    <row r="82" spans="1:7">
      <c r="A82" s="81">
        <v>30480</v>
      </c>
      <c r="B82" s="10">
        <v>34480</v>
      </c>
      <c r="C82" s="10" t="s">
        <v>3684</v>
      </c>
      <c r="D82" s="9"/>
      <c r="E82" s="9"/>
      <c r="F82" s="9"/>
      <c r="G82" s="39"/>
    </row>
    <row r="83" spans="1:7">
      <c r="A83" s="81">
        <v>30481</v>
      </c>
      <c r="B83" s="10">
        <v>34481</v>
      </c>
      <c r="C83" s="10" t="s">
        <v>3684</v>
      </c>
      <c r="D83" s="9"/>
      <c r="E83" s="9"/>
      <c r="F83" s="9"/>
      <c r="G83" s="39"/>
    </row>
    <row r="84" spans="1:7">
      <c r="A84" s="81">
        <v>30482</v>
      </c>
      <c r="B84" s="10">
        <v>34482</v>
      </c>
      <c r="C84" s="10" t="s">
        <v>3684</v>
      </c>
      <c r="D84" s="9"/>
      <c r="E84" s="9"/>
      <c r="F84" s="9"/>
      <c r="G84" s="39"/>
    </row>
    <row r="85" spans="1:7">
      <c r="A85" s="81">
        <v>30483</v>
      </c>
      <c r="B85" s="10">
        <v>34483</v>
      </c>
      <c r="C85" s="10" t="s">
        <v>3684</v>
      </c>
      <c r="D85" s="9"/>
      <c r="E85" s="9"/>
      <c r="F85" s="9"/>
      <c r="G85" s="39"/>
    </row>
    <row r="86" spans="1:7">
      <c r="A86" s="81">
        <v>30484</v>
      </c>
      <c r="B86" s="10">
        <v>34484</v>
      </c>
      <c r="C86" s="10" t="s">
        <v>3684</v>
      </c>
      <c r="D86" s="9"/>
      <c r="E86" s="9"/>
      <c r="F86" s="9"/>
      <c r="G86" s="39"/>
    </row>
    <row r="87" spans="1:7">
      <c r="A87" s="81">
        <v>30485</v>
      </c>
      <c r="B87" s="10">
        <v>34485</v>
      </c>
      <c r="C87" s="10" t="s">
        <v>3684</v>
      </c>
      <c r="D87" s="9"/>
      <c r="E87" s="9"/>
      <c r="F87" s="9"/>
      <c r="G87" s="39"/>
    </row>
    <row r="88" spans="1:7">
      <c r="A88" s="81">
        <v>30486</v>
      </c>
      <c r="B88" s="10">
        <v>34486</v>
      </c>
      <c r="C88" s="10" t="s">
        <v>3684</v>
      </c>
      <c r="D88" s="9"/>
      <c r="E88" s="9"/>
      <c r="F88" s="9"/>
      <c r="G88" s="39"/>
    </row>
    <row r="89" spans="1:7">
      <c r="A89" s="81">
        <v>30487</v>
      </c>
      <c r="B89" s="10">
        <v>34487</v>
      </c>
      <c r="C89" s="10" t="s">
        <v>3684</v>
      </c>
      <c r="D89" s="9"/>
      <c r="E89" s="9"/>
      <c r="F89" s="9"/>
      <c r="G89" s="39"/>
    </row>
    <row r="90" spans="1:7">
      <c r="A90" s="81">
        <v>30488</v>
      </c>
      <c r="B90" s="10">
        <v>34488</v>
      </c>
      <c r="C90" s="10" t="s">
        <v>3684</v>
      </c>
      <c r="D90" s="9"/>
      <c r="E90" s="9"/>
      <c r="F90" s="9"/>
      <c r="G90" s="39"/>
    </row>
    <row r="91" spans="1:7">
      <c r="A91" s="81">
        <v>30489</v>
      </c>
      <c r="B91" s="10">
        <v>34489</v>
      </c>
      <c r="C91" s="10" t="s">
        <v>3684</v>
      </c>
      <c r="D91" s="9"/>
      <c r="E91" s="9"/>
      <c r="F91" s="9"/>
      <c r="G91" s="39"/>
    </row>
    <row r="92" spans="1:7">
      <c r="A92" s="81">
        <v>30490</v>
      </c>
      <c r="B92" s="10">
        <v>34490</v>
      </c>
      <c r="C92" s="10" t="s">
        <v>3684</v>
      </c>
      <c r="D92" s="9"/>
      <c r="E92" s="9"/>
      <c r="F92" s="9"/>
      <c r="G92" s="39"/>
    </row>
    <row r="93" spans="1:7">
      <c r="A93" s="81">
        <v>30491</v>
      </c>
      <c r="B93" s="10">
        <v>34491</v>
      </c>
      <c r="C93" s="10" t="s">
        <v>3684</v>
      </c>
      <c r="D93" s="9"/>
      <c r="E93" s="9"/>
      <c r="F93" s="9"/>
      <c r="G93" s="39"/>
    </row>
    <row r="94" spans="1:7">
      <c r="A94" s="81">
        <v>30492</v>
      </c>
      <c r="B94" s="10">
        <v>34492</v>
      </c>
      <c r="C94" s="10" t="s">
        <v>3684</v>
      </c>
      <c r="D94" s="9"/>
      <c r="E94" s="9"/>
      <c r="F94" s="9"/>
      <c r="G94" s="39"/>
    </row>
    <row r="95" spans="1:7">
      <c r="A95" s="81">
        <v>30493</v>
      </c>
      <c r="B95" s="10">
        <v>34493</v>
      </c>
      <c r="C95" s="10" t="s">
        <v>3684</v>
      </c>
      <c r="D95" s="9"/>
      <c r="E95" s="9"/>
      <c r="F95" s="9"/>
      <c r="G95" s="39"/>
    </row>
    <row r="96" spans="1:7">
      <c r="A96" s="81">
        <v>30494</v>
      </c>
      <c r="B96" s="10">
        <v>34494</v>
      </c>
      <c r="C96" s="10" t="s">
        <v>3684</v>
      </c>
      <c r="D96" s="9"/>
      <c r="E96" s="9"/>
      <c r="F96" s="9"/>
      <c r="G96" s="39"/>
    </row>
    <row r="97" spans="1:7">
      <c r="A97" s="81">
        <v>30495</v>
      </c>
      <c r="B97" s="10">
        <v>34495</v>
      </c>
      <c r="C97" s="10" t="s">
        <v>3684</v>
      </c>
      <c r="D97" s="9"/>
      <c r="E97" s="9"/>
      <c r="F97" s="9"/>
      <c r="G97" s="39"/>
    </row>
    <row r="98" spans="1:7">
      <c r="A98" s="81">
        <v>30496</v>
      </c>
      <c r="B98" s="10">
        <v>34496</v>
      </c>
      <c r="C98" s="10" t="s">
        <v>3684</v>
      </c>
      <c r="D98" s="9"/>
      <c r="E98" s="9"/>
      <c r="F98" s="9"/>
      <c r="G98" s="39"/>
    </row>
    <row r="99" spans="1:7">
      <c r="A99" s="81">
        <v>30497</v>
      </c>
      <c r="B99" s="10">
        <v>34497</v>
      </c>
      <c r="C99" s="10" t="s">
        <v>3684</v>
      </c>
      <c r="D99" s="9"/>
      <c r="E99" s="9"/>
      <c r="F99" s="9"/>
      <c r="G99" s="39"/>
    </row>
    <row r="100" spans="1:7">
      <c r="A100" s="81">
        <v>30498</v>
      </c>
      <c r="B100" s="10">
        <v>34498</v>
      </c>
      <c r="C100" s="10" t="s">
        <v>3684</v>
      </c>
      <c r="D100" s="9"/>
      <c r="E100" s="9"/>
      <c r="F100" s="9"/>
      <c r="G100" s="39"/>
    </row>
    <row r="101" spans="1:7">
      <c r="A101" s="81">
        <v>30499</v>
      </c>
      <c r="B101" s="10">
        <v>34499</v>
      </c>
      <c r="C101" s="10" t="s">
        <v>3684</v>
      </c>
      <c r="D101" s="9"/>
      <c r="E101" s="9"/>
      <c r="F101" s="9"/>
      <c r="G101" s="39"/>
    </row>
    <row r="102" spans="1:7">
      <c r="A102" s="86">
        <v>30500</v>
      </c>
      <c r="B102" s="87">
        <v>34500</v>
      </c>
      <c r="C102" s="10" t="s">
        <v>3684</v>
      </c>
      <c r="D102" s="47"/>
      <c r="E102" s="47"/>
      <c r="F102" s="47"/>
      <c r="G102" s="48"/>
    </row>
  </sheetData>
  <sheetProtection algorithmName="SHA-512" hashValue="R82qBPF9Bc+5eKNgLqHasAVTaZV6+INAxuD+LZ5T+1Tiu+8Cr/c4yszIOykTtsZy/r5cFnJ4s92+535n3hPNrg==" saltValue="rerRbdkzX7l788hUc3YZ0A==" spinCount="100000" sheet="1" objects="1" scenarios="1"/>
  <conditionalFormatting sqref="A2:A102">
    <cfRule type="duplicateValues" dxfId="25" priority="1"/>
  </conditionalFormatting>
  <conditionalFormatting sqref="B2:B102">
    <cfRule type="duplicateValues" dxfId="24" priority="2"/>
  </conditionalFormatting>
  <pageMargins left="0.7" right="0.7" top="0.75" bottom="0.75" header="0.3" footer="0.3"/>
  <pageSetup orientation="portrait" horizontalDpi="4294967293" verticalDpi="4294967293"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1"/>
  <dimension ref="A1:I132"/>
  <sheetViews>
    <sheetView workbookViewId="0"/>
  </sheetViews>
  <sheetFormatPr defaultColWidth="8.7109375" defaultRowHeight="15"/>
  <cols>
    <col min="1" max="1" width="13.7109375" bestFit="1" customWidth="1"/>
    <col min="2" max="2" width="15.7109375" bestFit="1" customWidth="1"/>
    <col min="3" max="3" width="12.42578125" bestFit="1" customWidth="1"/>
    <col min="4" max="5" width="21.28515625" bestFit="1" customWidth="1"/>
    <col min="6" max="6" width="11.42578125" bestFit="1" customWidth="1"/>
  </cols>
  <sheetData>
    <row r="1" spans="1:9">
      <c r="A1" s="82" t="s">
        <v>3605</v>
      </c>
      <c r="B1" s="84" t="s">
        <v>3606</v>
      </c>
      <c r="C1" s="84" t="s">
        <v>3607</v>
      </c>
      <c r="D1" s="83" t="s">
        <v>3641</v>
      </c>
      <c r="E1" s="83" t="s">
        <v>3609</v>
      </c>
      <c r="F1" s="84" t="s">
        <v>3610</v>
      </c>
      <c r="G1" s="85" t="s">
        <v>3611</v>
      </c>
      <c r="I1" s="63" t="s">
        <v>3685</v>
      </c>
    </row>
    <row r="2" spans="1:9">
      <c r="A2" s="81">
        <v>13650</v>
      </c>
      <c r="B2" s="10">
        <v>17650</v>
      </c>
      <c r="C2" s="10" t="s">
        <v>3686</v>
      </c>
      <c r="D2" s="9">
        <v>9924313</v>
      </c>
      <c r="E2" s="9"/>
      <c r="F2" s="9"/>
      <c r="G2" s="39"/>
    </row>
    <row r="3" spans="1:9">
      <c r="A3" s="81">
        <v>13651</v>
      </c>
      <c r="B3" s="10">
        <v>17651</v>
      </c>
      <c r="C3" s="10" t="s">
        <v>3686</v>
      </c>
      <c r="D3" s="9">
        <v>9924315</v>
      </c>
      <c r="E3" s="9"/>
      <c r="F3" s="9"/>
      <c r="G3" s="39"/>
    </row>
    <row r="4" spans="1:9">
      <c r="A4" s="81">
        <v>13652</v>
      </c>
      <c r="B4" s="10">
        <v>17652</v>
      </c>
      <c r="C4" s="10" t="s">
        <v>3686</v>
      </c>
      <c r="D4" s="9">
        <v>9924317</v>
      </c>
      <c r="E4" s="9"/>
      <c r="F4" s="9"/>
      <c r="G4" s="39"/>
    </row>
    <row r="5" spans="1:9">
      <c r="A5" s="81">
        <v>13653</v>
      </c>
      <c r="B5" s="10">
        <v>17653</v>
      </c>
      <c r="C5" s="10" t="s">
        <v>3686</v>
      </c>
      <c r="D5" s="9">
        <v>9924319</v>
      </c>
      <c r="E5" s="9"/>
      <c r="F5" s="9"/>
      <c r="G5" s="39"/>
    </row>
    <row r="6" spans="1:9">
      <c r="A6" s="81">
        <v>13654</v>
      </c>
      <c r="B6" s="10">
        <v>17654</v>
      </c>
      <c r="C6" s="10" t="s">
        <v>3686</v>
      </c>
      <c r="D6" s="9"/>
      <c r="E6" s="9"/>
      <c r="F6" s="9"/>
      <c r="G6" s="39"/>
    </row>
    <row r="7" spans="1:9">
      <c r="A7" s="81">
        <v>13655</v>
      </c>
      <c r="B7" s="10">
        <v>17655</v>
      </c>
      <c r="C7" s="10" t="s">
        <v>3686</v>
      </c>
      <c r="D7" s="9"/>
      <c r="E7" s="9"/>
      <c r="F7" s="9"/>
      <c r="G7" s="39"/>
    </row>
    <row r="8" spans="1:9">
      <c r="A8" s="81">
        <v>13656</v>
      </c>
      <c r="B8" s="10">
        <v>17656</v>
      </c>
      <c r="C8" s="10" t="s">
        <v>3686</v>
      </c>
      <c r="D8" s="9"/>
      <c r="E8" s="9"/>
      <c r="F8" s="9"/>
      <c r="G8" s="39"/>
    </row>
    <row r="9" spans="1:9">
      <c r="A9" s="81">
        <v>13657</v>
      </c>
      <c r="B9" s="10">
        <v>17657</v>
      </c>
      <c r="C9" s="10" t="s">
        <v>3686</v>
      </c>
      <c r="D9" s="9"/>
      <c r="E9" s="9"/>
      <c r="F9" s="9"/>
      <c r="G9" s="39"/>
    </row>
    <row r="10" spans="1:9">
      <c r="A10" s="81">
        <v>13658</v>
      </c>
      <c r="B10" s="10">
        <v>17658</v>
      </c>
      <c r="C10" s="10" t="s">
        <v>3686</v>
      </c>
      <c r="D10" s="9"/>
      <c r="E10" s="9"/>
      <c r="F10" s="9"/>
      <c r="G10" s="39"/>
    </row>
    <row r="11" spans="1:9">
      <c r="A11" s="81">
        <v>13659</v>
      </c>
      <c r="B11" s="10">
        <v>17659</v>
      </c>
      <c r="C11" s="10" t="s">
        <v>3686</v>
      </c>
      <c r="D11" s="9"/>
      <c r="E11" s="9"/>
      <c r="F11" s="9"/>
      <c r="G11" s="39"/>
    </row>
    <row r="12" spans="1:9">
      <c r="A12" s="81">
        <v>13660</v>
      </c>
      <c r="B12" s="10">
        <v>17660</v>
      </c>
      <c r="C12" s="10" t="s">
        <v>3686</v>
      </c>
      <c r="D12" s="9"/>
      <c r="E12" s="9"/>
      <c r="F12" s="9"/>
      <c r="G12" s="39"/>
    </row>
    <row r="13" spans="1:9">
      <c r="A13" s="81">
        <v>13661</v>
      </c>
      <c r="B13" s="10">
        <v>17661</v>
      </c>
      <c r="C13" s="10" t="s">
        <v>3686</v>
      </c>
      <c r="D13" s="9"/>
      <c r="E13" s="9"/>
      <c r="F13" s="9"/>
      <c r="G13" s="39"/>
    </row>
    <row r="14" spans="1:9">
      <c r="A14" s="81">
        <v>13662</v>
      </c>
      <c r="B14" s="10">
        <v>17662</v>
      </c>
      <c r="C14" s="10" t="s">
        <v>3686</v>
      </c>
      <c r="D14" s="9"/>
      <c r="E14" s="9"/>
      <c r="F14" s="9"/>
      <c r="G14" s="39"/>
    </row>
    <row r="15" spans="1:9">
      <c r="A15" s="81">
        <v>13663</v>
      </c>
      <c r="B15" s="10">
        <v>17663</v>
      </c>
      <c r="C15" s="10" t="s">
        <v>3686</v>
      </c>
      <c r="D15" s="9"/>
      <c r="E15" s="9"/>
      <c r="F15" s="9"/>
      <c r="G15" s="39"/>
    </row>
    <row r="16" spans="1:9">
      <c r="A16" s="81">
        <v>13664</v>
      </c>
      <c r="B16" s="10">
        <v>17664</v>
      </c>
      <c r="C16" s="10" t="s">
        <v>3686</v>
      </c>
      <c r="D16" s="9"/>
      <c r="E16" s="9"/>
      <c r="F16" s="9"/>
      <c r="G16" s="39"/>
    </row>
    <row r="17" spans="1:7">
      <c r="A17" s="81">
        <v>13665</v>
      </c>
      <c r="B17" s="10">
        <v>17665</v>
      </c>
      <c r="C17" s="10" t="s">
        <v>3686</v>
      </c>
      <c r="D17" s="9"/>
      <c r="E17" s="9"/>
      <c r="F17" s="9"/>
      <c r="G17" s="39"/>
    </row>
    <row r="18" spans="1:7">
      <c r="A18" s="81">
        <v>13666</v>
      </c>
      <c r="B18" s="10">
        <v>17666</v>
      </c>
      <c r="C18" s="10" t="s">
        <v>3686</v>
      </c>
      <c r="D18" s="9"/>
      <c r="E18" s="9"/>
      <c r="F18" s="9"/>
      <c r="G18" s="39"/>
    </row>
    <row r="19" spans="1:7">
      <c r="A19" s="81">
        <v>13667</v>
      </c>
      <c r="B19" s="10">
        <v>17667</v>
      </c>
      <c r="C19" s="10" t="s">
        <v>3686</v>
      </c>
      <c r="D19" s="9"/>
      <c r="E19" s="9"/>
      <c r="F19" s="9"/>
      <c r="G19" s="39"/>
    </row>
    <row r="20" spans="1:7">
      <c r="A20" s="81">
        <v>13668</v>
      </c>
      <c r="B20" s="10">
        <v>17668</v>
      </c>
      <c r="C20" s="10" t="s">
        <v>3686</v>
      </c>
      <c r="D20" s="9"/>
      <c r="E20" s="9"/>
      <c r="F20" s="9"/>
      <c r="G20" s="39"/>
    </row>
    <row r="21" spans="1:7">
      <c r="A21" s="81">
        <v>13669</v>
      </c>
      <c r="B21" s="10">
        <v>17669</v>
      </c>
      <c r="C21" s="10" t="s">
        <v>3686</v>
      </c>
      <c r="D21" s="9"/>
      <c r="E21" s="9"/>
      <c r="F21" s="9"/>
      <c r="G21" s="39"/>
    </row>
    <row r="22" spans="1:7">
      <c r="A22" s="81">
        <v>13670</v>
      </c>
      <c r="B22" s="10">
        <v>17670</v>
      </c>
      <c r="C22" s="10" t="s">
        <v>3686</v>
      </c>
      <c r="D22" s="9"/>
      <c r="E22" s="9"/>
      <c r="F22" s="9"/>
      <c r="G22" s="39"/>
    </row>
    <row r="23" spans="1:7">
      <c r="A23" s="81">
        <v>13671</v>
      </c>
      <c r="B23" s="10">
        <v>17671</v>
      </c>
      <c r="C23" s="10" t="s">
        <v>3686</v>
      </c>
      <c r="D23" s="9"/>
      <c r="E23" s="9"/>
      <c r="F23" s="9"/>
      <c r="G23" s="39"/>
    </row>
    <row r="24" spans="1:7">
      <c r="A24" s="81">
        <v>13672</v>
      </c>
      <c r="B24" s="10">
        <v>17672</v>
      </c>
      <c r="C24" s="10" t="s">
        <v>3686</v>
      </c>
      <c r="D24" s="9"/>
      <c r="E24" s="9"/>
      <c r="F24" s="9"/>
      <c r="G24" s="39"/>
    </row>
    <row r="25" spans="1:7">
      <c r="A25" s="81">
        <v>13673</v>
      </c>
      <c r="B25" s="10">
        <v>17673</v>
      </c>
      <c r="C25" s="10" t="s">
        <v>3686</v>
      </c>
      <c r="D25" s="9"/>
      <c r="E25" s="9"/>
      <c r="F25" s="9"/>
      <c r="G25" s="39"/>
    </row>
    <row r="26" spans="1:7">
      <c r="A26" s="81">
        <v>13674</v>
      </c>
      <c r="B26" s="10">
        <v>17674</v>
      </c>
      <c r="C26" s="10" t="s">
        <v>3686</v>
      </c>
      <c r="D26" s="9"/>
      <c r="E26" s="9"/>
      <c r="F26" s="9"/>
      <c r="G26" s="39"/>
    </row>
    <row r="27" spans="1:7">
      <c r="A27" s="81">
        <v>13675</v>
      </c>
      <c r="B27" s="10">
        <v>17675</v>
      </c>
      <c r="C27" s="10" t="s">
        <v>3686</v>
      </c>
      <c r="D27" s="9"/>
      <c r="E27" s="9"/>
      <c r="F27" s="9"/>
      <c r="G27" s="39"/>
    </row>
    <row r="28" spans="1:7">
      <c r="A28" s="81">
        <v>13676</v>
      </c>
      <c r="B28" s="10">
        <v>17676</v>
      </c>
      <c r="C28" s="10" t="s">
        <v>3686</v>
      </c>
      <c r="D28" s="9"/>
      <c r="E28" s="9"/>
      <c r="F28" s="9"/>
      <c r="G28" s="39"/>
    </row>
    <row r="29" spans="1:7">
      <c r="A29" s="81">
        <v>13677</v>
      </c>
      <c r="B29" s="10">
        <v>17677</v>
      </c>
      <c r="C29" s="10" t="s">
        <v>3686</v>
      </c>
      <c r="D29" s="9"/>
      <c r="E29" s="9"/>
      <c r="F29" s="9"/>
      <c r="G29" s="39"/>
    </row>
    <row r="30" spans="1:7">
      <c r="A30" s="81">
        <v>13678</v>
      </c>
      <c r="B30" s="10">
        <v>17678</v>
      </c>
      <c r="C30" s="10" t="s">
        <v>3686</v>
      </c>
      <c r="D30" s="9"/>
      <c r="E30" s="9"/>
      <c r="F30" s="9"/>
      <c r="G30" s="39"/>
    </row>
    <row r="31" spans="1:7">
      <c r="A31" s="81">
        <v>13679</v>
      </c>
      <c r="B31" s="10">
        <v>17679</v>
      </c>
      <c r="C31" s="10" t="s">
        <v>3686</v>
      </c>
      <c r="D31" s="9"/>
      <c r="E31" s="9"/>
      <c r="F31" s="9"/>
      <c r="G31" s="39"/>
    </row>
    <row r="32" spans="1:7">
      <c r="A32" s="81">
        <v>13680</v>
      </c>
      <c r="B32" s="10">
        <v>17680</v>
      </c>
      <c r="C32" s="10" t="s">
        <v>3686</v>
      </c>
      <c r="D32" s="9"/>
      <c r="E32" s="9"/>
      <c r="F32" s="9"/>
      <c r="G32" s="39"/>
    </row>
    <row r="33" spans="1:7">
      <c r="A33" s="81">
        <v>13681</v>
      </c>
      <c r="B33" s="10">
        <v>17681</v>
      </c>
      <c r="C33" s="10" t="s">
        <v>3686</v>
      </c>
      <c r="D33" s="9"/>
      <c r="E33" s="9"/>
      <c r="F33" s="9"/>
      <c r="G33" s="39"/>
    </row>
    <row r="34" spans="1:7">
      <c r="A34" s="81">
        <v>13682</v>
      </c>
      <c r="B34" s="10">
        <v>17682</v>
      </c>
      <c r="C34" s="10" t="s">
        <v>3686</v>
      </c>
      <c r="D34" s="9"/>
      <c r="E34" s="9"/>
      <c r="F34" s="9"/>
      <c r="G34" s="39"/>
    </row>
    <row r="35" spans="1:7">
      <c r="A35" s="81">
        <v>13683</v>
      </c>
      <c r="B35" s="10">
        <v>17683</v>
      </c>
      <c r="C35" s="10" t="s">
        <v>3686</v>
      </c>
      <c r="D35" s="9"/>
      <c r="E35" s="9"/>
      <c r="F35" s="9"/>
      <c r="G35" s="39"/>
    </row>
    <row r="36" spans="1:7">
      <c r="A36" s="81">
        <v>13684</v>
      </c>
      <c r="B36" s="10">
        <v>17684</v>
      </c>
      <c r="C36" s="10" t="s">
        <v>3686</v>
      </c>
      <c r="D36" s="9"/>
      <c r="E36" s="9"/>
      <c r="F36" s="9"/>
      <c r="G36" s="39"/>
    </row>
    <row r="37" spans="1:7">
      <c r="A37" s="81">
        <v>13685</v>
      </c>
      <c r="B37" s="10">
        <v>17685</v>
      </c>
      <c r="C37" s="10" t="s">
        <v>3686</v>
      </c>
      <c r="D37" s="9"/>
      <c r="E37" s="9"/>
      <c r="F37" s="9"/>
      <c r="G37" s="39"/>
    </row>
    <row r="38" spans="1:7">
      <c r="A38" s="81">
        <v>13686</v>
      </c>
      <c r="B38" s="10">
        <v>17686</v>
      </c>
      <c r="C38" s="10" t="s">
        <v>3686</v>
      </c>
      <c r="D38" s="9"/>
      <c r="E38" s="9"/>
      <c r="F38" s="9"/>
      <c r="G38" s="39"/>
    </row>
    <row r="39" spans="1:7">
      <c r="A39" s="81">
        <v>13687</v>
      </c>
      <c r="B39" s="10">
        <v>17687</v>
      </c>
      <c r="C39" s="10" t="s">
        <v>3686</v>
      </c>
      <c r="D39" s="9"/>
      <c r="E39" s="9"/>
      <c r="F39" s="9"/>
      <c r="G39" s="39"/>
    </row>
    <row r="40" spans="1:7">
      <c r="A40" s="81">
        <v>13688</v>
      </c>
      <c r="B40" s="10">
        <v>17688</v>
      </c>
      <c r="C40" s="10" t="s">
        <v>3686</v>
      </c>
      <c r="D40" s="9"/>
      <c r="E40" s="9"/>
      <c r="F40" s="9"/>
      <c r="G40" s="39"/>
    </row>
    <row r="41" spans="1:7">
      <c r="A41" s="81">
        <v>13689</v>
      </c>
      <c r="B41" s="10">
        <v>17689</v>
      </c>
      <c r="C41" s="10" t="s">
        <v>3686</v>
      </c>
      <c r="D41" s="9"/>
      <c r="E41" s="9"/>
      <c r="F41" s="9"/>
      <c r="G41" s="39"/>
    </row>
    <row r="42" spans="1:7">
      <c r="A42" s="81">
        <v>13690</v>
      </c>
      <c r="B42" s="10">
        <v>17690</v>
      </c>
      <c r="C42" s="10" t="s">
        <v>3686</v>
      </c>
      <c r="D42" s="9"/>
      <c r="E42" s="9"/>
      <c r="F42" s="9"/>
      <c r="G42" s="39"/>
    </row>
    <row r="43" spans="1:7">
      <c r="A43" s="81">
        <v>13691</v>
      </c>
      <c r="B43" s="10">
        <v>17691</v>
      </c>
      <c r="C43" s="10" t="s">
        <v>3686</v>
      </c>
      <c r="D43" s="9"/>
      <c r="E43" s="9"/>
      <c r="F43" s="9"/>
      <c r="G43" s="39"/>
    </row>
    <row r="44" spans="1:7">
      <c r="A44" s="81">
        <v>13692</v>
      </c>
      <c r="B44" s="10">
        <v>17692</v>
      </c>
      <c r="C44" s="10" t="s">
        <v>3686</v>
      </c>
      <c r="D44" s="9"/>
      <c r="E44" s="9"/>
      <c r="F44" s="9"/>
      <c r="G44" s="39"/>
    </row>
    <row r="45" spans="1:7">
      <c r="A45" s="81">
        <v>13693</v>
      </c>
      <c r="B45" s="10">
        <v>17693</v>
      </c>
      <c r="C45" s="10" t="s">
        <v>3686</v>
      </c>
      <c r="D45" s="9"/>
      <c r="E45" s="9"/>
      <c r="F45" s="9"/>
      <c r="G45" s="39"/>
    </row>
    <row r="46" spans="1:7">
      <c r="A46" s="81">
        <v>13694</v>
      </c>
      <c r="B46" s="10">
        <v>17694</v>
      </c>
      <c r="C46" s="10" t="s">
        <v>3686</v>
      </c>
      <c r="D46" s="9"/>
      <c r="E46" s="9"/>
      <c r="F46" s="9"/>
      <c r="G46" s="39"/>
    </row>
    <row r="47" spans="1:7">
      <c r="A47" s="81">
        <v>13695</v>
      </c>
      <c r="B47" s="10">
        <v>17695</v>
      </c>
      <c r="C47" s="10" t="s">
        <v>3686</v>
      </c>
      <c r="D47" s="9"/>
      <c r="E47" s="9"/>
      <c r="F47" s="9"/>
      <c r="G47" s="39"/>
    </row>
    <row r="48" spans="1:7">
      <c r="A48" s="81">
        <v>13696</v>
      </c>
      <c r="B48" s="10">
        <v>17696</v>
      </c>
      <c r="C48" s="10" t="s">
        <v>3686</v>
      </c>
      <c r="D48" s="9"/>
      <c r="E48" s="9"/>
      <c r="F48" s="9"/>
      <c r="G48" s="39"/>
    </row>
    <row r="49" spans="1:7">
      <c r="A49" s="81">
        <v>13697</v>
      </c>
      <c r="B49" s="10">
        <v>17697</v>
      </c>
      <c r="C49" s="10" t="s">
        <v>3686</v>
      </c>
      <c r="D49" s="9"/>
      <c r="E49" s="9"/>
      <c r="F49" s="9"/>
      <c r="G49" s="39"/>
    </row>
    <row r="50" spans="1:7">
      <c r="A50" s="81">
        <v>13698</v>
      </c>
      <c r="B50" s="10">
        <v>17698</v>
      </c>
      <c r="C50" s="10" t="s">
        <v>3686</v>
      </c>
      <c r="D50" s="9"/>
      <c r="E50" s="9"/>
      <c r="F50" s="9"/>
      <c r="G50" s="39"/>
    </row>
    <row r="51" spans="1:7">
      <c r="A51" s="81">
        <v>13699</v>
      </c>
      <c r="B51" s="10">
        <v>17699</v>
      </c>
      <c r="C51" s="10" t="s">
        <v>3686</v>
      </c>
      <c r="D51" s="9"/>
      <c r="E51" s="9"/>
      <c r="F51" s="9"/>
      <c r="G51" s="39"/>
    </row>
    <row r="52" spans="1:7">
      <c r="A52" s="81">
        <v>13700</v>
      </c>
      <c r="B52" s="10">
        <v>17700</v>
      </c>
      <c r="C52" s="10" t="s">
        <v>3686</v>
      </c>
      <c r="D52" s="9"/>
      <c r="E52" s="9"/>
      <c r="F52" s="9"/>
      <c r="G52" s="39"/>
    </row>
    <row r="53" spans="1:7">
      <c r="A53" s="81">
        <v>13701</v>
      </c>
      <c r="B53" s="10">
        <v>17701</v>
      </c>
      <c r="C53" s="10" t="s">
        <v>3686</v>
      </c>
      <c r="D53" s="9"/>
      <c r="E53" s="9"/>
      <c r="F53" s="9"/>
      <c r="G53" s="39"/>
    </row>
    <row r="54" spans="1:7">
      <c r="A54" s="81">
        <v>13702</v>
      </c>
      <c r="B54" s="10">
        <v>17702</v>
      </c>
      <c r="C54" s="10" t="s">
        <v>3686</v>
      </c>
      <c r="D54" s="9"/>
      <c r="E54" s="9"/>
      <c r="F54" s="9"/>
      <c r="G54" s="39"/>
    </row>
    <row r="55" spans="1:7">
      <c r="A55" s="81">
        <v>13703</v>
      </c>
      <c r="B55" s="10">
        <v>17703</v>
      </c>
      <c r="C55" s="10" t="s">
        <v>3686</v>
      </c>
      <c r="D55" s="9"/>
      <c r="E55" s="9"/>
      <c r="F55" s="9"/>
      <c r="G55" s="39"/>
    </row>
    <row r="56" spans="1:7">
      <c r="A56" s="81">
        <v>13704</v>
      </c>
      <c r="B56" s="10">
        <v>17704</v>
      </c>
      <c r="C56" s="10" t="s">
        <v>3686</v>
      </c>
      <c r="D56" s="9"/>
      <c r="E56" s="9"/>
      <c r="F56" s="9"/>
      <c r="G56" s="39"/>
    </row>
    <row r="57" spans="1:7">
      <c r="A57" s="81">
        <v>13705</v>
      </c>
      <c r="B57" s="10">
        <v>17705</v>
      </c>
      <c r="C57" s="10" t="s">
        <v>3686</v>
      </c>
      <c r="D57" s="9"/>
      <c r="E57" s="9"/>
      <c r="F57" s="9"/>
      <c r="G57" s="39"/>
    </row>
    <row r="58" spans="1:7">
      <c r="A58" s="81">
        <v>13706</v>
      </c>
      <c r="B58" s="10">
        <v>17706</v>
      </c>
      <c r="C58" s="10" t="s">
        <v>3686</v>
      </c>
      <c r="D58" s="9"/>
      <c r="E58" s="9"/>
      <c r="F58" s="9"/>
      <c r="G58" s="39"/>
    </row>
    <row r="59" spans="1:7">
      <c r="A59" s="81">
        <v>13707</v>
      </c>
      <c r="B59" s="10">
        <v>17707</v>
      </c>
      <c r="C59" s="10" t="s">
        <v>3686</v>
      </c>
      <c r="D59" s="9"/>
      <c r="E59" s="9"/>
      <c r="F59" s="9"/>
      <c r="G59" s="39"/>
    </row>
    <row r="60" spans="1:7">
      <c r="A60" s="81">
        <v>13708</v>
      </c>
      <c r="B60" s="10">
        <v>17708</v>
      </c>
      <c r="C60" s="10" t="s">
        <v>3686</v>
      </c>
      <c r="D60" s="9"/>
      <c r="E60" s="9"/>
      <c r="F60" s="9"/>
      <c r="G60" s="39"/>
    </row>
    <row r="61" spans="1:7">
      <c r="A61" s="81">
        <v>13709</v>
      </c>
      <c r="B61" s="10">
        <v>17709</v>
      </c>
      <c r="C61" s="10" t="s">
        <v>3686</v>
      </c>
      <c r="D61" s="9"/>
      <c r="E61" s="9"/>
      <c r="F61" s="9"/>
      <c r="G61" s="39"/>
    </row>
    <row r="62" spans="1:7">
      <c r="A62" s="81">
        <v>13710</v>
      </c>
      <c r="B62" s="10">
        <v>17710</v>
      </c>
      <c r="C62" s="10" t="s">
        <v>3686</v>
      </c>
      <c r="D62" s="9"/>
      <c r="E62" s="9"/>
      <c r="F62" s="9"/>
      <c r="G62" s="39"/>
    </row>
    <row r="63" spans="1:7">
      <c r="A63" s="81">
        <v>13711</v>
      </c>
      <c r="B63" s="10">
        <v>17711</v>
      </c>
      <c r="C63" s="10" t="s">
        <v>3686</v>
      </c>
      <c r="D63" s="9"/>
      <c r="E63" s="9"/>
      <c r="F63" s="9"/>
      <c r="G63" s="39"/>
    </row>
    <row r="64" spans="1:7">
      <c r="A64" s="81">
        <v>13712</v>
      </c>
      <c r="B64" s="10">
        <v>17712</v>
      </c>
      <c r="C64" s="10" t="s">
        <v>3686</v>
      </c>
      <c r="D64" s="9"/>
      <c r="E64" s="9"/>
      <c r="F64" s="9"/>
      <c r="G64" s="39"/>
    </row>
    <row r="65" spans="1:7">
      <c r="A65" s="81">
        <v>13713</v>
      </c>
      <c r="B65" s="10">
        <v>17713</v>
      </c>
      <c r="C65" s="10" t="s">
        <v>3686</v>
      </c>
      <c r="D65" s="9"/>
      <c r="E65" s="9"/>
      <c r="F65" s="9"/>
      <c r="G65" s="39"/>
    </row>
    <row r="66" spans="1:7">
      <c r="A66" s="81">
        <v>13714</v>
      </c>
      <c r="B66" s="10">
        <v>17714</v>
      </c>
      <c r="C66" s="10" t="s">
        <v>3686</v>
      </c>
      <c r="D66" s="9"/>
      <c r="E66" s="9"/>
      <c r="F66" s="9"/>
      <c r="G66" s="39"/>
    </row>
    <row r="67" spans="1:7">
      <c r="A67" s="81">
        <v>13715</v>
      </c>
      <c r="B67" s="10">
        <v>17715</v>
      </c>
      <c r="C67" s="10" t="s">
        <v>3686</v>
      </c>
      <c r="D67" s="9"/>
      <c r="E67" s="9"/>
      <c r="F67" s="9"/>
      <c r="G67" s="39"/>
    </row>
    <row r="68" spans="1:7">
      <c r="A68" s="81">
        <v>13716</v>
      </c>
      <c r="B68" s="10">
        <v>17716</v>
      </c>
      <c r="C68" s="10" t="s">
        <v>3686</v>
      </c>
      <c r="D68" s="9"/>
      <c r="E68" s="9"/>
      <c r="F68" s="9"/>
      <c r="G68" s="39"/>
    </row>
    <row r="69" spans="1:7">
      <c r="A69" s="81">
        <v>13717</v>
      </c>
      <c r="B69" s="10">
        <v>17717</v>
      </c>
      <c r="C69" s="10" t="s">
        <v>3686</v>
      </c>
      <c r="D69" s="9"/>
      <c r="E69" s="9"/>
      <c r="F69" s="9"/>
      <c r="G69" s="39"/>
    </row>
    <row r="70" spans="1:7">
      <c r="A70" s="81">
        <v>13718</v>
      </c>
      <c r="B70" s="10">
        <v>17718</v>
      </c>
      <c r="C70" s="10" t="s">
        <v>3686</v>
      </c>
      <c r="D70" s="9"/>
      <c r="E70" s="9"/>
      <c r="F70" s="9"/>
      <c r="G70" s="39"/>
    </row>
    <row r="71" spans="1:7">
      <c r="A71" s="81">
        <v>13719</v>
      </c>
      <c r="B71" s="10">
        <v>17719</v>
      </c>
      <c r="C71" s="10" t="s">
        <v>3686</v>
      </c>
      <c r="D71" s="9"/>
      <c r="E71" s="9"/>
      <c r="F71" s="9"/>
      <c r="G71" s="39"/>
    </row>
    <row r="72" spans="1:7">
      <c r="A72" s="81">
        <v>13720</v>
      </c>
      <c r="B72" s="10">
        <v>17720</v>
      </c>
      <c r="C72" s="10" t="s">
        <v>3686</v>
      </c>
      <c r="D72" s="9"/>
      <c r="E72" s="9"/>
      <c r="F72" s="9"/>
      <c r="G72" s="39"/>
    </row>
    <row r="73" spans="1:7">
      <c r="A73" s="81">
        <v>13721</v>
      </c>
      <c r="B73" s="10">
        <v>17721</v>
      </c>
      <c r="C73" s="10" t="s">
        <v>3686</v>
      </c>
      <c r="D73" s="9"/>
      <c r="E73" s="9"/>
      <c r="F73" s="9"/>
      <c r="G73" s="39"/>
    </row>
    <row r="74" spans="1:7">
      <c r="A74" s="81">
        <v>13722</v>
      </c>
      <c r="B74" s="10">
        <v>17722</v>
      </c>
      <c r="C74" s="10" t="s">
        <v>3686</v>
      </c>
      <c r="D74" s="9"/>
      <c r="E74" s="9"/>
      <c r="F74" s="9"/>
      <c r="G74" s="39"/>
    </row>
    <row r="75" spans="1:7">
      <c r="A75" s="81">
        <v>13723</v>
      </c>
      <c r="B75" s="10">
        <v>17723</v>
      </c>
      <c r="C75" s="10" t="s">
        <v>3686</v>
      </c>
      <c r="D75" s="9"/>
      <c r="E75" s="9"/>
      <c r="F75" s="9"/>
      <c r="G75" s="39"/>
    </row>
    <row r="76" spans="1:7">
      <c r="A76" s="81">
        <v>13724</v>
      </c>
      <c r="B76" s="10">
        <v>17724</v>
      </c>
      <c r="C76" s="10" t="s">
        <v>3686</v>
      </c>
      <c r="D76" s="9"/>
      <c r="E76" s="9"/>
      <c r="F76" s="9"/>
      <c r="G76" s="39"/>
    </row>
    <row r="77" spans="1:7">
      <c r="A77" s="81">
        <v>13725</v>
      </c>
      <c r="B77" s="10">
        <v>17725</v>
      </c>
      <c r="C77" s="10" t="s">
        <v>3686</v>
      </c>
      <c r="D77" s="9"/>
      <c r="E77" s="9"/>
      <c r="F77" s="9"/>
      <c r="G77" s="39"/>
    </row>
    <row r="78" spans="1:7">
      <c r="A78" s="81">
        <v>13726</v>
      </c>
      <c r="B78" s="10">
        <v>17726</v>
      </c>
      <c r="C78" s="10" t="s">
        <v>3686</v>
      </c>
      <c r="D78" s="9"/>
      <c r="E78" s="9"/>
      <c r="F78" s="9"/>
      <c r="G78" s="39"/>
    </row>
    <row r="79" spans="1:7">
      <c r="A79" s="81">
        <v>13727</v>
      </c>
      <c r="B79" s="10">
        <v>17727</v>
      </c>
      <c r="C79" s="10" t="s">
        <v>3686</v>
      </c>
      <c r="D79" s="9"/>
      <c r="E79" s="9"/>
      <c r="F79" s="9"/>
      <c r="G79" s="39"/>
    </row>
    <row r="80" spans="1:7">
      <c r="A80" s="81">
        <v>13728</v>
      </c>
      <c r="B80" s="10">
        <v>17728</v>
      </c>
      <c r="C80" s="10" t="s">
        <v>3686</v>
      </c>
      <c r="D80" s="9"/>
      <c r="E80" s="9"/>
      <c r="F80" s="9"/>
      <c r="G80" s="39"/>
    </row>
    <row r="81" spans="1:7">
      <c r="A81" s="81">
        <v>13729</v>
      </c>
      <c r="B81" s="10">
        <v>17729</v>
      </c>
      <c r="C81" s="10" t="s">
        <v>3686</v>
      </c>
      <c r="D81" s="9"/>
      <c r="E81" s="9"/>
      <c r="F81" s="9"/>
      <c r="G81" s="39"/>
    </row>
    <row r="82" spans="1:7">
      <c r="A82" s="81">
        <v>13730</v>
      </c>
      <c r="B82" s="10">
        <v>17730</v>
      </c>
      <c r="C82" s="10" t="s">
        <v>3686</v>
      </c>
      <c r="D82" s="9"/>
      <c r="E82" s="9"/>
      <c r="F82" s="9"/>
      <c r="G82" s="39"/>
    </row>
    <row r="83" spans="1:7">
      <c r="A83" s="81">
        <v>13731</v>
      </c>
      <c r="B83" s="10">
        <v>17731</v>
      </c>
      <c r="C83" s="10" t="s">
        <v>3686</v>
      </c>
      <c r="D83" s="9"/>
      <c r="E83" s="9"/>
      <c r="F83" s="9"/>
      <c r="G83" s="39"/>
    </row>
    <row r="84" spans="1:7">
      <c r="A84" s="81">
        <v>13732</v>
      </c>
      <c r="B84" s="10">
        <v>17732</v>
      </c>
      <c r="C84" s="10" t="s">
        <v>3686</v>
      </c>
      <c r="D84" s="9"/>
      <c r="E84" s="9"/>
      <c r="F84" s="9"/>
      <c r="G84" s="39"/>
    </row>
    <row r="85" spans="1:7">
      <c r="A85" s="81">
        <v>13733</v>
      </c>
      <c r="B85" s="10">
        <v>17733</v>
      </c>
      <c r="C85" s="10" t="s">
        <v>3686</v>
      </c>
      <c r="D85" s="9"/>
      <c r="E85" s="9"/>
      <c r="F85" s="9"/>
      <c r="G85" s="39"/>
    </row>
    <row r="86" spans="1:7">
      <c r="A86" s="81">
        <v>13734</v>
      </c>
      <c r="B86" s="10">
        <v>17734</v>
      </c>
      <c r="C86" s="10" t="s">
        <v>3686</v>
      </c>
      <c r="D86" s="9"/>
      <c r="E86" s="9"/>
      <c r="F86" s="9"/>
      <c r="G86" s="39"/>
    </row>
    <row r="87" spans="1:7">
      <c r="A87" s="81">
        <v>13735</v>
      </c>
      <c r="B87" s="10">
        <v>17735</v>
      </c>
      <c r="C87" s="10" t="s">
        <v>3686</v>
      </c>
      <c r="D87" s="9"/>
      <c r="E87" s="9"/>
      <c r="F87" s="9"/>
      <c r="G87" s="39"/>
    </row>
    <row r="88" spans="1:7">
      <c r="A88" s="81">
        <v>13736</v>
      </c>
      <c r="B88" s="10">
        <v>17736</v>
      </c>
      <c r="C88" s="10" t="s">
        <v>3686</v>
      </c>
      <c r="D88" s="9"/>
      <c r="E88" s="9"/>
      <c r="F88" s="9"/>
      <c r="G88" s="39"/>
    </row>
    <row r="89" spans="1:7">
      <c r="A89" s="81">
        <v>13737</v>
      </c>
      <c r="B89" s="10">
        <v>17737</v>
      </c>
      <c r="C89" s="10" t="s">
        <v>3686</v>
      </c>
      <c r="D89" s="9"/>
      <c r="E89" s="9"/>
      <c r="F89" s="9"/>
      <c r="G89" s="39"/>
    </row>
    <row r="90" spans="1:7">
      <c r="A90" s="81">
        <v>13738</v>
      </c>
      <c r="B90" s="10">
        <v>17738</v>
      </c>
      <c r="C90" s="10" t="s">
        <v>3686</v>
      </c>
      <c r="D90" s="9"/>
      <c r="E90" s="9"/>
      <c r="F90" s="9"/>
      <c r="G90" s="39"/>
    </row>
    <row r="91" spans="1:7">
      <c r="A91" s="81">
        <v>13739</v>
      </c>
      <c r="B91" s="10">
        <v>17739</v>
      </c>
      <c r="C91" s="10" t="s">
        <v>3686</v>
      </c>
      <c r="D91" s="9"/>
      <c r="E91" s="9"/>
      <c r="F91" s="9"/>
      <c r="G91" s="39"/>
    </row>
    <row r="92" spans="1:7">
      <c r="A92" s="81">
        <v>13740</v>
      </c>
      <c r="B92" s="10">
        <v>17740</v>
      </c>
      <c r="C92" s="10" t="s">
        <v>3686</v>
      </c>
      <c r="D92" s="9"/>
      <c r="E92" s="9"/>
      <c r="F92" s="9"/>
      <c r="G92" s="39"/>
    </row>
    <row r="93" spans="1:7">
      <c r="A93" s="81">
        <v>13741</v>
      </c>
      <c r="B93" s="10">
        <v>17741</v>
      </c>
      <c r="C93" s="10" t="s">
        <v>3686</v>
      </c>
      <c r="D93" s="9"/>
      <c r="E93" s="9"/>
      <c r="F93" s="9"/>
      <c r="G93" s="39"/>
    </row>
    <row r="94" spans="1:7">
      <c r="A94" s="81">
        <v>13742</v>
      </c>
      <c r="B94" s="10">
        <v>17742</v>
      </c>
      <c r="C94" s="10" t="s">
        <v>3686</v>
      </c>
      <c r="D94" s="9"/>
      <c r="E94" s="9"/>
      <c r="F94" s="9"/>
      <c r="G94" s="39"/>
    </row>
    <row r="95" spans="1:7">
      <c r="A95" s="81">
        <v>13743</v>
      </c>
      <c r="B95" s="10">
        <v>17743</v>
      </c>
      <c r="C95" s="10" t="s">
        <v>3686</v>
      </c>
      <c r="D95" s="9"/>
      <c r="E95" s="9"/>
      <c r="F95" s="9"/>
      <c r="G95" s="39"/>
    </row>
    <row r="96" spans="1:7">
      <c r="A96" s="81">
        <v>13744</v>
      </c>
      <c r="B96" s="10">
        <v>17744</v>
      </c>
      <c r="C96" s="10" t="s">
        <v>3686</v>
      </c>
      <c r="D96" s="9"/>
      <c r="E96" s="9"/>
      <c r="F96" s="9"/>
      <c r="G96" s="39"/>
    </row>
    <row r="97" spans="1:7">
      <c r="A97" s="81">
        <v>13745</v>
      </c>
      <c r="B97" s="10">
        <v>17745</v>
      </c>
      <c r="C97" s="10" t="s">
        <v>3686</v>
      </c>
      <c r="D97" s="9"/>
      <c r="E97" s="9"/>
      <c r="F97" s="9"/>
      <c r="G97" s="39"/>
    </row>
    <row r="98" spans="1:7">
      <c r="A98" s="81">
        <v>13746</v>
      </c>
      <c r="B98" s="10">
        <v>17746</v>
      </c>
      <c r="C98" s="10" t="s">
        <v>3686</v>
      </c>
      <c r="D98" s="9"/>
      <c r="E98" s="9"/>
      <c r="F98" s="9"/>
      <c r="G98" s="39"/>
    </row>
    <row r="99" spans="1:7">
      <c r="A99" s="81">
        <v>13747</v>
      </c>
      <c r="B99" s="10">
        <v>17747</v>
      </c>
      <c r="C99" s="10" t="s">
        <v>3686</v>
      </c>
      <c r="D99" s="9"/>
      <c r="E99" s="9"/>
      <c r="F99" s="9"/>
      <c r="G99" s="39"/>
    </row>
    <row r="100" spans="1:7">
      <c r="A100" s="81">
        <v>13748</v>
      </c>
      <c r="B100" s="10">
        <v>17748</v>
      </c>
      <c r="C100" s="10" t="s">
        <v>3686</v>
      </c>
      <c r="D100" s="9"/>
      <c r="E100" s="9"/>
      <c r="F100" s="9"/>
      <c r="G100" s="39"/>
    </row>
    <row r="101" spans="1:7">
      <c r="A101" s="81">
        <v>13749</v>
      </c>
      <c r="B101" s="10">
        <v>17749</v>
      </c>
      <c r="C101" s="10" t="s">
        <v>3686</v>
      </c>
      <c r="D101" s="9"/>
      <c r="E101" s="9"/>
      <c r="F101" s="9"/>
      <c r="G101" s="39"/>
    </row>
    <row r="102" spans="1:7">
      <c r="A102" s="86">
        <v>13750</v>
      </c>
      <c r="B102" s="87">
        <v>17750</v>
      </c>
      <c r="C102" s="10" t="s">
        <v>3686</v>
      </c>
      <c r="D102" s="47"/>
      <c r="E102" s="47"/>
      <c r="F102" s="47"/>
      <c r="G102" s="48"/>
    </row>
    <row r="103" spans="1:7">
      <c r="A103" s="81"/>
      <c r="B103" s="10"/>
      <c r="C103" s="10" t="s">
        <v>3686</v>
      </c>
      <c r="D103" s="9">
        <v>9924400</v>
      </c>
      <c r="E103" s="9"/>
      <c r="F103" s="9"/>
      <c r="G103" s="39" t="s">
        <v>3687</v>
      </c>
    </row>
    <row r="104" spans="1:7">
      <c r="A104" s="81"/>
      <c r="B104" s="10"/>
      <c r="C104" s="10" t="s">
        <v>3686</v>
      </c>
      <c r="D104" s="9">
        <v>9924402</v>
      </c>
      <c r="E104" s="9"/>
      <c r="F104" s="9"/>
      <c r="G104" s="39" t="s">
        <v>3687</v>
      </c>
    </row>
    <row r="105" spans="1:7">
      <c r="A105" s="81"/>
      <c r="B105" s="10"/>
      <c r="C105" s="10" t="s">
        <v>3686</v>
      </c>
      <c r="D105" s="9">
        <v>9924404</v>
      </c>
      <c r="E105" s="9"/>
      <c r="F105" s="9"/>
      <c r="G105" s="39" t="s">
        <v>3687</v>
      </c>
    </row>
    <row r="106" spans="1:7">
      <c r="A106" s="81"/>
      <c r="B106" s="10"/>
      <c r="C106" s="10" t="s">
        <v>3686</v>
      </c>
      <c r="D106" s="9">
        <v>9924406</v>
      </c>
      <c r="E106" s="9"/>
      <c r="F106" s="9"/>
      <c r="G106" s="39" t="s">
        <v>3687</v>
      </c>
    </row>
    <row r="107" spans="1:7">
      <c r="A107" s="81"/>
      <c r="B107" s="10"/>
      <c r="C107" s="10" t="s">
        <v>3686</v>
      </c>
      <c r="D107" s="9">
        <v>9924408</v>
      </c>
      <c r="E107" s="9"/>
      <c r="F107" s="9"/>
      <c r="G107" s="39" t="s">
        <v>3687</v>
      </c>
    </row>
    <row r="108" spans="1:7">
      <c r="A108" s="81"/>
      <c r="B108" s="10"/>
      <c r="C108" s="10" t="s">
        <v>3686</v>
      </c>
      <c r="D108" s="9">
        <v>9924410</v>
      </c>
      <c r="E108" s="9"/>
      <c r="F108" s="9"/>
      <c r="G108" s="39" t="s">
        <v>3687</v>
      </c>
    </row>
    <row r="109" spans="1:7">
      <c r="A109" s="81"/>
      <c r="B109" s="10"/>
      <c r="C109" s="10" t="s">
        <v>3686</v>
      </c>
      <c r="D109" s="9">
        <v>9924412</v>
      </c>
      <c r="E109" s="9"/>
      <c r="F109" s="9"/>
      <c r="G109" s="39" t="s">
        <v>3687</v>
      </c>
    </row>
    <row r="110" spans="1:7">
      <c r="A110" s="81"/>
      <c r="B110" s="10"/>
      <c r="C110" s="10" t="s">
        <v>3686</v>
      </c>
      <c r="D110" s="9">
        <v>9924414</v>
      </c>
      <c r="E110" s="9"/>
      <c r="F110" s="9"/>
      <c r="G110" s="39" t="s">
        <v>3687</v>
      </c>
    </row>
    <row r="111" spans="1:7">
      <c r="A111" s="81"/>
      <c r="B111" s="10"/>
      <c r="C111" s="10" t="s">
        <v>3686</v>
      </c>
      <c r="D111" s="9">
        <v>9924416</v>
      </c>
      <c r="E111" s="9"/>
      <c r="F111" s="9"/>
      <c r="G111" s="39" t="s">
        <v>3687</v>
      </c>
    </row>
    <row r="112" spans="1:7">
      <c r="A112" s="81"/>
      <c r="B112" s="10"/>
      <c r="C112" s="10" t="s">
        <v>3686</v>
      </c>
      <c r="D112" s="9">
        <v>9924418</v>
      </c>
      <c r="E112" s="9"/>
      <c r="F112" s="9"/>
      <c r="G112" s="39" t="s">
        <v>3687</v>
      </c>
    </row>
    <row r="113" spans="1:7">
      <c r="A113" s="81"/>
      <c r="B113" s="10"/>
      <c r="C113" s="10" t="s">
        <v>3686</v>
      </c>
      <c r="D113" s="9">
        <v>9924420</v>
      </c>
      <c r="E113" s="9"/>
      <c r="F113" s="9"/>
      <c r="G113" s="39" t="s">
        <v>3687</v>
      </c>
    </row>
    <row r="114" spans="1:7">
      <c r="A114" s="81"/>
      <c r="B114" s="10"/>
      <c r="C114" s="10" t="s">
        <v>3686</v>
      </c>
      <c r="D114" s="9">
        <v>9924422</v>
      </c>
      <c r="E114" s="9"/>
      <c r="F114" s="9"/>
      <c r="G114" s="39" t="s">
        <v>3687</v>
      </c>
    </row>
    <row r="115" spans="1:7">
      <c r="A115" s="81"/>
      <c r="B115" s="10"/>
      <c r="C115" s="10" t="s">
        <v>3686</v>
      </c>
      <c r="D115" s="9">
        <v>9924424</v>
      </c>
      <c r="E115" s="9"/>
      <c r="F115" s="9"/>
      <c r="G115" s="39" t="s">
        <v>3687</v>
      </c>
    </row>
    <row r="116" spans="1:7">
      <c r="A116" s="81"/>
      <c r="B116" s="10"/>
      <c r="C116" s="10" t="s">
        <v>3686</v>
      </c>
      <c r="D116" s="9">
        <v>9924426</v>
      </c>
      <c r="E116" s="9"/>
      <c r="F116" s="9"/>
      <c r="G116" s="39" t="s">
        <v>3687</v>
      </c>
    </row>
    <row r="117" spans="1:7">
      <c r="A117" s="81"/>
      <c r="B117" s="10"/>
      <c r="C117" s="10" t="s">
        <v>3686</v>
      </c>
      <c r="D117" s="9">
        <v>9924428</v>
      </c>
      <c r="E117" s="9"/>
      <c r="F117" s="9"/>
      <c r="G117" s="39" t="s">
        <v>3687</v>
      </c>
    </row>
    <row r="118" spans="1:7">
      <c r="A118" s="81"/>
      <c r="B118" s="10"/>
      <c r="C118" s="10" t="s">
        <v>3686</v>
      </c>
      <c r="D118" s="9">
        <v>9924430</v>
      </c>
      <c r="E118" s="9"/>
      <c r="F118" s="9"/>
      <c r="G118" s="39" t="s">
        <v>3687</v>
      </c>
    </row>
    <row r="119" spans="1:7">
      <c r="A119" s="81"/>
      <c r="B119" s="10"/>
      <c r="C119" s="10" t="s">
        <v>3686</v>
      </c>
      <c r="D119" s="9">
        <v>9924432</v>
      </c>
      <c r="E119" s="9"/>
      <c r="F119" s="9"/>
      <c r="G119" s="39" t="s">
        <v>3687</v>
      </c>
    </row>
    <row r="120" spans="1:7">
      <c r="A120" s="81"/>
      <c r="B120" s="10"/>
      <c r="C120" s="10" t="s">
        <v>3686</v>
      </c>
      <c r="D120" s="9">
        <v>9924434</v>
      </c>
      <c r="E120" s="9"/>
      <c r="F120" s="9"/>
      <c r="G120" s="39" t="s">
        <v>3687</v>
      </c>
    </row>
    <row r="121" spans="1:7">
      <c r="A121" s="81"/>
      <c r="B121" s="10"/>
      <c r="C121" s="10" t="s">
        <v>3686</v>
      </c>
      <c r="D121" s="9">
        <v>9924436</v>
      </c>
      <c r="E121" s="9"/>
      <c r="F121" s="9"/>
      <c r="G121" s="39" t="s">
        <v>3687</v>
      </c>
    </row>
    <row r="122" spans="1:7">
      <c r="A122" s="81"/>
      <c r="B122" s="10"/>
      <c r="C122" s="10" t="s">
        <v>3686</v>
      </c>
      <c r="D122" s="9">
        <v>9924438</v>
      </c>
      <c r="E122" s="9"/>
      <c r="F122" s="9"/>
      <c r="G122" s="39" t="s">
        <v>3687</v>
      </c>
    </row>
    <row r="123" spans="1:7">
      <c r="A123" s="81"/>
      <c r="B123" s="10"/>
      <c r="C123" s="10" t="s">
        <v>3686</v>
      </c>
      <c r="D123" s="9">
        <v>9924440</v>
      </c>
      <c r="E123" s="9"/>
      <c r="F123" s="9"/>
      <c r="G123" s="39" t="s">
        <v>3687</v>
      </c>
    </row>
    <row r="124" spans="1:7">
      <c r="A124" s="81"/>
      <c r="B124" s="10"/>
      <c r="C124" s="10" t="s">
        <v>3686</v>
      </c>
      <c r="D124" s="9">
        <v>9924442</v>
      </c>
      <c r="E124" s="9"/>
      <c r="F124" s="9"/>
      <c r="G124" s="39" t="s">
        <v>3687</v>
      </c>
    </row>
    <row r="125" spans="1:7">
      <c r="A125" s="81"/>
      <c r="B125" s="10"/>
      <c r="C125" s="10" t="s">
        <v>3686</v>
      </c>
      <c r="D125" s="9">
        <v>9924444</v>
      </c>
      <c r="E125" s="9"/>
      <c r="F125" s="9"/>
      <c r="G125" s="39" t="s">
        <v>3687</v>
      </c>
    </row>
    <row r="126" spans="1:7">
      <c r="A126" s="81"/>
      <c r="B126" s="10"/>
      <c r="C126" s="10" t="s">
        <v>3686</v>
      </c>
      <c r="D126" s="9">
        <v>9924446</v>
      </c>
      <c r="E126" s="9"/>
      <c r="F126" s="9"/>
      <c r="G126" s="39" t="s">
        <v>3687</v>
      </c>
    </row>
    <row r="127" spans="1:7">
      <c r="A127" s="81"/>
      <c r="B127" s="10"/>
      <c r="C127" s="10" t="s">
        <v>3686</v>
      </c>
      <c r="D127" s="9">
        <v>9924448</v>
      </c>
      <c r="E127" s="9"/>
      <c r="F127" s="9"/>
      <c r="G127" s="39" t="s">
        <v>3687</v>
      </c>
    </row>
    <row r="128" spans="1:7">
      <c r="A128" s="81"/>
      <c r="B128" s="10"/>
      <c r="C128" s="10" t="s">
        <v>3686</v>
      </c>
      <c r="D128" s="9">
        <v>9924450</v>
      </c>
      <c r="E128" s="9"/>
      <c r="F128" s="9"/>
      <c r="G128" s="39" t="s">
        <v>3687</v>
      </c>
    </row>
    <row r="129" spans="1:7">
      <c r="A129" s="81"/>
      <c r="B129" s="10"/>
      <c r="C129" s="10" t="s">
        <v>3686</v>
      </c>
      <c r="D129" s="9">
        <v>9924452</v>
      </c>
      <c r="E129" s="9"/>
      <c r="F129" s="9"/>
      <c r="G129" s="39" t="s">
        <v>3687</v>
      </c>
    </row>
    <row r="130" spans="1:7">
      <c r="A130" s="81"/>
      <c r="B130" s="10"/>
      <c r="C130" s="10" t="s">
        <v>3686</v>
      </c>
      <c r="D130" s="9">
        <v>9924454</v>
      </c>
      <c r="E130" s="9"/>
      <c r="F130" s="9"/>
      <c r="G130" s="39" t="s">
        <v>3687</v>
      </c>
    </row>
    <row r="131" spans="1:7">
      <c r="A131" s="81"/>
      <c r="B131" s="10"/>
      <c r="C131" s="10" t="s">
        <v>3686</v>
      </c>
      <c r="D131" s="9">
        <v>9924456</v>
      </c>
      <c r="E131" s="9"/>
      <c r="F131" s="9"/>
      <c r="G131" s="39" t="s">
        <v>3687</v>
      </c>
    </row>
    <row r="132" spans="1:7">
      <c r="A132" s="86"/>
      <c r="B132" s="87"/>
      <c r="C132" s="10" t="s">
        <v>3686</v>
      </c>
      <c r="D132" s="47">
        <v>9924458</v>
      </c>
      <c r="E132" s="47"/>
      <c r="F132" s="47"/>
      <c r="G132" s="39" t="s">
        <v>3687</v>
      </c>
    </row>
  </sheetData>
  <sheetProtection algorithmName="SHA-512" hashValue="0yDtszKbXpJUuu6IDc71v285hHWokPVqYupecetxiV+Rdf16WfdLeWvDXkILlAevd5EeFaZLzXxnEPaHaBHHCA==" saltValue="hhhtcmO7JOqL9Bh0MOmh9w==" spinCount="100000" sheet="1" objects="1" scenarios="1"/>
  <conditionalFormatting sqref="A2:A132">
    <cfRule type="duplicateValues" dxfId="12" priority="1"/>
  </conditionalFormatting>
  <conditionalFormatting sqref="B2:B132">
    <cfRule type="duplicateValues" dxfId="11" priority="2"/>
  </conditionalFormatting>
  <pageMargins left="0.7" right="0.7" top="0.75" bottom="0.75" header="0.3" footer="0.3"/>
  <pageSetup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E1E02DB269366B43AA1C7361B0DD5BA1" ma:contentTypeVersion="16" ma:contentTypeDescription="Create a new document." ma:contentTypeScope="" ma:versionID="7e005a8a336f76a4884270c06e62d590">
  <xsd:schema xmlns:xsd="http://www.w3.org/2001/XMLSchema" xmlns:xs="http://www.w3.org/2001/XMLSchema" xmlns:p="http://schemas.microsoft.com/office/2006/metadata/properties" xmlns:ns1="http://schemas.microsoft.com/sharepoint/v3" xmlns:ns2="b9a4ffaa-39fe-44b5-a5fe-ae43187a4fa7" xmlns:ns3="9e69ceb7-8cd5-44b7-b811-278ff4a9e3cd" targetNamespace="http://schemas.microsoft.com/office/2006/metadata/properties" ma:root="true" ma:fieldsID="91cb5c72053e6ab0b02a920e269b5ef7" ns1:_="" ns2:_="" ns3:_="">
    <xsd:import namespace="http://schemas.microsoft.com/sharepoint/v3"/>
    <xsd:import namespace="b9a4ffaa-39fe-44b5-a5fe-ae43187a4fa7"/>
    <xsd:import namespace="9e69ceb7-8cd5-44b7-b811-278ff4a9e3cd"/>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1:_ip_UnifiedCompliancePolicyProperties" minOccurs="0"/>
                <xsd:element ref="ns1:_ip_UnifiedCompliancePolicyUIAction" minOccurs="0"/>
                <xsd:element ref="ns2:MediaLengthInSecond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9" nillable="true" ma:displayName="Unified Compliance Policy Properties" ma:hidden="true" ma:internalName="_ip_UnifiedCompliancePolicyProperties">
      <xsd:simpleType>
        <xsd:restriction base="dms:Note"/>
      </xsd:simpleType>
    </xsd:element>
    <xsd:element name="_ip_UnifiedCompliancePolicyUIAction" ma:index="20"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9a4ffaa-39fe-44b5-a5fe-ae43187a4fa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e69ceb7-8cd5-44b7-b811-278ff4a9e3cd"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13A3FA4-1578-48EC-8BA8-377BFB2C6627}"/>
</file>

<file path=customXml/itemProps2.xml><?xml version="1.0" encoding="utf-8"?>
<ds:datastoreItem xmlns:ds="http://schemas.openxmlformats.org/officeDocument/2006/customXml" ds:itemID="{0D2A7DFE-675B-42FE-A566-20D0B8115F5C}"/>
</file>

<file path=customXml/itemProps3.xml><?xml version="1.0" encoding="utf-8"?>
<ds:datastoreItem xmlns:ds="http://schemas.openxmlformats.org/officeDocument/2006/customXml" ds:itemID="{35E8EBBE-021A-49C2-B166-21954335ACC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Port Assignments</dc:title>
  <dc:subject/>
  <dc:creator>Reid, Chris</dc:creator>
  <cp:keywords/>
  <dc:description/>
  <cp:lastModifiedBy>Mahmood, Suhail</cp:lastModifiedBy>
  <cp:revision/>
  <dcterms:created xsi:type="dcterms:W3CDTF">2014-07-25T15:13:19Z</dcterms:created>
  <dcterms:modified xsi:type="dcterms:W3CDTF">2026-03-06T23:52:32Z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0x010100E1E02DB269366B43AA1C7361B0DD5BA1</vt:lpwstr>
  </property>
  <property fmtid="{D5CDD505-2E9C-101B-9397-08002B2CF9AE}" pid="3" name="MSIP_Label_11a905b5-8388-4a05-b89a-55e43f7b4d00_Enabled">
    <vt:lpwstr>true</vt:lpwstr>
  </property>
  <property fmtid="{D5CDD505-2E9C-101B-9397-08002B2CF9AE}" pid="4" name="MSIP_Label_11a905b5-8388-4a05-b89a-55e43f7b4d00_SetDate">
    <vt:lpwstr>2020-05-18T21:42:09Z</vt:lpwstr>
  </property>
  <property fmtid="{D5CDD505-2E9C-101B-9397-08002B2CF9AE}" pid="5" name="MSIP_Label_11a905b5-8388-4a05-b89a-55e43f7b4d00_Method">
    <vt:lpwstr>Standard</vt:lpwstr>
  </property>
  <property fmtid="{D5CDD505-2E9C-101B-9397-08002B2CF9AE}" pid="6" name="MSIP_Label_11a905b5-8388-4a05-b89a-55e43f7b4d00_Name">
    <vt:lpwstr>General</vt:lpwstr>
  </property>
  <property fmtid="{D5CDD505-2E9C-101B-9397-08002B2CF9AE}" pid="7" name="MSIP_Label_11a905b5-8388-4a05-b89a-55e43f7b4d00_SiteId">
    <vt:lpwstr>2e319086-9a26-46a3-865f-615bed576786</vt:lpwstr>
  </property>
  <property fmtid="{D5CDD505-2E9C-101B-9397-08002B2CF9AE}" pid="8" name="MSIP_Label_11a905b5-8388-4a05-b89a-55e43f7b4d00_ActionId">
    <vt:lpwstr>e9c38099-8f6d-402c-a39b-5a2763ffc789</vt:lpwstr>
  </property>
  <property fmtid="{D5CDD505-2E9C-101B-9397-08002B2CF9AE}" pid="9" name="MSIP_Label_11a905b5-8388-4a05-b89a-55e43f7b4d00_ContentBits">
    <vt:lpwstr>0</vt:lpwstr>
  </property>
</Properties>
</file>